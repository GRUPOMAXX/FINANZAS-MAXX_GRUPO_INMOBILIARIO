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Reporte_Proyecto" sheetId="1" state="visible" r:id="rId1"/>
    <sheet name="Reporte_General" sheetId="2" state="visible" r:id="rId2"/>
    <sheet name="Reporte_Cliente" sheetId="3" state="visible" r:id="rId3"/>
    <sheet name="Base_Cobranzas" sheetId="4" state="hidden" r:id="rId4"/>
    <sheet name="Prada" sheetId="5" state="visible" r:id="rId5"/>
    <sheet name="Beyond" sheetId="6" state="visible" r:id="rId6"/>
    <sheet name="Venecia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_-* #,##0_-;\-* #,##0_-;_-* &quot;-&quot;??_-;_-@_-"/>
    <numFmt numFmtId="165" formatCode="_-* #,##0.00_-;\-* #,##0.00_-;_-* &quot;-&quot;??_-;_-@_-"/>
    <numFmt numFmtId="166" formatCode="0.0%"/>
    <numFmt numFmtId="167" formatCode="dd/mm/yyyy"/>
    <numFmt numFmtId="168" formatCode="yyyy-mm-dd h:mm:ss"/>
    <numFmt numFmtId="169" formatCode="#,##0;-#,##0;-"/>
    <numFmt numFmtId="170" formatCode="#,##0;\-#,##0;\-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0"/>
      <sz val="11"/>
      <scheme val="minor"/>
    </font>
    <font>
      <name val="Aptos Narrow"/>
      <family val="2"/>
      <b val="1"/>
      <color rgb="FFFFFFFF"/>
      <sz val="16"/>
    </font>
    <font>
      <name val="Aptos Narrow"/>
      <family val="2"/>
      <b val="1"/>
      <color rgb="FFFFFFFF"/>
      <sz val="13"/>
    </font>
    <font>
      <name val="Aptos Narrow"/>
      <family val="2"/>
      <b val="1"/>
      <color rgb="FF0F2344"/>
      <sz val="13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FFFFFF"/>
      <sz val="12"/>
    </font>
    <font>
      <name val="Aptos Narrow"/>
      <family val="2"/>
      <b val="1"/>
      <color rgb="FFF4F6F8"/>
      <sz val="12"/>
      <scheme val="minor"/>
    </font>
    <font>
      <name val="Aptos Narrow"/>
      <family val="2"/>
      <b val="1"/>
      <sz val="12"/>
      <scheme val="minor"/>
    </font>
    <font>
      <name val="Aptos Narrow"/>
      <family val="2"/>
      <b val="1"/>
      <color theme="0"/>
      <sz val="11"/>
    </font>
    <font>
      <name val="Aptos Narrow"/>
      <family val="2"/>
      <color rgb="FF0F2344"/>
      <sz val="11"/>
    </font>
    <font>
      <name val="Aptos Narrow"/>
      <family val="2"/>
      <b val="1"/>
      <color rgb="FFFFFFFF"/>
      <sz val="11"/>
    </font>
    <font>
      <name val="Aptos Narrow"/>
      <family val="2"/>
      <b val="1"/>
      <color rgb="FF0F2344"/>
      <sz val="12"/>
    </font>
  </fonts>
  <fills count="2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A7679"/>
        <bgColor indexed="64"/>
      </patternFill>
    </fill>
    <fill>
      <patternFill patternType="solid">
        <fgColor rgb="FF0F2344"/>
        <bgColor indexed="64"/>
      </patternFill>
    </fill>
    <fill>
      <patternFill patternType="solid">
        <fgColor rgb="FF80171B"/>
        <bgColor indexed="64"/>
      </patternFill>
    </fill>
    <fill>
      <patternFill patternType="solid">
        <fgColor rgb="00F2F2F2"/>
      </patternFill>
    </fill>
    <fill>
      <patternFill patternType="solid">
        <fgColor rgb="00D0D0D0"/>
      </patternFill>
    </fill>
    <fill>
      <patternFill patternType="solid">
        <fgColor rgb="FF0F2344"/>
      </patternFill>
    </fill>
    <fill>
      <patternFill patternType="solid">
        <fgColor rgb="FFC17510"/>
      </patternFill>
    </fill>
    <fill>
      <patternFill patternType="solid">
        <fgColor rgb="FFF9DABD"/>
      </patternFill>
    </fill>
    <fill>
      <patternFill patternType="solid">
        <fgColor rgb="FFC17510"/>
        <bgColor indexed="64"/>
      </patternFill>
    </fill>
    <fill>
      <patternFill patternType="solid">
        <fgColor rgb="FFF9DABD"/>
        <bgColor indexed="64"/>
      </patternFill>
    </fill>
    <fill>
      <patternFill patternType="solid">
        <fgColor rgb="FFDC0D22"/>
      </patternFill>
    </fill>
    <fill>
      <patternFill patternType="solid">
        <fgColor theme="0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80171B"/>
      </patternFill>
    </fill>
    <fill>
      <patternFill patternType="solid">
        <fgColor theme="0"/>
      </patternFill>
    </fill>
    <fill>
      <patternFill patternType="solid">
        <fgColor rgb="FFF4F6F8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20"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1" pivotButton="0" quotePrefix="0" xfId="0"/>
    <xf numFmtId="164" fontId="0" fillId="2" borderId="0" pivotButton="0" quotePrefix="0" xfId="1"/>
    <xf numFmtId="164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4" borderId="0" pivotButton="0" quotePrefix="0" xfId="1"/>
    <xf numFmtId="0" fontId="2" fillId="5" borderId="1" pivotButton="0" quotePrefix="0" xfId="0"/>
    <xf numFmtId="165" fontId="2" fillId="5" borderId="1" pivotButton="0" quotePrefix="0" xfId="1"/>
    <xf numFmtId="9" fontId="0" fillId="6" borderId="1" applyAlignment="1" pivotButton="0" quotePrefix="0" xfId="2">
      <alignment horizontal="center" vertical="center"/>
    </xf>
    <xf numFmtId="9" fontId="0" fillId="0" borderId="1" applyAlignment="1" pivotButton="0" quotePrefix="0" xfId="2">
      <alignment horizontal="center"/>
    </xf>
    <xf numFmtId="0" fontId="3" fillId="7" borderId="1" applyAlignment="1" pivotButton="0" quotePrefix="0" xfId="0">
      <alignment horizontal="center"/>
    </xf>
    <xf numFmtId="165" fontId="3" fillId="7" borderId="1" pivotButton="0" quotePrefix="0" xfId="0"/>
    <xf numFmtId="9" fontId="3" fillId="8" borderId="1" applyAlignment="1" pivotButton="0" quotePrefix="0" xfId="2">
      <alignment horizontal="center" vertical="center"/>
    </xf>
    <xf numFmtId="164" fontId="2" fillId="5" borderId="1" pivotButton="0" quotePrefix="0" xfId="1"/>
    <xf numFmtId="164" fontId="0" fillId="0" borderId="1" pivotButton="0" quotePrefix="0" xfId="0"/>
    <xf numFmtId="164" fontId="3" fillId="7" borderId="1" pivotButton="0" quotePrefix="0" xfId="0"/>
    <xf numFmtId="164" fontId="0" fillId="6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/>
    </xf>
    <xf numFmtId="164" fontId="0" fillId="0" borderId="1" applyAlignment="1" pivotButton="0" quotePrefix="0" xfId="0">
      <alignment horizontal="center"/>
    </xf>
    <xf numFmtId="164" fontId="3" fillId="8" borderId="1" applyAlignment="1" pivotButton="0" quotePrefix="0" xfId="1">
      <alignment horizontal="center" vertical="center"/>
    </xf>
    <xf numFmtId="0" fontId="3" fillId="0" borderId="0" pivotButton="0" quotePrefix="0" xfId="0"/>
    <xf numFmtId="17" fontId="3" fillId="7" borderId="1" pivotButton="0" quotePrefix="0" xfId="0"/>
    <xf numFmtId="17" fontId="3" fillId="7" borderId="1" applyAlignment="1" pivotButton="0" quotePrefix="0" xfId="0">
      <alignment horizontal="center"/>
    </xf>
    <xf numFmtId="14" fontId="0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166" fontId="0" fillId="0" borderId="1" applyAlignment="1" pivotButton="0" quotePrefix="0" xfId="2">
      <alignment horizontal="center"/>
    </xf>
    <xf numFmtId="164" fontId="6" fillId="6" borderId="1" applyAlignment="1" pivotButton="0" quotePrefix="0" xfId="1">
      <alignment horizontal="center" vertical="center"/>
    </xf>
    <xf numFmtId="164" fontId="6" fillId="0" borderId="0" pivotButton="0" quotePrefix="0" xfId="0"/>
    <xf numFmtId="164" fontId="7" fillId="8" borderId="1" applyAlignment="1" pivotButton="0" quotePrefix="0" xfId="1">
      <alignment horizontal="center" vertical="center"/>
    </xf>
    <xf numFmtId="166" fontId="0" fillId="6" borderId="1" applyAlignment="1" pivotButton="0" quotePrefix="0" xfId="2">
      <alignment horizontal="center" vertical="center"/>
    </xf>
    <xf numFmtId="0" fontId="2" fillId="0" borderId="0" pivotButton="0" quotePrefix="0" xfId="0"/>
    <xf numFmtId="0" fontId="3" fillId="7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69" fontId="5" fillId="0" borderId="0" applyAlignment="1" pivotButton="0" quotePrefix="0" xfId="0">
      <alignment horizontal="center"/>
    </xf>
    <xf numFmtId="169" fontId="3" fillId="7" borderId="1" applyAlignment="1" pivotButton="0" quotePrefix="0" xfId="0">
      <alignment horizontal="center"/>
    </xf>
    <xf numFmtId="169" fontId="0" fillId="0" borderId="5" pivotButton="0" quotePrefix="0" xfId="0"/>
    <xf numFmtId="166" fontId="3" fillId="8" borderId="1" applyAlignment="1" pivotButton="0" quotePrefix="0" xfId="0">
      <alignment horizontal="center" vertical="center"/>
    </xf>
    <xf numFmtId="169" fontId="0" fillId="0" borderId="6" pivotButton="0" quotePrefix="0" xfId="0"/>
    <xf numFmtId="166" fontId="3" fillId="8" borderId="1" applyAlignment="1" pivotButton="0" quotePrefix="0" xfId="0">
      <alignment horizontal="center" vertical="center" wrapText="1"/>
    </xf>
    <xf numFmtId="169" fontId="3" fillId="8" borderId="1" applyAlignment="1" pivotButton="0" quotePrefix="0" xfId="0">
      <alignment horizontal="center" vertical="center" wrapText="1"/>
    </xf>
    <xf numFmtId="166" fontId="3" fillId="8" borderId="2" applyAlignment="1" pivotButton="0" quotePrefix="0" xfId="0">
      <alignment horizontal="center" vertical="center" wrapText="1"/>
    </xf>
    <xf numFmtId="169" fontId="3" fillId="8" borderId="2" applyAlignment="1" pivotButton="0" quotePrefix="0" xfId="0">
      <alignment horizontal="center" vertical="center" wrapText="1"/>
    </xf>
    <xf numFmtId="169" fontId="2" fillId="5" borderId="1" pivotButton="0" quotePrefix="0" xfId="1"/>
    <xf numFmtId="166" fontId="0" fillId="6" borderId="1" applyAlignment="1" pivotButton="0" quotePrefix="0" xfId="2">
      <alignment horizontal="center" vertical="center"/>
    </xf>
    <xf numFmtId="169" fontId="0" fillId="6" borderId="1" applyAlignment="1" pivotButton="0" quotePrefix="0" xfId="1">
      <alignment horizontal="center" vertical="center"/>
    </xf>
    <xf numFmtId="169" fontId="0" fillId="0" borderId="1" pivotButton="0" quotePrefix="0" xfId="0"/>
    <xf numFmtId="166" fontId="0" fillId="0" borderId="1" applyAlignment="1" pivotButton="0" quotePrefix="0" xfId="2">
      <alignment horizontal="center"/>
    </xf>
    <xf numFmtId="169" fontId="0" fillId="0" borderId="1" applyAlignment="1" pivotButton="0" quotePrefix="0" xfId="1">
      <alignment horizontal="center"/>
    </xf>
    <xf numFmtId="169" fontId="0" fillId="0" borderId="1" applyAlignment="1" pivotButton="0" quotePrefix="0" xfId="0">
      <alignment horizontal="center"/>
    </xf>
    <xf numFmtId="166" fontId="0" fillId="6" borderId="1" applyAlignment="1" pivotButton="0" quotePrefix="0" xfId="1">
      <alignment horizontal="center" vertical="center"/>
    </xf>
    <xf numFmtId="169" fontId="6" fillId="6" borderId="1" applyAlignment="1" pivotButton="0" quotePrefix="0" xfId="1">
      <alignment horizontal="center" vertical="center"/>
    </xf>
    <xf numFmtId="169" fontId="6" fillId="0" borderId="0" pivotButton="0" quotePrefix="0" xfId="0"/>
    <xf numFmtId="169" fontId="3" fillId="7" borderId="1" pivotButton="0" quotePrefix="0" xfId="0"/>
    <xf numFmtId="166" fontId="3" fillId="8" borderId="1" applyAlignment="1" pivotButton="0" quotePrefix="0" xfId="2">
      <alignment horizontal="center" vertical="center"/>
    </xf>
    <xf numFmtId="169" fontId="3" fillId="8" borderId="1" applyAlignment="1" pivotButton="0" quotePrefix="0" xfId="1">
      <alignment horizontal="center" vertical="center"/>
    </xf>
    <xf numFmtId="166" fontId="3" fillId="8" borderId="1" applyAlignment="1" pivotButton="0" quotePrefix="0" xfId="1">
      <alignment horizontal="center" vertical="center"/>
    </xf>
    <xf numFmtId="169" fontId="7" fillId="8" borderId="1" applyAlignment="1" pivotButton="0" quotePrefix="0" xfId="1">
      <alignment horizontal="center" vertical="center"/>
    </xf>
    <xf numFmtId="1" fontId="3" fillId="7" borderId="1" applyAlignment="1" pivotButton="0" quotePrefix="0" xfId="0">
      <alignment horizontal="center"/>
    </xf>
    <xf numFmtId="169" fontId="1" fillId="0" borderId="0" pivotButton="0" quotePrefix="0" xfId="1"/>
    <xf numFmtId="169" fontId="1" fillId="9" borderId="0" pivotButton="0" quotePrefix="0" xfId="1"/>
    <xf numFmtId="169" fontId="1" fillId="10" borderId="0" pivotButton="0" quotePrefix="0" xfId="1"/>
    <xf numFmtId="169" fontId="1" fillId="2" borderId="0" pivotButton="0" quotePrefix="0" xfId="0"/>
    <xf numFmtId="0" fontId="1" fillId="0" borderId="0" pivotButton="0" quotePrefix="0" xfId="0"/>
    <xf numFmtId="169" fontId="1" fillId="2" borderId="0" pivotButton="0" quotePrefix="0" xfId="1"/>
    <xf numFmtId="0" fontId="8" fillId="11" borderId="0" applyAlignment="1" pivotButton="0" quotePrefix="0" xfId="0">
      <alignment horizontal="center" vertical="center"/>
    </xf>
    <xf numFmtId="0" fontId="13" fillId="19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170" fontId="1" fillId="17" borderId="0" applyAlignment="1" pivotButton="0" quotePrefix="0" xfId="0">
      <alignment horizontal="center" vertical="center" wrapText="1"/>
    </xf>
    <xf numFmtId="170" fontId="17" fillId="17" borderId="0" applyAlignment="1" pivotButton="0" quotePrefix="0" xfId="0">
      <alignment horizontal="center" vertical="center" wrapText="1"/>
    </xf>
    <xf numFmtId="166" fontId="1" fillId="17" borderId="0" applyAlignment="1" pivotButton="0" quotePrefix="0" xfId="0">
      <alignment horizontal="center" vertical="center" wrapText="1"/>
    </xf>
    <xf numFmtId="170" fontId="17" fillId="2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170" fontId="1" fillId="18" borderId="0" applyAlignment="1" pivotButton="0" quotePrefix="0" xfId="0">
      <alignment horizontal="center" vertical="center" wrapText="1"/>
    </xf>
    <xf numFmtId="170" fontId="17" fillId="18" borderId="0" applyAlignment="1" pivotButton="0" quotePrefix="0" xfId="0">
      <alignment horizontal="center" vertical="center" wrapText="1"/>
    </xf>
    <xf numFmtId="166" fontId="1" fillId="18" borderId="0" applyAlignment="1" pivotButton="0" quotePrefix="0" xfId="0">
      <alignment horizontal="center" vertical="center" wrapText="1"/>
    </xf>
    <xf numFmtId="170" fontId="17" fillId="21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170" fontId="18" fillId="11" borderId="0" applyAlignment="1" pivotButton="0" quotePrefix="0" xfId="1">
      <alignment horizontal="center" vertical="center" wrapText="1"/>
    </xf>
    <xf numFmtId="166" fontId="3" fillId="7" borderId="0" applyAlignment="1" pivotButton="0" quotePrefix="0" xfId="0">
      <alignment horizontal="center" vertical="center" wrapText="1"/>
    </xf>
    <xf numFmtId="170" fontId="3" fillId="7" borderId="0" applyAlignment="1" pivotButton="0" quotePrefix="0" xfId="1">
      <alignment horizontal="center" vertical="center" wrapText="1"/>
    </xf>
    <xf numFmtId="170" fontId="3" fillId="7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170" fontId="11" fillId="14" borderId="0" applyAlignment="1" pivotButton="0" quotePrefix="0" xfId="0">
      <alignment horizontal="center" vertical="center"/>
    </xf>
    <xf numFmtId="170" fontId="12" fillId="15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170" fontId="14" fillId="14" borderId="0" applyAlignment="1" pivotButton="0" quotePrefix="0" xfId="0">
      <alignment horizontal="center" vertical="center" wrapText="1"/>
    </xf>
    <xf numFmtId="0" fontId="15" fillId="15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170" fontId="1" fillId="17" borderId="0" applyAlignment="1" pivotButton="0" quotePrefix="0" xfId="1">
      <alignment horizontal="center" vertical="center" wrapText="1"/>
    </xf>
    <xf numFmtId="166" fontId="17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170" fontId="1" fillId="18" borderId="0" applyAlignment="1" pivotButton="0" quotePrefix="0" xfId="1">
      <alignment horizontal="center" vertical="center" wrapText="1"/>
    </xf>
    <xf numFmtId="166" fontId="17" fillId="18" borderId="0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 wrapText="1"/>
    </xf>
    <xf numFmtId="0" fontId="17" fillId="20" borderId="0" applyAlignment="1" pivotButton="0" quotePrefix="0" xfId="0">
      <alignment horizontal="center" vertical="center" wrapText="1"/>
    </xf>
    <xf numFmtId="170" fontId="17" fillId="20" borderId="0" applyAlignment="1" pivotButton="0" quotePrefix="0" xfId="0">
      <alignment horizontal="center" vertical="center" wrapText="1"/>
    </xf>
    <xf numFmtId="1" fontId="17" fillId="20" borderId="0" applyAlignment="1" pivotButton="0" quotePrefix="0" xfId="0">
      <alignment horizontal="center" vertical="center" wrapText="1"/>
    </xf>
    <xf numFmtId="166" fontId="1" fillId="20" borderId="0" applyAlignment="1" pivotButton="0" quotePrefix="0" xfId="0">
      <alignment horizontal="center" vertical="center" wrapText="1"/>
    </xf>
    <xf numFmtId="0" fontId="17" fillId="21" borderId="0" applyAlignment="1" pivotButton="0" quotePrefix="0" xfId="0">
      <alignment horizontal="center" vertical="center" wrapText="1"/>
    </xf>
    <xf numFmtId="1" fontId="17" fillId="21" borderId="0" applyAlignment="1" pivotButton="0" quotePrefix="0" xfId="0">
      <alignment horizontal="center" vertical="center" wrapText="1"/>
    </xf>
    <xf numFmtId="166" fontId="1" fillId="21" borderId="0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3">
    <cellStyle name="Normal" xfId="0" builtinId="0"/>
    <cellStyle name="Millares" xfId="1" builtinId="3"/>
    <cellStyle name="Porcentaje" xfId="2" builtinId="5"/>
  </cellStyles>
  <dxfs count="1">
    <dxf>
      <font>
        <b val="1"/>
        <color rgb="FF80171B"/>
      </font>
      <fill>
        <patternFill patternType="solid">
          <bgColor rgb="FFF9DAB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251461</colOff>
      <row>0</row>
      <rowOff>0</rowOff>
    </from>
    <to>
      <col>1</col>
      <colOff>121920</colOff>
      <row>1</row>
      <rowOff>329347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1461" y="0"/>
          <a:ext cx="1470659" cy="78654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251461</colOff>
      <row>0</row>
      <rowOff>0</rowOff>
    </from>
    <to>
      <col>2</col>
      <colOff>137160</colOff>
      <row>1</row>
      <rowOff>367447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1461" y="0"/>
          <a:ext cx="1470659" cy="78654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251461</colOff>
      <row>0</row>
      <rowOff>0</rowOff>
    </from>
    <to>
      <col>2</col>
      <colOff>137160</colOff>
      <row>1</row>
      <rowOff>352207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1461" y="0"/>
          <a:ext cx="1470659" cy="78654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10" defaultRowHeight="14.4"/>
  <cols>
    <col width="23.33203125" customWidth="1" min="1" max="1"/>
    <col width="19.21875" customWidth="1" min="2" max="2"/>
    <col width="16.21875" customWidth="1" min="3" max="3"/>
    <col width="17.88671875" customWidth="1" min="4" max="4"/>
    <col width="13" customWidth="1" min="5" max="5"/>
    <col width="16.21875" customWidth="1" min="6" max="6"/>
    <col width="14" customWidth="1" min="7" max="7"/>
    <col width="14.33203125" customWidth="1" min="8" max="8"/>
  </cols>
  <sheetData>
    <row r="1" ht="36" customHeight="1">
      <c r="A1" s="75" t="inlineStr">
        <is>
          <t>RESUMEN DE COBRANZAS</t>
        </is>
      </c>
      <c r="I1" s="73" t="n"/>
    </row>
    <row r="2" ht="30" customHeight="1">
      <c r="I2" s="73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 ht="46.8" customHeight="1">
      <c r="A4" s="76" t="inlineStr">
        <is>
          <t>Proyecto</t>
        </is>
      </c>
      <c r="B4" s="76" t="inlineStr">
        <is>
          <t>Precio Venta</t>
        </is>
      </c>
      <c r="C4" s="76" t="inlineStr">
        <is>
          <t>Cobrado</t>
        </is>
      </c>
      <c r="D4" s="76" t="inlineStr">
        <is>
          <t>Por Cobrar</t>
        </is>
      </c>
      <c r="E4" s="76" t="inlineStr">
        <is>
          <t>Vencido</t>
        </is>
      </c>
      <c r="F4" s="76" t="inlineStr">
        <is>
          <t>Tasa Morosidad</t>
        </is>
      </c>
      <c r="G4" s="76" t="inlineStr">
        <is>
          <t>Cantidad de Clientes Morosos</t>
        </is>
      </c>
      <c r="H4" s="76" t="inlineStr">
        <is>
          <t>Días de Atraso Promedio</t>
        </is>
      </c>
      <c r="I4" s="73" t="n"/>
    </row>
    <row r="5" ht="18" customHeight="1">
      <c r="A5" s="77" t="inlineStr">
        <is>
          <t>Beyond</t>
        </is>
      </c>
      <c r="B5" s="78" t="n">
        <v>21736300</v>
      </c>
      <c r="C5" s="78" t="n">
        <v>4849364.23</v>
      </c>
      <c r="D5" s="78" t="n">
        <v>8479306.560000001</v>
      </c>
      <c r="E5" s="79" t="n">
        <v>8403829.210000001</v>
      </c>
      <c r="F5" s="80" t="n">
        <v>0.3866264824280122</v>
      </c>
      <c r="G5" s="78" t="n">
        <v>31</v>
      </c>
      <c r="H5" s="81" t="n">
        <v>134</v>
      </c>
      <c r="I5" s="82">
        <f>IF(ROUND(B5,0)=ROUND(C5+D5+E5,0),"OK","REVISAR")</f>
        <v/>
      </c>
    </row>
    <row r="6" ht="20.4" customHeight="1">
      <c r="A6" s="83" t="inlineStr">
        <is>
          <t>Prada</t>
        </is>
      </c>
      <c r="B6" s="84" t="n">
        <v>26220000</v>
      </c>
      <c r="C6" s="84" t="n">
        <v>23425730.18</v>
      </c>
      <c r="D6" s="84" t="n">
        <v>34989.8</v>
      </c>
      <c r="E6" s="85" t="n">
        <v>2759280</v>
      </c>
      <c r="F6" s="86" t="n">
        <v>0.1052356979405034</v>
      </c>
      <c r="G6" s="84" t="n">
        <v>12</v>
      </c>
      <c r="H6" s="87" t="n">
        <v>74</v>
      </c>
      <c r="I6" s="82">
        <f>IF(ROUND(B6,0)=ROUND(C6+D6+E6,0),"OK","REVISAR")</f>
        <v/>
      </c>
    </row>
    <row r="7" ht="18" customHeight="1">
      <c r="A7" s="77" t="inlineStr">
        <is>
          <t>Venecia</t>
        </is>
      </c>
      <c r="B7" s="78" t="n">
        <v>8984700</v>
      </c>
      <c r="C7" s="78" t="n">
        <v>4670086.68</v>
      </c>
      <c r="D7" s="78" t="n">
        <v>2410647.43</v>
      </c>
      <c r="E7" s="79" t="n">
        <v>1903965.89</v>
      </c>
      <c r="F7" s="80" t="n">
        <v>0.2119120159827262</v>
      </c>
      <c r="G7" s="78" t="n">
        <v>10</v>
      </c>
      <c r="H7" s="81" t="n">
        <v>43</v>
      </c>
      <c r="I7" s="82">
        <f>IF(ROUND(B7,0)=ROUND(C7+D7+E7,0),"OK","REVISAR")</f>
        <v/>
      </c>
    </row>
    <row r="8">
      <c r="A8" s="88" t="inlineStr">
        <is>
          <t>TOTAL</t>
        </is>
      </c>
      <c r="B8" s="89" t="n">
        <v>56941000</v>
      </c>
      <c r="C8" s="89" t="n">
        <v>32945181.09</v>
      </c>
      <c r="D8" s="89" t="n">
        <v>10924943.79</v>
      </c>
      <c r="E8" s="89" t="n">
        <v>13067075.1</v>
      </c>
      <c r="F8" s="90" t="n">
        <v>0.2294844681336823</v>
      </c>
      <c r="G8" s="91" t="n">
        <v>53</v>
      </c>
      <c r="H8" s="92" t="n">
        <v>61</v>
      </c>
      <c r="I8" s="82">
        <f>IF(ROUND(B8,0)=ROUND(C8+D8+E8,0),"OK","REVISAR")</f>
        <v/>
      </c>
    </row>
  </sheetData>
  <mergeCells count="1">
    <mergeCell ref="A1:H2"/>
  </mergeCells>
  <conditionalFormatting sqref="A5:A7 E5:E7">
    <cfRule type="expression" priority="11" dxfId="0">
      <formula>AND($C5&gt;0,#REF!=MAX(#REF!))</formula>
    </cfRule>
  </conditionalFormatting>
  <conditionalFormatting sqref="E5:E7">
    <cfRule type="dataBar" priority="5">
      <dataBar>
        <cfvo type="min"/>
        <cfvo type="max"/>
        <color rgb="FFDC0D22"/>
      </dataBar>
    </cfRule>
    <cfRule type="dataBar" priority="6">
      <dataBar>
        <cfvo type="min"/>
        <cfvo type="max"/>
        <color rgb="FFDC0D22"/>
      </dataBar>
    </cfRule>
    <cfRule type="dataBar" priority="8">
      <dataBar>
        <cfvo type="min"/>
        <cfvo type="max"/>
        <color rgb="FFDC0D22"/>
      </dataBar>
    </cfRule>
  </conditionalFormatting>
  <conditionalFormatting sqref="H5:H7">
    <cfRule type="dataBar" priority="1">
      <dataBar>
        <cfvo type="min"/>
        <cfvo type="max"/>
        <color rgb="FFC17510"/>
      </dataBar>
    </cfRule>
    <cfRule type="dataBar" priority="2">
      <dataBar>
        <cfvo type="min"/>
        <cfvo type="max"/>
        <color rgb="FFC17510"/>
      </dataBar>
    </cfRule>
    <cfRule type="expression" priority="3" dxfId="0">
      <formula>AND($C5&gt;0,$E5=MAX($E$5:$E$7))</formula>
    </cfRule>
    <cfRule type="dataBar" priority="4">
      <dataBar>
        <cfvo type="min"/>
        <cfvo type="max"/>
        <color rgb="FFC17510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RowHeight="14.4"/>
  <cols>
    <col width="13.5546875" customWidth="1" min="5" max="5"/>
    <col width="14.77734375" customWidth="1" min="6" max="6"/>
    <col width="15.6640625" customWidth="1" min="7" max="7"/>
    <col width="14.33203125" customWidth="1" min="10" max="10"/>
  </cols>
  <sheetData>
    <row r="1" ht="33" customHeight="1">
      <c r="A1" s="75" t="inlineStr">
        <is>
          <t>REPORTE DE COBRANZAS</t>
        </is>
      </c>
    </row>
    <row r="2" ht="30.6" customHeight="1"/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</row>
    <row r="4" ht="17.4" customHeight="1">
      <c r="A4" s="73" t="n"/>
      <c r="B4" s="73" t="n"/>
      <c r="C4" s="93" t="inlineStr">
        <is>
          <t>DEUDA TOTAL</t>
        </is>
      </c>
      <c r="G4" s="94" t="inlineStr">
        <is>
          <t>CLIENTES CON DEUDA</t>
        </is>
      </c>
      <c r="K4" s="73" t="n"/>
      <c r="L4" s="73" t="n"/>
      <c r="M4" s="73" t="n"/>
    </row>
    <row r="5" ht="32.4" customHeight="1">
      <c r="A5" s="73" t="n"/>
      <c r="B5" s="73" t="n"/>
      <c r="C5" s="95" t="n">
        <v>13067075.1</v>
      </c>
      <c r="G5" s="96" t="n">
        <v>53</v>
      </c>
      <c r="K5" s="73" t="n"/>
      <c r="L5" s="73" t="n"/>
      <c r="M5" s="73" t="n"/>
    </row>
    <row r="6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</row>
    <row r="7" ht="15.6" customHeight="1">
      <c r="A7" s="97" t="inlineStr">
        <is>
          <t>PRADA</t>
        </is>
      </c>
      <c r="F7" s="98" t="inlineStr">
        <is>
          <t>DEUDA TOTAL</t>
        </is>
      </c>
      <c r="H7" s="99" t="n">
        <v>2759280</v>
      </c>
      <c r="J7" s="100" t="inlineStr">
        <is>
          <t>CLIENTE</t>
        </is>
      </c>
      <c r="L7" s="100" t="n">
        <v>12</v>
      </c>
    </row>
    <row r="8" ht="28.8" customHeight="1">
      <c r="A8" s="101" t="inlineStr">
        <is>
          <t>Rank</t>
        </is>
      </c>
      <c r="B8" s="101" t="inlineStr">
        <is>
          <t>Cliente</t>
        </is>
      </c>
      <c r="F8" s="101" t="inlineStr">
        <is>
          <t>Unidad</t>
        </is>
      </c>
      <c r="G8" s="101" t="inlineStr">
        <is>
          <t>Financiamiento</t>
        </is>
      </c>
      <c r="H8" s="101" t="inlineStr">
        <is>
          <t>Precio Venta</t>
        </is>
      </c>
      <c r="I8" s="101" t="inlineStr">
        <is>
          <t>Monto Cobrado</t>
        </is>
      </c>
      <c r="J8" s="101" t="inlineStr">
        <is>
          <t>Monto Deuda</t>
        </is>
      </c>
      <c r="L8" s="101" t="inlineStr">
        <is>
          <t>Tasa de Morosidad</t>
        </is>
      </c>
      <c r="M8" s="101" t="inlineStr">
        <is>
          <t>Días de atraso</t>
        </is>
      </c>
    </row>
    <row r="9" ht="28.8" customHeight="1">
      <c r="A9" s="102" t="n">
        <v>1</v>
      </c>
      <c r="B9" s="102" t="inlineStr">
        <is>
          <t>katherine Neyra Alor Neyra</t>
        </is>
      </c>
      <c r="F9" s="102" t="inlineStr">
        <is>
          <t>Dpto 405, Estc E 35 - D 27</t>
        </is>
      </c>
      <c r="G9" s="102" t="inlineStr">
        <is>
          <t>Crédito Hipotecario</t>
        </is>
      </c>
      <c r="H9" s="103" t="n">
        <v>535000</v>
      </c>
      <c r="I9" s="103" t="n">
        <v>3000</v>
      </c>
      <c r="J9" s="79" t="n">
        <v>532000</v>
      </c>
      <c r="L9" s="104" t="n">
        <v>0.994392523364486</v>
      </c>
      <c r="M9" s="79" t="n">
        <v>93</v>
      </c>
    </row>
    <row r="10" ht="28.8" customHeight="1">
      <c r="A10" s="105" t="n">
        <v>2</v>
      </c>
      <c r="B10" s="105" t="inlineStr">
        <is>
          <t>RODRIGO SANDRO CARDENAS BULLON</t>
        </is>
      </c>
      <c r="F10" s="105" t="inlineStr">
        <is>
          <t>Dpto 402, Estc E 46 - D 35</t>
        </is>
      </c>
      <c r="G10" s="105" t="inlineStr">
        <is>
          <t>Ahorro</t>
        </is>
      </c>
      <c r="H10" s="106" t="n">
        <v>512000</v>
      </c>
      <c r="I10" s="106" t="n">
        <v>36200</v>
      </c>
      <c r="J10" s="85" t="n">
        <v>475800</v>
      </c>
      <c r="L10" s="107" t="n">
        <v>0.929296875</v>
      </c>
      <c r="M10" s="84" t="n">
        <v>6</v>
      </c>
    </row>
    <row r="11" ht="28.8" customHeight="1">
      <c r="A11" s="102" t="n">
        <v>3</v>
      </c>
      <c r="B11" s="102" t="inlineStr">
        <is>
          <t>STEPHANIE LIZETH AQUINO HERRERA</t>
        </is>
      </c>
      <c r="F11" s="102" t="inlineStr">
        <is>
          <t>Dpto 1005</t>
        </is>
      </c>
      <c r="G11" s="102" t="inlineStr">
        <is>
          <t>Crédito Hipotecario</t>
        </is>
      </c>
      <c r="H11" s="103" t="n">
        <v>480000</v>
      </c>
      <c r="I11" s="103" t="n">
        <v>24000</v>
      </c>
      <c r="J11" s="79" t="n">
        <v>456000</v>
      </c>
      <c r="L11" s="104" t="n">
        <v>0.95</v>
      </c>
      <c r="M11" s="79" t="n">
        <v>77</v>
      </c>
    </row>
    <row r="12" ht="28.8" customHeight="1">
      <c r="A12" s="105" t="n">
        <v>4</v>
      </c>
      <c r="B12" s="105" t="inlineStr">
        <is>
          <t>Sussan Yassmine Rubin Domínguez</t>
        </is>
      </c>
      <c r="F12" s="105" t="inlineStr">
        <is>
          <t>Dpto 805</t>
        </is>
      </c>
      <c r="G12" s="105" t="inlineStr">
        <is>
          <t>Ahorro</t>
        </is>
      </c>
      <c r="H12" s="106" t="n">
        <v>470500</v>
      </c>
      <c r="I12" s="106" t="n">
        <v>42000</v>
      </c>
      <c r="J12" s="85" t="n">
        <v>428500</v>
      </c>
      <c r="L12" s="107" t="n">
        <v>0.9107332624867163</v>
      </c>
      <c r="M12" s="84" t="n">
        <v>214</v>
      </c>
    </row>
    <row r="13" ht="28.8" customHeight="1">
      <c r="A13" s="102" t="n">
        <v>5</v>
      </c>
      <c r="B13" s="102" t="inlineStr">
        <is>
          <t>Marita Angeles Milla</t>
        </is>
      </c>
      <c r="F13" s="102" t="inlineStr">
        <is>
          <t>Dpto 1004</t>
        </is>
      </c>
      <c r="G13" s="102" t="inlineStr">
        <is>
          <t>Ahorro</t>
        </is>
      </c>
      <c r="H13" s="103" t="n">
        <v>417700</v>
      </c>
      <c r="I13" s="103" t="n">
        <v>23770</v>
      </c>
      <c r="J13" s="79" t="n">
        <v>393930</v>
      </c>
      <c r="L13" s="104" t="n">
        <v>0.9430931290399809</v>
      </c>
      <c r="M13" s="79" t="n">
        <v>46</v>
      </c>
    </row>
    <row r="14" ht="28.8" customHeight="1">
      <c r="A14" s="105" t="n">
        <v>6</v>
      </c>
      <c r="B14" s="105" t="inlineStr">
        <is>
          <t>PATROCINIO HUAMANI CUEVAS</t>
        </is>
      </c>
      <c r="F14" s="105" t="inlineStr">
        <is>
          <t>Dpto 503</t>
        </is>
      </c>
      <c r="G14" s="105" t="inlineStr">
        <is>
          <t>Crédito Directo</t>
        </is>
      </c>
      <c r="H14" s="106" t="n">
        <v>660000</v>
      </c>
      <c r="I14" s="106" t="n">
        <v>500000</v>
      </c>
      <c r="J14" s="85" t="n">
        <v>160000</v>
      </c>
      <c r="L14" s="107" t="n">
        <v>0.2424242424242424</v>
      </c>
      <c r="M14" s="84" t="n">
        <v>184</v>
      </c>
    </row>
    <row r="15" ht="28.8" customHeight="1">
      <c r="A15" s="102" t="n">
        <v>7</v>
      </c>
      <c r="B15" s="102" t="inlineStr">
        <is>
          <t>Gisella Isabel Martinez Andrade</t>
        </is>
      </c>
      <c r="F15" s="102" t="inlineStr">
        <is>
          <t>Dpto 304, Estc E 27 - D 21</t>
        </is>
      </c>
      <c r="G15" s="102" t="inlineStr">
        <is>
          <t>Crédito Hipotecario</t>
        </is>
      </c>
      <c r="H15" s="103" t="n">
        <v>486500</v>
      </c>
      <c r="I15" s="103" t="n">
        <v>378650</v>
      </c>
      <c r="J15" s="79" t="n">
        <v>107850</v>
      </c>
      <c r="L15" s="104" t="n">
        <v>0.2216855087358685</v>
      </c>
      <c r="M15" s="79" t="n">
        <v>58</v>
      </c>
    </row>
    <row r="16" ht="28.8" customHeight="1">
      <c r="A16" s="105" t="n">
        <v>8</v>
      </c>
      <c r="B16" s="105" t="inlineStr">
        <is>
          <t>PATROCINIO HUAMANI CUEVAS</t>
        </is>
      </c>
      <c r="F16" s="105" t="inlineStr">
        <is>
          <t>Estc E 17 - D 12</t>
        </is>
      </c>
      <c r="G16" s="105" t="inlineStr">
        <is>
          <t>Crédito Directo</t>
        </is>
      </c>
      <c r="H16" s="106" t="n">
        <v>52500</v>
      </c>
      <c r="I16" s="106" t="n">
        <v>5000</v>
      </c>
      <c r="J16" s="85" t="n">
        <v>47500</v>
      </c>
      <c r="L16" s="107" t="n">
        <v>0.9047619047619048</v>
      </c>
      <c r="M16" s="84" t="n">
        <v>30</v>
      </c>
    </row>
    <row r="17" ht="28.8" customHeight="1">
      <c r="A17" s="102" t="n">
        <v>9</v>
      </c>
      <c r="B17" s="102" t="inlineStr">
        <is>
          <t>Lizet Lopez Paucar</t>
        </is>
      </c>
      <c r="F17" s="102" t="inlineStr">
        <is>
          <t>Estc E 22</t>
        </is>
      </c>
      <c r="G17" s="102" t="inlineStr">
        <is>
          <t>Crédito Directo</t>
        </is>
      </c>
      <c r="H17" s="103" t="n">
        <v>47500</v>
      </c>
      <c r="I17" s="103" t="n">
        <v>3000</v>
      </c>
      <c r="J17" s="79" t="n">
        <v>44500</v>
      </c>
      <c r="L17" s="104" t="n">
        <v>0.9368421052631579</v>
      </c>
      <c r="M17" s="79" t="n">
        <v>38</v>
      </c>
    </row>
    <row r="18" ht="28.8" customHeight="1">
      <c r="A18" s="105" t="n">
        <v>10</v>
      </c>
      <c r="B18" s="105" t="inlineStr">
        <is>
          <t>Elmo Calatayud Chumbes</t>
        </is>
      </c>
      <c r="F18" s="105" t="inlineStr">
        <is>
          <t>Estc E 13 - D 10</t>
        </is>
      </c>
      <c r="G18" s="105" t="inlineStr">
        <is>
          <t>Crédito Directo</t>
        </is>
      </c>
      <c r="H18" s="106" t="n">
        <v>57800</v>
      </c>
      <c r="I18" s="106" t="n">
        <v>20000</v>
      </c>
      <c r="J18" s="85" t="n">
        <v>37800</v>
      </c>
      <c r="L18" s="107" t="n">
        <v>0.6539792387543253</v>
      </c>
      <c r="M18" s="84" t="n">
        <v>31</v>
      </c>
    </row>
    <row r="19" ht="28.8" customHeight="1">
      <c r="A19" s="102" t="n">
        <v>11</v>
      </c>
      <c r="B19" s="102" t="inlineStr">
        <is>
          <t>Luis Alberto Ovalle Huamanguilla</t>
        </is>
      </c>
      <c r="F19" s="102" t="inlineStr">
        <is>
          <t>Estc E 37 - D 28</t>
        </is>
      </c>
      <c r="G19" s="102" t="inlineStr">
        <is>
          <t>Crédito Directo</t>
        </is>
      </c>
      <c r="H19" s="103" t="n">
        <v>52000</v>
      </c>
      <c r="I19" s="103" t="n">
        <v>17000</v>
      </c>
      <c r="J19" s="79" t="n">
        <v>35000</v>
      </c>
      <c r="L19" s="104" t="n">
        <v>0.6730769230769231</v>
      </c>
      <c r="M19" s="79" t="n">
        <v>61</v>
      </c>
    </row>
    <row r="20" ht="28.8" customHeight="1">
      <c r="A20" s="105" t="n">
        <v>12</v>
      </c>
      <c r="B20" s="105" t="inlineStr">
        <is>
          <t>Karina Cabanillas Correa</t>
        </is>
      </c>
      <c r="F20" s="105" t="inlineStr">
        <is>
          <t>Estc E 09 - D 06</t>
        </is>
      </c>
      <c r="G20" s="105" t="inlineStr">
        <is>
          <t>Crédito Directo</t>
        </is>
      </c>
      <c r="H20" s="106" t="n">
        <v>52000</v>
      </c>
      <c r="I20" s="106" t="n">
        <v>31600</v>
      </c>
      <c r="J20" s="85" t="n">
        <v>20400</v>
      </c>
      <c r="L20" s="107" t="n">
        <v>0.3923076923076923</v>
      </c>
      <c r="M20" s="84" t="n">
        <v>92</v>
      </c>
    </row>
    <row r="21" ht="28.8" customHeight="1">
      <c r="A21" s="102" t="n">
        <v>13</v>
      </c>
      <c r="B21" s="102" t="inlineStr">
        <is>
          <t>Gersom Juver Gonzalez Alfaro</t>
        </is>
      </c>
      <c r="F21" s="102" t="inlineStr">
        <is>
          <t>Estc E 25 - D 19</t>
        </is>
      </c>
      <c r="G21" s="102" t="inlineStr">
        <is>
          <t>Crédito Directo</t>
        </is>
      </c>
      <c r="H21" s="103" t="n">
        <v>60400</v>
      </c>
      <c r="I21" s="103" t="n">
        <v>20400</v>
      </c>
      <c r="J21" s="79" t="n">
        <v>20000</v>
      </c>
      <c r="L21" s="104" t="n">
        <v>0.3311258278145696</v>
      </c>
      <c r="M21" s="79" t="n">
        <v>0</v>
      </c>
    </row>
    <row r="22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</row>
    <row r="23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</row>
    <row r="24" ht="15.6" customHeight="1">
      <c r="A24" s="97" t="inlineStr">
        <is>
          <t>BEYOND</t>
        </is>
      </c>
      <c r="F24" s="98" t="inlineStr">
        <is>
          <t>DEUDA TOTAL</t>
        </is>
      </c>
      <c r="H24" s="99" t="n">
        <v>8403829.210000001</v>
      </c>
      <c r="J24" s="100" t="inlineStr">
        <is>
          <t>CLIENTE</t>
        </is>
      </c>
      <c r="L24" s="100" t="n">
        <v>31</v>
      </c>
    </row>
    <row r="25" ht="28.8" customHeight="1">
      <c r="A25" s="101" t="inlineStr">
        <is>
          <t>Rank</t>
        </is>
      </c>
      <c r="B25" s="101" t="inlineStr">
        <is>
          <t>Cliente</t>
        </is>
      </c>
      <c r="F25" s="101" t="inlineStr">
        <is>
          <t>Unidad</t>
        </is>
      </c>
      <c r="G25" s="101" t="inlineStr">
        <is>
          <t>Financiamiento</t>
        </is>
      </c>
      <c r="H25" s="101" t="inlineStr">
        <is>
          <t>Precio Venta</t>
        </is>
      </c>
      <c r="I25" s="101" t="inlineStr">
        <is>
          <t>Monto Cobrado</t>
        </is>
      </c>
      <c r="J25" s="101" t="inlineStr">
        <is>
          <t>Monto Deuda</t>
        </is>
      </c>
      <c r="L25" s="101" t="inlineStr">
        <is>
          <t>Tasa de Morosidad</t>
        </is>
      </c>
      <c r="M25" s="101" t="inlineStr">
        <is>
          <t>Días de atraso</t>
        </is>
      </c>
    </row>
    <row r="26" ht="28.8" customHeight="1">
      <c r="A26" s="102" t="n">
        <v>1</v>
      </c>
      <c r="B26" s="102" t="inlineStr">
        <is>
          <t>RONALD ANTONIO TICONA ARONES</t>
        </is>
      </c>
      <c r="F26" s="102" t="inlineStr">
        <is>
          <t>Dpto 703, Dpto 704</t>
        </is>
      </c>
      <c r="G26" s="102" t="inlineStr">
        <is>
          <t>Crédito Hipotecario</t>
        </is>
      </c>
      <c r="H26" s="103" t="n">
        <v>942700</v>
      </c>
      <c r="I26" s="103" t="n">
        <v>94270</v>
      </c>
      <c r="J26" s="79" t="n">
        <v>848430</v>
      </c>
      <c r="L26" s="104" t="n">
        <v>0.9</v>
      </c>
      <c r="M26" s="79" t="n">
        <v>123</v>
      </c>
    </row>
    <row r="27" ht="28.8" customHeight="1">
      <c r="A27" s="105" t="n">
        <v>2</v>
      </c>
      <c r="B27" s="105" t="inlineStr">
        <is>
          <t>Tania Jackeline Valladares Timana</t>
        </is>
      </c>
      <c r="F27" s="105" t="inlineStr">
        <is>
          <t>Dpto 1001</t>
        </is>
      </c>
      <c r="G27" s="105" t="inlineStr">
        <is>
          <t>Ahorro</t>
        </is>
      </c>
      <c r="H27" s="106" t="n">
        <v>518500</v>
      </c>
      <c r="I27" s="106" t="n">
        <v>39725</v>
      </c>
      <c r="J27" s="85" t="n">
        <v>478775</v>
      </c>
      <c r="L27" s="107" t="n">
        <v>0.9233847637415622</v>
      </c>
      <c r="M27" s="84" t="n">
        <v>242</v>
      </c>
    </row>
    <row r="28" ht="28.8" customHeight="1">
      <c r="A28" s="102" t="n">
        <v>3</v>
      </c>
      <c r="B28" s="102" t="inlineStr">
        <is>
          <t>Jimmy Luis Andrade Morveli</t>
        </is>
      </c>
      <c r="F28" s="102" t="inlineStr">
        <is>
          <t>Dpto 601</t>
        </is>
      </c>
      <c r="G28" s="102" t="inlineStr">
        <is>
          <t>Crédito Hipotecario</t>
        </is>
      </c>
      <c r="H28" s="103" t="n">
        <v>470000</v>
      </c>
      <c r="I28" s="103" t="n">
        <v>3000</v>
      </c>
      <c r="J28" s="79" t="n">
        <v>467000</v>
      </c>
      <c r="L28" s="104" t="n">
        <v>0.9936170212765958</v>
      </c>
      <c r="M28" s="79" t="n">
        <v>199</v>
      </c>
    </row>
    <row r="29" ht="28.8" customHeight="1">
      <c r="A29" s="105" t="n">
        <v>4</v>
      </c>
      <c r="B29" s="105" t="inlineStr">
        <is>
          <t>Tania Milagros Cotrina Vara</t>
        </is>
      </c>
      <c r="F29" s="105" t="inlineStr">
        <is>
          <t>Dpto 205</t>
        </is>
      </c>
      <c r="G29" s="105" t="inlineStr">
        <is>
          <t>Ahorro</t>
        </is>
      </c>
      <c r="H29" s="106" t="n">
        <v>577000</v>
      </c>
      <c r="I29" s="106" t="n">
        <v>120000</v>
      </c>
      <c r="J29" s="85" t="n">
        <v>457000</v>
      </c>
      <c r="L29" s="107" t="n">
        <v>0.7920277296360485</v>
      </c>
      <c r="M29" s="84" t="n">
        <v>61</v>
      </c>
    </row>
    <row r="30" ht="28.8" customHeight="1">
      <c r="A30" s="102" t="n">
        <v>5</v>
      </c>
      <c r="B30" s="102" t="inlineStr">
        <is>
          <t>Leidy Lucero Espíritu Zabarburu</t>
        </is>
      </c>
      <c r="F30" s="102" t="inlineStr">
        <is>
          <t>Dpto 303</t>
        </is>
      </c>
      <c r="G30" s="102" t="inlineStr">
        <is>
          <t>Ahorro</t>
        </is>
      </c>
      <c r="H30" s="103" t="n">
        <v>458000</v>
      </c>
      <c r="I30" s="103" t="n">
        <v>22900</v>
      </c>
      <c r="J30" s="79" t="n">
        <v>435100</v>
      </c>
      <c r="L30" s="104" t="n">
        <v>0.95</v>
      </c>
      <c r="M30" s="79" t="n">
        <v>31</v>
      </c>
    </row>
    <row r="31" ht="28.8" customHeight="1">
      <c r="A31" s="105" t="n">
        <v>6</v>
      </c>
      <c r="B31" s="105" t="inlineStr">
        <is>
          <t>Francesca Giuliana Ramos Ortiz</t>
        </is>
      </c>
      <c r="F31" s="105" t="inlineStr">
        <is>
          <t>Dpto 501, Estc E 14 - D 12</t>
        </is>
      </c>
      <c r="G31" s="105" t="inlineStr">
        <is>
          <t>Ahorro</t>
        </is>
      </c>
      <c r="H31" s="106" t="n">
        <v>524500</v>
      </c>
      <c r="I31" s="106" t="n">
        <v>104900</v>
      </c>
      <c r="J31" s="85" t="n">
        <v>419600</v>
      </c>
      <c r="L31" s="107" t="n">
        <v>0.8</v>
      </c>
      <c r="M31" s="84" t="n">
        <v>61</v>
      </c>
    </row>
    <row r="32" ht="28.8" customHeight="1">
      <c r="A32" s="102" t="n">
        <v>7</v>
      </c>
      <c r="B32" s="102" t="inlineStr">
        <is>
          <t>Dolores Lissett Castillo Diaz</t>
        </is>
      </c>
      <c r="F32" s="102" t="inlineStr">
        <is>
          <t>Dpto 701, Estc E 17</t>
        </is>
      </c>
      <c r="G32" s="102" t="inlineStr">
        <is>
          <t>Ahorro</t>
        </is>
      </c>
      <c r="H32" s="103" t="n">
        <v>521800</v>
      </c>
      <c r="I32" s="103" t="n">
        <v>104360</v>
      </c>
      <c r="J32" s="79" t="n">
        <v>417440</v>
      </c>
      <c r="L32" s="104" t="n">
        <v>0.8</v>
      </c>
      <c r="M32" s="79" t="n">
        <v>67</v>
      </c>
    </row>
    <row r="33" ht="28.8" customHeight="1">
      <c r="A33" s="105" t="n">
        <v>8</v>
      </c>
      <c r="B33" s="105" t="inlineStr">
        <is>
          <t>Juana Mercedes Moran Peralta</t>
        </is>
      </c>
      <c r="F33" s="105" t="inlineStr">
        <is>
          <t>Dpto 404</t>
        </is>
      </c>
      <c r="G33" s="105" t="inlineStr">
        <is>
          <t>Ahorro</t>
        </is>
      </c>
      <c r="H33" s="106" t="n">
        <v>460000</v>
      </c>
      <c r="I33" s="106" t="n">
        <v>46000</v>
      </c>
      <c r="J33" s="85" t="n">
        <v>414000</v>
      </c>
      <c r="L33" s="107" t="n">
        <v>0.9</v>
      </c>
      <c r="M33" s="84" t="n">
        <v>13</v>
      </c>
    </row>
    <row r="34" ht="28.8" customHeight="1">
      <c r="A34" s="102" t="n">
        <v>9</v>
      </c>
      <c r="B34" s="102" t="inlineStr">
        <is>
          <t>Ronald José Claudio Ramírez</t>
        </is>
      </c>
      <c r="F34" s="102" t="inlineStr">
        <is>
          <t>Dpto 504, Estc E 07</t>
        </is>
      </c>
      <c r="G34" s="102" t="inlineStr">
        <is>
          <t>Ahorro</t>
        </is>
      </c>
      <c r="H34" s="103" t="n">
        <v>510000</v>
      </c>
      <c r="I34" s="103" t="n">
        <v>102000</v>
      </c>
      <c r="J34" s="79" t="n">
        <v>408000</v>
      </c>
      <c r="L34" s="104" t="n">
        <v>0.8</v>
      </c>
      <c r="M34" s="79" t="n">
        <v>0</v>
      </c>
    </row>
    <row r="35" ht="28.8" customHeight="1">
      <c r="A35" s="105" t="n">
        <v>10</v>
      </c>
      <c r="B35" s="105" t="inlineStr">
        <is>
          <t>Jhoully Kattherine Moreno Saavedra</t>
        </is>
      </c>
      <c r="F35" s="105" t="inlineStr">
        <is>
          <t>Dpto 204</t>
        </is>
      </c>
      <c r="G35" s="105" t="inlineStr">
        <is>
          <t>Crédito Hipotecario</t>
        </is>
      </c>
      <c r="H35" s="106" t="n">
        <v>450000</v>
      </c>
      <c r="I35" s="106" t="n">
        <v>45000</v>
      </c>
      <c r="J35" s="85" t="n">
        <v>405000</v>
      </c>
      <c r="L35" s="107" t="n">
        <v>0.9</v>
      </c>
      <c r="M35" s="84" t="n">
        <v>92</v>
      </c>
    </row>
    <row r="36" ht="28.8" customHeight="1">
      <c r="A36" s="102" t="n">
        <v>11</v>
      </c>
      <c r="B36" s="102" t="inlineStr">
        <is>
          <t>ERICK RAUL BEDOYA BACA</t>
        </is>
      </c>
      <c r="F36" s="102" t="inlineStr">
        <is>
          <t>Dpto 503</t>
        </is>
      </c>
      <c r="G36" s="102" t="inlineStr">
        <is>
          <t>Crédito Hipotecario</t>
        </is>
      </c>
      <c r="H36" s="103" t="n">
        <v>470000</v>
      </c>
      <c r="I36" s="103" t="n">
        <v>70500</v>
      </c>
      <c r="J36" s="79" t="n">
        <v>399500</v>
      </c>
      <c r="L36" s="104" t="n">
        <v>0.85</v>
      </c>
      <c r="M36" s="79" t="n">
        <v>183</v>
      </c>
    </row>
    <row r="37" ht="28.8" customHeight="1">
      <c r="A37" s="105" t="n">
        <v>12</v>
      </c>
      <c r="B37" s="105" t="inlineStr">
        <is>
          <t>Mayra Andrea Montenegro Gomez</t>
        </is>
      </c>
      <c r="F37" s="105" t="inlineStr">
        <is>
          <t>Dpto 605</t>
        </is>
      </c>
      <c r="G37" s="105" t="inlineStr">
        <is>
          <t>Crédito Hipotecario</t>
        </is>
      </c>
      <c r="H37" s="106" t="n">
        <v>495000</v>
      </c>
      <c r="I37" s="106" t="n">
        <v>99000</v>
      </c>
      <c r="J37" s="85" t="n">
        <v>396000</v>
      </c>
      <c r="L37" s="107" t="n">
        <v>0.8</v>
      </c>
      <c r="M37" s="84" t="n">
        <v>61</v>
      </c>
    </row>
    <row r="38" ht="28.8" customHeight="1">
      <c r="A38" s="102" t="n">
        <v>13</v>
      </c>
      <c r="B38" s="102" t="inlineStr">
        <is>
          <t>Margarita Mercedes Lujas Paredes</t>
        </is>
      </c>
      <c r="F38" s="102" t="inlineStr">
        <is>
          <t>Dpto 202</t>
        </is>
      </c>
      <c r="G38" s="102" t="inlineStr">
        <is>
          <t>Ahorro</t>
        </is>
      </c>
      <c r="H38" s="103" t="n">
        <v>430000</v>
      </c>
      <c r="I38" s="103" t="n">
        <v>43000</v>
      </c>
      <c r="J38" s="79" t="n">
        <v>387000</v>
      </c>
      <c r="L38" s="104" t="n">
        <v>0.9</v>
      </c>
      <c r="M38" s="79" t="n">
        <v>61</v>
      </c>
    </row>
    <row r="39" ht="28.8" customHeight="1">
      <c r="A39" s="105" t="n">
        <v>14</v>
      </c>
      <c r="B39" s="105" t="inlineStr">
        <is>
          <t>Luisa Liliana Esther Erazo Medina</t>
        </is>
      </c>
      <c r="F39" s="105" t="inlineStr">
        <is>
          <t>Dpto 602</t>
        </is>
      </c>
      <c r="G39" s="105" t="inlineStr">
        <is>
          <t>Ahorro</t>
        </is>
      </c>
      <c r="H39" s="106" t="n">
        <v>400000</v>
      </c>
      <c r="I39" s="106" t="n">
        <v>23000</v>
      </c>
      <c r="J39" s="85" t="n">
        <v>377000</v>
      </c>
      <c r="L39" s="107" t="n">
        <v>0.9425</v>
      </c>
      <c r="M39" s="84" t="n">
        <v>30</v>
      </c>
    </row>
    <row r="40" ht="28.8" customHeight="1">
      <c r="A40" s="102" t="n">
        <v>15</v>
      </c>
      <c r="B40" s="102" t="inlineStr">
        <is>
          <t>Víctor Daniel Chuquihuaccha Hernandez</t>
        </is>
      </c>
      <c r="F40" s="102" t="inlineStr">
        <is>
          <t>Dpto 702</t>
        </is>
      </c>
      <c r="G40" s="102" t="inlineStr">
        <is>
          <t>Crédito Hipotecario</t>
        </is>
      </c>
      <c r="H40" s="103" t="n">
        <v>382000</v>
      </c>
      <c r="I40" s="103" t="n">
        <v>38200</v>
      </c>
      <c r="J40" s="79" t="n">
        <v>343800</v>
      </c>
      <c r="L40" s="104" t="n">
        <v>0.9</v>
      </c>
      <c r="M40" s="79" t="n">
        <v>211</v>
      </c>
    </row>
    <row r="41" ht="28.8" customHeight="1">
      <c r="A41" s="105" t="n">
        <v>16</v>
      </c>
      <c r="B41" s="105" t="inlineStr">
        <is>
          <t>Erla Liseth Carhuavilca Pérez</t>
        </is>
      </c>
      <c r="F41" s="105" t="inlineStr">
        <is>
          <t>Dpto 403, Estc E 06</t>
        </is>
      </c>
      <c r="G41" s="105" t="inlineStr">
        <is>
          <t>Ahorro</t>
        </is>
      </c>
      <c r="H41" s="106" t="n">
        <v>504700</v>
      </c>
      <c r="I41" s="106" t="n">
        <v>186000</v>
      </c>
      <c r="J41" s="85" t="n">
        <v>318700</v>
      </c>
      <c r="L41" s="107" t="n">
        <v>0.6314642361799089</v>
      </c>
      <c r="M41" s="84" t="n">
        <v>92</v>
      </c>
    </row>
    <row r="42" ht="28.8" customHeight="1">
      <c r="A42" s="102" t="n">
        <v>17</v>
      </c>
      <c r="B42" s="102" t="inlineStr">
        <is>
          <t>Danixa Thalia Manosalva Ameri</t>
        </is>
      </c>
      <c r="F42" s="102" t="inlineStr">
        <is>
          <t>Dpto 302</t>
        </is>
      </c>
      <c r="G42" s="102" t="inlineStr">
        <is>
          <t>Ahorro</t>
        </is>
      </c>
      <c r="H42" s="103" t="n">
        <v>381000</v>
      </c>
      <c r="I42" s="103" t="n">
        <v>64000</v>
      </c>
      <c r="J42" s="79" t="n">
        <v>317000</v>
      </c>
      <c r="L42" s="104" t="n">
        <v>0.8320209973753281</v>
      </c>
      <c r="M42" s="79" t="n">
        <v>92</v>
      </c>
    </row>
    <row r="43" ht="28.8" customHeight="1">
      <c r="A43" s="105" t="n">
        <v>18</v>
      </c>
      <c r="B43" s="105" t="inlineStr">
        <is>
          <t>Darwin Martin Peralta Conchucos</t>
        </is>
      </c>
      <c r="F43" s="105" t="inlineStr">
        <is>
          <t>Dpto 1306</t>
        </is>
      </c>
      <c r="G43" s="105" t="inlineStr">
        <is>
          <t>Ahorro</t>
        </is>
      </c>
      <c r="H43" s="106" t="n">
        <v>265000</v>
      </c>
      <c r="I43" s="106" t="n">
        <v>68600</v>
      </c>
      <c r="J43" s="85" t="n">
        <v>196400</v>
      </c>
      <c r="L43" s="107" t="n">
        <v>0.7411320754716981</v>
      </c>
      <c r="M43" s="84" t="n">
        <v>0</v>
      </c>
    </row>
    <row r="44" ht="28.8" customHeight="1">
      <c r="A44" s="102" t="n">
        <v>19</v>
      </c>
      <c r="B44" s="102" t="inlineStr">
        <is>
          <t>Dante Enrique Segura Florian</t>
        </is>
      </c>
      <c r="F44" s="102" t="inlineStr">
        <is>
          <t>Depósito D 05, Dpto 505, Estc E 05</t>
        </is>
      </c>
      <c r="G44" s="102" t="inlineStr">
        <is>
          <t>Crédito Directo</t>
        </is>
      </c>
      <c r="H44" s="103" t="n">
        <v>561500</v>
      </c>
      <c r="I44" s="103" t="n">
        <v>366605.7</v>
      </c>
      <c r="J44" s="79" t="n">
        <v>194894.3</v>
      </c>
      <c r="L44" s="104" t="n">
        <v>0.3470958147818344</v>
      </c>
      <c r="M44" s="79" t="n">
        <v>310</v>
      </c>
    </row>
    <row r="45" ht="28.8" customHeight="1">
      <c r="A45" s="105" t="n">
        <v>20</v>
      </c>
      <c r="B45" s="105" t="inlineStr">
        <is>
          <t>Elsa Edelmira Aguirre Novoa</t>
        </is>
      </c>
      <c r="F45" s="105" t="inlineStr">
        <is>
          <t>Dpto 1406</t>
        </is>
      </c>
      <c r="G45" s="105" t="inlineStr">
        <is>
          <t>Crédito Directo</t>
        </is>
      </c>
      <c r="H45" s="106" t="n">
        <v>285000</v>
      </c>
      <c r="I45" s="106" t="n">
        <v>3000</v>
      </c>
      <c r="J45" s="85" t="n">
        <v>139500</v>
      </c>
      <c r="L45" s="107" t="n">
        <v>0.4894736842105263</v>
      </c>
      <c r="M45" s="84" t="n">
        <v>0</v>
      </c>
    </row>
    <row r="46" ht="28.8" customHeight="1">
      <c r="A46" s="102" t="n">
        <v>21</v>
      </c>
      <c r="B46" s="102" t="inlineStr">
        <is>
          <t>Omar Edwin Riveros Tejada</t>
        </is>
      </c>
      <c r="F46" s="102" t="inlineStr">
        <is>
          <t>Dpto 1302</t>
        </is>
      </c>
      <c r="G46" s="102" t="inlineStr">
        <is>
          <t>Ahorro</t>
        </is>
      </c>
      <c r="H46" s="103" t="n">
        <v>370000</v>
      </c>
      <c r="I46" s="103" t="n">
        <v>126500</v>
      </c>
      <c r="J46" s="79" t="n">
        <v>123500</v>
      </c>
      <c r="L46" s="104" t="n">
        <v>0.3337837837837838</v>
      </c>
      <c r="M46" s="79" t="n">
        <v>0</v>
      </c>
    </row>
    <row r="47" ht="28.8" customHeight="1">
      <c r="A47" s="105" t="n">
        <v>22</v>
      </c>
      <c r="B47" s="105" t="inlineStr">
        <is>
          <t>Gina Victoria Saenz Pasco</t>
        </is>
      </c>
      <c r="F47" s="105" t="inlineStr">
        <is>
          <t>Dpto 402, Estc E 44 - D 26</t>
        </is>
      </c>
      <c r="G47" s="105" t="inlineStr">
        <is>
          <t>Ahorro</t>
        </is>
      </c>
      <c r="H47" s="106" t="n">
        <v>448500</v>
      </c>
      <c r="I47" s="106" t="n">
        <v>33000</v>
      </c>
      <c r="J47" s="85" t="n">
        <v>115375</v>
      </c>
      <c r="L47" s="107" t="n">
        <v>0.2572463768115942</v>
      </c>
      <c r="M47" s="84" t="n">
        <v>22</v>
      </c>
    </row>
    <row r="48" ht="28.8" customHeight="1">
      <c r="A48" s="102" t="n">
        <v>23</v>
      </c>
      <c r="B48" s="102" t="inlineStr">
        <is>
          <t>Luis Alberto Vargas Chacaltana</t>
        </is>
      </c>
      <c r="F48" s="102" t="inlineStr">
        <is>
          <t>Dpto 401</t>
        </is>
      </c>
      <c r="G48" s="102" t="inlineStr">
        <is>
          <t>Crédito Directo</t>
        </is>
      </c>
      <c r="H48" s="103" t="n">
        <v>470000</v>
      </c>
      <c r="I48" s="103" t="n">
        <v>188000</v>
      </c>
      <c r="J48" s="79" t="n">
        <v>94000</v>
      </c>
      <c r="L48" s="104" t="n">
        <v>0.2</v>
      </c>
      <c r="M48" s="79" t="n">
        <v>62</v>
      </c>
    </row>
    <row r="49" ht="28.8" customHeight="1">
      <c r="A49" s="105" t="n">
        <v>24</v>
      </c>
      <c r="B49" s="105" t="inlineStr">
        <is>
          <t>Jacqueline Elsa Moreno Huaman</t>
        </is>
      </c>
      <c r="F49" s="105" t="inlineStr">
        <is>
          <t>Dpto 1401</t>
        </is>
      </c>
      <c r="G49" s="105" t="inlineStr">
        <is>
          <t>Ahorro</t>
        </is>
      </c>
      <c r="H49" s="106" t="n">
        <v>483000</v>
      </c>
      <c r="I49" s="106" t="n">
        <v>10000</v>
      </c>
      <c r="J49" s="85" t="n">
        <v>55000</v>
      </c>
      <c r="L49" s="107" t="n">
        <v>0.113871635610766</v>
      </c>
      <c r="M49" s="84" t="n">
        <v>30</v>
      </c>
    </row>
    <row r="50" ht="28.8" customHeight="1">
      <c r="A50" s="102" t="n">
        <v>25</v>
      </c>
      <c r="B50" s="102" t="inlineStr">
        <is>
          <t>Tania Jackeline Valladares Timana</t>
        </is>
      </c>
      <c r="F50" s="102" t="inlineStr">
        <is>
          <t>Estc E 15 - D 13</t>
        </is>
      </c>
      <c r="G50" s="102" t="inlineStr">
        <is>
          <t>Crédito Directo</t>
        </is>
      </c>
      <c r="H50" s="103" t="n">
        <v>54000</v>
      </c>
      <c r="I50" s="103" t="n">
        <v>11000</v>
      </c>
      <c r="J50" s="79" t="n">
        <v>39200</v>
      </c>
      <c r="L50" s="104" t="n">
        <v>0.725925925925926</v>
      </c>
      <c r="M50" s="79" t="n">
        <v>210</v>
      </c>
    </row>
    <row r="51" ht="28.8" customHeight="1">
      <c r="A51" s="105" t="n">
        <v>26</v>
      </c>
      <c r="B51" s="105" t="inlineStr">
        <is>
          <t>Marco Antonio Cordova Oropeza</t>
        </is>
      </c>
      <c r="F51" s="105" t="inlineStr">
        <is>
          <t>Dpto 201, Estc E 16</t>
        </is>
      </c>
      <c r="G51" s="105" t="inlineStr">
        <is>
          <t>Crédito Directo</t>
        </is>
      </c>
      <c r="H51" s="106" t="n">
        <v>519900</v>
      </c>
      <c r="I51" s="106" t="n">
        <v>184461.82</v>
      </c>
      <c r="J51" s="85" t="n">
        <v>37270.91</v>
      </c>
      <c r="L51" s="107" t="n">
        <v>0.07168861319484517</v>
      </c>
      <c r="M51" s="84" t="n">
        <v>2</v>
      </c>
    </row>
    <row r="52" ht="28.8" customHeight="1">
      <c r="A52" s="102" t="n">
        <v>27</v>
      </c>
      <c r="B52" s="102" t="inlineStr">
        <is>
          <t>ELIZABETH MINDY DELGADO PEREYRA</t>
        </is>
      </c>
      <c r="F52" s="102" t="inlineStr">
        <is>
          <t>Dpto 1301</t>
        </is>
      </c>
      <c r="G52" s="102" t="inlineStr">
        <is>
          <t>Ahorro</t>
        </is>
      </c>
      <c r="H52" s="103" t="n">
        <v>455500</v>
      </c>
      <c r="I52" s="103" t="n">
        <v>22776</v>
      </c>
      <c r="J52" s="79" t="n">
        <v>22774</v>
      </c>
      <c r="L52" s="104" t="n">
        <v>0.04999780461031833</v>
      </c>
      <c r="M52" s="79" t="n">
        <v>0</v>
      </c>
    </row>
    <row r="53" ht="28.8" customHeight="1">
      <c r="A53" s="105" t="n">
        <v>28</v>
      </c>
      <c r="B53" s="105" t="inlineStr">
        <is>
          <t>Diana Carolina Asmat Cuno</t>
        </is>
      </c>
      <c r="F53" s="105" t="inlineStr">
        <is>
          <t>Dpto 1202</t>
        </is>
      </c>
      <c r="G53" s="105" t="inlineStr">
        <is>
          <t>Crédito Directo</t>
        </is>
      </c>
      <c r="H53" s="106" t="n">
        <v>370000</v>
      </c>
      <c r="I53" s="106" t="n">
        <v>109500</v>
      </c>
      <c r="J53" s="85" t="n">
        <v>20000</v>
      </c>
      <c r="L53" s="107" t="n">
        <v>0.05405405405405406</v>
      </c>
      <c r="M53" s="84" t="n">
        <v>61</v>
      </c>
    </row>
    <row r="54" ht="28.8" customHeight="1">
      <c r="A54" s="102" t="n">
        <v>29</v>
      </c>
      <c r="B54" s="102" t="inlineStr">
        <is>
          <t>Fabiola Maria Lecca Vargas</t>
        </is>
      </c>
      <c r="F54" s="102" t="inlineStr">
        <is>
          <t>Dpto 1205</t>
        </is>
      </c>
      <c r="G54" s="102" t="inlineStr">
        <is>
          <t>Crédito Directo</t>
        </is>
      </c>
      <c r="H54" s="103" t="n">
        <v>467100</v>
      </c>
      <c r="I54" s="103" t="n">
        <v>149470</v>
      </c>
      <c r="J54" s="79" t="n">
        <v>20000</v>
      </c>
      <c r="L54" s="104" t="n">
        <v>0.04281738385784629</v>
      </c>
      <c r="M54" s="79" t="n">
        <v>16</v>
      </c>
    </row>
    <row r="55" ht="28.8" customHeight="1">
      <c r="A55" s="105" t="n">
        <v>30</v>
      </c>
      <c r="B55" s="105" t="inlineStr">
        <is>
          <t>Elizabeth Bertha Fierro Cancho</t>
        </is>
      </c>
      <c r="F55" s="105" t="inlineStr">
        <is>
          <t>Dpto 801</t>
        </is>
      </c>
      <c r="G55" s="105" t="inlineStr">
        <is>
          <t>Ahorro</t>
        </is>
      </c>
      <c r="H55" s="106" t="n">
        <v>493000</v>
      </c>
      <c r="I55" s="106" t="n">
        <v>180400</v>
      </c>
      <c r="J55" s="85" t="n">
        <v>16800</v>
      </c>
      <c r="L55" s="107" t="n">
        <v>0.03407707910750507</v>
      </c>
      <c r="M55" s="84" t="n">
        <v>0</v>
      </c>
    </row>
    <row r="56" ht="28.8" customHeight="1">
      <c r="A56" s="102" t="n">
        <v>31</v>
      </c>
      <c r="B56" s="102" t="inlineStr">
        <is>
          <t>Christian Eduardo Blas Acosta</t>
        </is>
      </c>
      <c r="F56" s="102" t="inlineStr">
        <is>
          <t>Dpto 1502, Estc E 39</t>
        </is>
      </c>
      <c r="G56" s="102" t="inlineStr">
        <is>
          <t>Crédito Directo</t>
        </is>
      </c>
      <c r="H56" s="103" t="n">
        <v>412200</v>
      </c>
      <c r="I56" s="103" t="n">
        <v>192270</v>
      </c>
      <c r="J56" s="79" t="n">
        <v>12000</v>
      </c>
      <c r="L56" s="104" t="n">
        <v>0.02911208151382824</v>
      </c>
      <c r="M56" s="79" t="n">
        <v>0</v>
      </c>
    </row>
    <row r="57" ht="28.8" customHeight="1">
      <c r="A57" s="105" t="n">
        <v>32</v>
      </c>
      <c r="B57" s="105" t="inlineStr">
        <is>
          <t>Rocio del Pilar Quispe Vivanco</t>
        </is>
      </c>
      <c r="F57" s="105" t="inlineStr">
        <is>
          <t>Estc E 33 - D 22</t>
        </is>
      </c>
      <c r="G57" s="105" t="inlineStr">
        <is>
          <t>Crédito Directo</t>
        </is>
      </c>
      <c r="H57" s="106" t="n">
        <v>51000</v>
      </c>
      <c r="I57" s="106" t="n">
        <v>2010</v>
      </c>
      <c r="J57" s="85" t="n">
        <v>8990</v>
      </c>
      <c r="L57" s="107" t="n">
        <v>0.1762745098039216</v>
      </c>
      <c r="M57" s="84" t="n">
        <v>76</v>
      </c>
    </row>
    <row r="58" ht="28.8" customHeight="1">
      <c r="A58" s="102" t="n">
        <v>33</v>
      </c>
      <c r="B58" s="102" t="inlineStr">
        <is>
          <t>Juana Mercedes Moran Peralta</t>
        </is>
      </c>
      <c r="F58" s="102" t="inlineStr">
        <is>
          <t>Estc E 10 - D 09</t>
        </is>
      </c>
      <c r="G58" s="102" t="inlineStr">
        <is>
          <t>Crédito Hipotecario</t>
        </is>
      </c>
      <c r="H58" s="103" t="n">
        <v>51300</v>
      </c>
      <c r="I58" s="103" t="n">
        <v>10000</v>
      </c>
      <c r="J58" s="79" t="n">
        <v>8300</v>
      </c>
      <c r="L58" s="104" t="n">
        <v>0.1617933723196881</v>
      </c>
      <c r="M58" s="79" t="n">
        <v>31</v>
      </c>
    </row>
    <row r="59" ht="28.8" customHeight="1">
      <c r="A59" s="105" t="n">
        <v>34</v>
      </c>
      <c r="B59" s="105" t="inlineStr">
        <is>
          <t>RONALD ANTONIO TICONA ARONES</t>
        </is>
      </c>
      <c r="F59" s="105" t="inlineStr">
        <is>
          <t>Estc E 31 - D 20, Estc E 32 - D 21</t>
        </is>
      </c>
      <c r="G59" s="105" t="inlineStr">
        <is>
          <t>Crédito Directo</t>
        </is>
      </c>
      <c r="H59" s="106" t="n">
        <v>102500</v>
      </c>
      <c r="I59" s="106" t="n">
        <v>53220</v>
      </c>
      <c r="J59" s="85" t="n">
        <v>4480</v>
      </c>
      <c r="L59" s="107" t="n">
        <v>0.04370731707317073</v>
      </c>
      <c r="M59" s="84" t="n">
        <v>0</v>
      </c>
    </row>
    <row r="60" ht="28.8" customHeight="1">
      <c r="A60" s="102" t="n">
        <v>35</v>
      </c>
      <c r="B60" s="102" t="inlineStr">
        <is>
          <t>Jimmy Luis Andrade Morveli</t>
        </is>
      </c>
      <c r="F60" s="102" t="inlineStr">
        <is>
          <t>Estc E 19 - D 14</t>
        </is>
      </c>
      <c r="G60" s="102" t="inlineStr">
        <is>
          <t>Crédito Directo</t>
        </is>
      </c>
      <c r="H60" s="103" t="n">
        <v>54500</v>
      </c>
      <c r="I60" s="103" t="n">
        <v>6000</v>
      </c>
      <c r="J60" s="79" t="n">
        <v>3000</v>
      </c>
      <c r="L60" s="104" t="n">
        <v>0.05504587155963303</v>
      </c>
      <c r="M60" s="79" t="n">
        <v>0</v>
      </c>
    </row>
    <row r="61" ht="28.8" customHeight="1">
      <c r="A61" s="105" t="n">
        <v>36</v>
      </c>
      <c r="B61" s="105" t="inlineStr">
        <is>
          <t>Elizabeth Bertha Fierro Cancho</t>
        </is>
      </c>
      <c r="F61" s="105" t="inlineStr">
        <is>
          <t>Estc E 26 - D 17</t>
        </is>
      </c>
      <c r="G61" s="105" t="inlineStr">
        <is>
          <t>Crédito Directo</t>
        </is>
      </c>
      <c r="H61" s="106" t="n">
        <v>51000</v>
      </c>
      <c r="I61" s="106" t="n">
        <v>19000</v>
      </c>
      <c r="J61" s="85" t="n">
        <v>3000</v>
      </c>
      <c r="L61" s="107" t="n">
        <v>0.05882352941176471</v>
      </c>
      <c r="M61" s="84" t="n">
        <v>0</v>
      </c>
    </row>
    <row r="62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</row>
    <row r="63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</row>
    <row r="64" ht="15.6" customHeight="1">
      <c r="A64" s="97" t="inlineStr">
        <is>
          <t>VENECIA</t>
        </is>
      </c>
      <c r="F64" s="98" t="inlineStr">
        <is>
          <t>DEUDA TOTAL</t>
        </is>
      </c>
      <c r="H64" s="99" t="n">
        <v>1903965.89</v>
      </c>
      <c r="J64" s="100" t="inlineStr">
        <is>
          <t>CLIENTE</t>
        </is>
      </c>
      <c r="L64" s="100" t="n">
        <v>10</v>
      </c>
    </row>
    <row r="65" ht="28.8" customHeight="1">
      <c r="A65" s="101" t="inlineStr">
        <is>
          <t>Rank</t>
        </is>
      </c>
      <c r="B65" s="101" t="inlineStr">
        <is>
          <t>Cliente</t>
        </is>
      </c>
      <c r="F65" s="101" t="inlineStr">
        <is>
          <t>Unidad</t>
        </is>
      </c>
      <c r="G65" s="101" t="inlineStr">
        <is>
          <t>Financiamiento</t>
        </is>
      </c>
      <c r="H65" s="101" t="inlineStr">
        <is>
          <t>Precio Venta</t>
        </is>
      </c>
      <c r="I65" s="101" t="inlineStr">
        <is>
          <t>Monto Cobrado</t>
        </is>
      </c>
      <c r="J65" s="101" t="inlineStr">
        <is>
          <t>Monto Deuda</t>
        </is>
      </c>
      <c r="L65" s="101" t="inlineStr">
        <is>
          <t>Tasa de Morosidad</t>
        </is>
      </c>
      <c r="M65" s="101" t="inlineStr">
        <is>
          <t>Días de atraso</t>
        </is>
      </c>
    </row>
    <row r="66" ht="28.8" customHeight="1">
      <c r="A66" s="102" t="n">
        <v>1</v>
      </c>
      <c r="B66" s="102" t="inlineStr">
        <is>
          <t>Ubaldo Yovera Puruguay</t>
        </is>
      </c>
      <c r="F66" s="102" t="inlineStr">
        <is>
          <t>Dpto 402</t>
        </is>
      </c>
      <c r="G66" s="102" t="inlineStr">
        <is>
          <t>Ahorro</t>
        </is>
      </c>
      <c r="H66" s="103" t="n">
        <v>623000</v>
      </c>
      <c r="I66" s="103" t="n">
        <v>10000</v>
      </c>
      <c r="J66" s="79" t="n">
        <v>613000</v>
      </c>
      <c r="L66" s="104" t="n">
        <v>0.9839486356340289</v>
      </c>
      <c r="M66" s="79" t="n">
        <v>36</v>
      </c>
    </row>
    <row r="67" ht="28.8" customHeight="1">
      <c r="A67" s="105" t="n">
        <v>2</v>
      </c>
      <c r="B67" s="105" t="inlineStr">
        <is>
          <t>Irma Paulina Palomino Huaman</t>
        </is>
      </c>
      <c r="F67" s="105" t="inlineStr">
        <is>
          <t>Dpto 701</t>
        </is>
      </c>
      <c r="G67" s="105" t="inlineStr">
        <is>
          <t>Ahorro</t>
        </is>
      </c>
      <c r="H67" s="106" t="n">
        <v>561000</v>
      </c>
      <c r="I67" s="106" t="n">
        <v>21900</v>
      </c>
      <c r="J67" s="85" t="n">
        <v>539100</v>
      </c>
      <c r="L67" s="107" t="n">
        <v>0.9609625668449198</v>
      </c>
      <c r="M67" s="84" t="n">
        <v>30</v>
      </c>
    </row>
    <row r="68" ht="28.8" customHeight="1">
      <c r="A68" s="102" t="n">
        <v>3</v>
      </c>
      <c r="B68" s="102" t="inlineStr">
        <is>
          <t>Mariela Gabriela Zapata Santivañez</t>
        </is>
      </c>
      <c r="F68" s="102" t="inlineStr">
        <is>
          <t>Dpto 205, Estc E 20</t>
        </is>
      </c>
      <c r="G68" s="102" t="inlineStr">
        <is>
          <t>Crédito Hipotecario</t>
        </is>
      </c>
      <c r="H68" s="103" t="n">
        <v>432800</v>
      </c>
      <c r="I68" s="103" t="n">
        <v>86560</v>
      </c>
      <c r="J68" s="79" t="n">
        <v>346240</v>
      </c>
      <c r="L68" s="104" t="n">
        <v>0.8</v>
      </c>
      <c r="M68" s="79" t="n">
        <v>31</v>
      </c>
    </row>
    <row r="69" ht="28.8" customHeight="1">
      <c r="A69" s="105" t="n">
        <v>4</v>
      </c>
      <c r="B69" s="105" t="inlineStr">
        <is>
          <t>Rocio Chuquimango Valencia</t>
        </is>
      </c>
      <c r="F69" s="105" t="inlineStr">
        <is>
          <t>Dpto 602, Estc E 24 - D 5</t>
        </is>
      </c>
      <c r="G69" s="105" t="inlineStr">
        <is>
          <t>Crédito Directo</t>
        </is>
      </c>
      <c r="H69" s="106" t="n">
        <v>624000</v>
      </c>
      <c r="I69" s="106" t="n">
        <v>79800</v>
      </c>
      <c r="J69" s="85" t="n">
        <v>180200.01</v>
      </c>
      <c r="L69" s="107" t="n">
        <v>0.2887820673076922</v>
      </c>
      <c r="M69" s="84" t="n">
        <v>46</v>
      </c>
    </row>
    <row r="70" ht="28.8" customHeight="1">
      <c r="A70" s="102" t="n">
        <v>5</v>
      </c>
      <c r="B70" s="102" t="inlineStr">
        <is>
          <t>Carlos La Cruz Crespo</t>
        </is>
      </c>
      <c r="F70" s="102" t="inlineStr">
        <is>
          <t>Dpto 204, Estc E 14 - D 4</t>
        </is>
      </c>
      <c r="G70" s="102" t="inlineStr">
        <is>
          <t>Crédito Directo</t>
        </is>
      </c>
      <c r="H70" s="103" t="n">
        <v>485800</v>
      </c>
      <c r="I70" s="103" t="n">
        <v>387320</v>
      </c>
      <c r="J70" s="79" t="n">
        <v>98480</v>
      </c>
      <c r="L70" s="104" t="n">
        <v>0.2027171675586661</v>
      </c>
      <c r="M70" s="79" t="n">
        <v>0</v>
      </c>
    </row>
    <row r="71" ht="28.8" customHeight="1">
      <c r="A71" s="105" t="n">
        <v>6</v>
      </c>
      <c r="B71" s="105" t="inlineStr">
        <is>
          <t>Patricia Salazar Aparcana</t>
        </is>
      </c>
      <c r="F71" s="105" t="inlineStr">
        <is>
          <t>Dpto 302</t>
        </is>
      </c>
      <c r="G71" s="105" t="inlineStr">
        <is>
          <t>Ahorro</t>
        </is>
      </c>
      <c r="H71" s="106" t="n">
        <v>600000</v>
      </c>
      <c r="I71" s="106" t="n">
        <v>20000</v>
      </c>
      <c r="J71" s="85" t="n">
        <v>40000</v>
      </c>
      <c r="L71" s="107" t="n">
        <v>0.06666666666666667</v>
      </c>
      <c r="M71" s="84" t="n">
        <v>62</v>
      </c>
    </row>
    <row r="72" ht="28.8" customHeight="1">
      <c r="A72" s="102" t="n">
        <v>7</v>
      </c>
      <c r="B72" s="102" t="inlineStr">
        <is>
          <t>Norma Luz Tello Contreras</t>
        </is>
      </c>
      <c r="F72" s="102" t="inlineStr">
        <is>
          <t>Dpto 601, Estc E 11</t>
        </is>
      </c>
      <c r="G72" s="102" t="inlineStr">
        <is>
          <t>Crédito Directo</t>
        </is>
      </c>
      <c r="H72" s="103" t="n">
        <v>595800</v>
      </c>
      <c r="I72" s="103" t="n">
        <v>285800</v>
      </c>
      <c r="J72" s="79" t="n">
        <v>36000</v>
      </c>
      <c r="L72" s="104" t="n">
        <v>0.06042296072507553</v>
      </c>
      <c r="M72" s="79" t="n">
        <v>77</v>
      </c>
    </row>
    <row r="73" ht="28.8" customHeight="1">
      <c r="A73" s="105" t="n">
        <v>8</v>
      </c>
      <c r="B73" s="105" t="inlineStr">
        <is>
          <t>Luis Miguel Montero Monteza</t>
        </is>
      </c>
      <c r="F73" s="105" t="inlineStr">
        <is>
          <t>Dpto 104</t>
        </is>
      </c>
      <c r="G73" s="105" t="inlineStr">
        <is>
          <t>Ahorro</t>
        </is>
      </c>
      <c r="H73" s="106" t="n">
        <v>497000</v>
      </c>
      <c r="I73" s="106" t="n">
        <v>25100</v>
      </c>
      <c r="J73" s="85" t="n">
        <v>24600</v>
      </c>
      <c r="L73" s="107" t="n">
        <v>0.04949698189134809</v>
      </c>
      <c r="M73" s="84" t="n">
        <v>0</v>
      </c>
    </row>
    <row r="74" ht="28.8" customHeight="1">
      <c r="A74" s="102" t="n">
        <v>9</v>
      </c>
      <c r="B74" s="102" t="inlineStr">
        <is>
          <t>Petronila Tisnado Meneses</t>
        </is>
      </c>
      <c r="F74" s="102" t="inlineStr">
        <is>
          <t>Dpto 405, Estc E 29 - D 13</t>
        </is>
      </c>
      <c r="G74" s="102" t="inlineStr">
        <is>
          <t>Crédito Directo</t>
        </is>
      </c>
      <c r="H74" s="103" t="n">
        <v>435000</v>
      </c>
      <c r="I74" s="103" t="n">
        <v>377800</v>
      </c>
      <c r="J74" s="79" t="n">
        <v>14300</v>
      </c>
      <c r="L74" s="104" t="n">
        <v>0.03287356321839081</v>
      </c>
      <c r="M74" s="79" t="n">
        <v>0</v>
      </c>
    </row>
    <row r="75" ht="28.8" customHeight="1">
      <c r="A75" s="105" t="n">
        <v>10</v>
      </c>
      <c r="B75" s="105" t="inlineStr">
        <is>
          <t>Patricia Salazar Aparcana</t>
        </is>
      </c>
      <c r="F75" s="105" t="inlineStr">
        <is>
          <t>Estc E 25 - D 8</t>
        </is>
      </c>
      <c r="G75" s="105" t="inlineStr">
        <is>
          <t>Crédito Directo</t>
        </is>
      </c>
      <c r="H75" s="106" t="n">
        <v>50800</v>
      </c>
      <c r="I75" s="106" t="n">
        <v>3000</v>
      </c>
      <c r="J75" s="85" t="n">
        <v>10105.88</v>
      </c>
      <c r="L75" s="107" t="n">
        <v>0.1989346456692914</v>
      </c>
      <c r="M75" s="84" t="n">
        <v>36</v>
      </c>
    </row>
    <row r="76" ht="28.8" customHeight="1">
      <c r="A76" s="102" t="n">
        <v>11</v>
      </c>
      <c r="B76" s="102" t="inlineStr">
        <is>
          <t>Evelyn Arciela Leon Estela</t>
        </is>
      </c>
      <c r="F76" s="102" t="inlineStr">
        <is>
          <t>Estc E 04</t>
        </is>
      </c>
      <c r="G76" s="102" t="inlineStr">
        <is>
          <t>Crédito Directo</t>
        </is>
      </c>
      <c r="H76" s="103" t="n">
        <v>48500</v>
      </c>
      <c r="I76" s="103" t="n">
        <v>40740</v>
      </c>
      <c r="J76" s="79" t="n">
        <v>1940</v>
      </c>
      <c r="L76" s="104" t="n">
        <v>0.04</v>
      </c>
      <c r="M76" s="79" t="n">
        <v>0</v>
      </c>
    </row>
    <row r="77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</row>
    <row r="78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</row>
  </sheetData>
  <mergeCells count="146">
    <mergeCell ref="B65:E65"/>
    <mergeCell ref="B74:E74"/>
    <mergeCell ref="G4:J4"/>
    <mergeCell ref="J10:K10"/>
    <mergeCell ref="B68:E68"/>
    <mergeCell ref="J19:K19"/>
    <mergeCell ref="J28:K28"/>
    <mergeCell ref="J59:K59"/>
    <mergeCell ref="B36:E36"/>
    <mergeCell ref="J60:K60"/>
    <mergeCell ref="B76:E76"/>
    <mergeCell ref="J9:K9"/>
    <mergeCell ref="B45:E45"/>
    <mergeCell ref="J68:K68"/>
    <mergeCell ref="J53:K53"/>
    <mergeCell ref="B47:E47"/>
    <mergeCell ref="J45:K45"/>
    <mergeCell ref="B31:E31"/>
    <mergeCell ref="B12:E12"/>
    <mergeCell ref="B21:E21"/>
    <mergeCell ref="B39:E39"/>
    <mergeCell ref="J31:K31"/>
    <mergeCell ref="B14:E14"/>
    <mergeCell ref="J21:K21"/>
    <mergeCell ref="B13:E13"/>
    <mergeCell ref="B69:E69"/>
    <mergeCell ref="B38:E38"/>
    <mergeCell ref="J71:K71"/>
    <mergeCell ref="J58:K58"/>
    <mergeCell ref="B40:E40"/>
    <mergeCell ref="J64:K64"/>
    <mergeCell ref="L7:M7"/>
    <mergeCell ref="B49:E49"/>
    <mergeCell ref="J73:K73"/>
    <mergeCell ref="B33:E33"/>
    <mergeCell ref="J57:K57"/>
    <mergeCell ref="B51:E51"/>
    <mergeCell ref="B32:E32"/>
    <mergeCell ref="B26:E26"/>
    <mergeCell ref="B41:E41"/>
    <mergeCell ref="J34:K34"/>
    <mergeCell ref="B35:E35"/>
    <mergeCell ref="B50:E50"/>
    <mergeCell ref="B16:E16"/>
    <mergeCell ref="B25:E25"/>
    <mergeCell ref="J49:K49"/>
    <mergeCell ref="J27:K27"/>
    <mergeCell ref="C5:F5"/>
    <mergeCell ref="J36:K36"/>
    <mergeCell ref="B66:E66"/>
    <mergeCell ref="B18:E18"/>
    <mergeCell ref="B27:E27"/>
    <mergeCell ref="J20:K20"/>
    <mergeCell ref="J11:K11"/>
    <mergeCell ref="C4:F4"/>
    <mergeCell ref="B11:E11"/>
    <mergeCell ref="J75:K75"/>
    <mergeCell ref="B67:E67"/>
    <mergeCell ref="B61:E61"/>
    <mergeCell ref="J12:K12"/>
    <mergeCell ref="B53:E53"/>
    <mergeCell ref="J46:K46"/>
    <mergeCell ref="J51:K51"/>
    <mergeCell ref="B29:E29"/>
    <mergeCell ref="B37:E37"/>
    <mergeCell ref="J61:K61"/>
    <mergeCell ref="J48:K48"/>
    <mergeCell ref="F64:G64"/>
    <mergeCell ref="J29:K29"/>
    <mergeCell ref="A24:E24"/>
    <mergeCell ref="J38:K38"/>
    <mergeCell ref="B15:E15"/>
    <mergeCell ref="B55:E55"/>
    <mergeCell ref="F7:G7"/>
    <mergeCell ref="J40:K40"/>
    <mergeCell ref="J24:K24"/>
    <mergeCell ref="L24:M24"/>
    <mergeCell ref="B54:E54"/>
    <mergeCell ref="B72:E72"/>
    <mergeCell ref="J65:K65"/>
    <mergeCell ref="J74:K74"/>
    <mergeCell ref="J26:K26"/>
    <mergeCell ref="J35:K35"/>
    <mergeCell ref="B56:E56"/>
    <mergeCell ref="B71:E71"/>
    <mergeCell ref="B43:E43"/>
    <mergeCell ref="B58:E58"/>
    <mergeCell ref="J16:K16"/>
    <mergeCell ref="B52:E52"/>
    <mergeCell ref="J25:K25"/>
    <mergeCell ref="B42:E42"/>
    <mergeCell ref="J66:K66"/>
    <mergeCell ref="B60:E60"/>
    <mergeCell ref="B17:E17"/>
    <mergeCell ref="B57:E57"/>
    <mergeCell ref="J50:K50"/>
    <mergeCell ref="B44:E44"/>
    <mergeCell ref="J42:K42"/>
    <mergeCell ref="B19:E19"/>
    <mergeCell ref="B34:E34"/>
    <mergeCell ref="B28:E28"/>
    <mergeCell ref="J52:K52"/>
    <mergeCell ref="J39:K39"/>
    <mergeCell ref="B9:E9"/>
    <mergeCell ref="J44:K44"/>
    <mergeCell ref="J67:K67"/>
    <mergeCell ref="A1:M2"/>
    <mergeCell ref="A64:E64"/>
    <mergeCell ref="J14:K14"/>
    <mergeCell ref="J72:K72"/>
    <mergeCell ref="B30:E30"/>
    <mergeCell ref="J37:K37"/>
    <mergeCell ref="B20:E20"/>
    <mergeCell ref="J13:K13"/>
    <mergeCell ref="J69:K69"/>
    <mergeCell ref="J30:K30"/>
    <mergeCell ref="F24:G24"/>
    <mergeCell ref="B75:E75"/>
    <mergeCell ref="H64:I64"/>
    <mergeCell ref="A7:E7"/>
    <mergeCell ref="J15:K15"/>
    <mergeCell ref="B59:E59"/>
    <mergeCell ref="J55:K55"/>
    <mergeCell ref="B46:E46"/>
    <mergeCell ref="J70:K70"/>
    <mergeCell ref="L64:M64"/>
    <mergeCell ref="H7:I7"/>
    <mergeCell ref="J54:K54"/>
    <mergeCell ref="J32:K32"/>
    <mergeCell ref="J7:K7"/>
    <mergeCell ref="B48:E48"/>
    <mergeCell ref="B70:E70"/>
    <mergeCell ref="J41:K41"/>
    <mergeCell ref="J47:K47"/>
    <mergeCell ref="J56:K56"/>
    <mergeCell ref="B8:E8"/>
    <mergeCell ref="J43:K43"/>
    <mergeCell ref="B73:E73"/>
    <mergeCell ref="H24:I24"/>
    <mergeCell ref="J76:K76"/>
    <mergeCell ref="J33:K33"/>
    <mergeCell ref="J18:K18"/>
    <mergeCell ref="B10:E10"/>
    <mergeCell ref="J8:K8"/>
    <mergeCell ref="G5:J5"/>
    <mergeCell ref="J17:K17"/>
  </mergeCells>
  <conditionalFormatting sqref="J9:J21">
    <cfRule type="dataBar" priority="1">
      <dataBar>
        <cfvo type="num" val="0"/>
        <cfvo type="num" val="532000"/>
        <color rgb="FFE73349"/>
      </dataBar>
    </cfRule>
  </conditionalFormatting>
  <conditionalFormatting sqref="J26:J61">
    <cfRule type="dataBar" priority="2">
      <dataBar>
        <cfvo type="num" val="0"/>
        <cfvo type="num" val="848430"/>
        <color rgb="FFE73349"/>
      </dataBar>
    </cfRule>
  </conditionalFormatting>
  <conditionalFormatting sqref="J66:J76">
    <cfRule type="dataBar" priority="3">
      <dataBar>
        <cfvo type="num" val="0"/>
        <cfvo type="num" val="613000"/>
        <color rgb="FFE73349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4" topLeftCell="A5" activePane="bottomLeft" state="frozen"/>
      <selection pane="bottomLeft" activeCell="A1" sqref="A1"/>
    </sheetView>
  </sheetViews>
  <sheetFormatPr baseColWidth="10" defaultRowHeight="14.4"/>
  <sheetData>
    <row r="1" ht="34.2" customHeight="1">
      <c r="A1" s="75" t="inlineStr">
        <is>
          <t>REPORTE DE COBRANZAS POR CLIENTE</t>
        </is>
      </c>
    </row>
    <row r="2" ht="29.4" customHeight="1"/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</row>
    <row r="4" ht="28.8" customHeight="1">
      <c r="A4" s="108" t="inlineStr">
        <is>
          <t>Rank</t>
        </is>
      </c>
      <c r="B4" s="108" t="inlineStr">
        <is>
          <t>Cliente</t>
        </is>
      </c>
      <c r="E4" s="108" t="inlineStr">
        <is>
          <t>Proyecto</t>
        </is>
      </c>
      <c r="G4" s="108" t="inlineStr">
        <is>
          <t>Tipo de Financiamiento</t>
        </is>
      </c>
      <c r="I4" s="108" t="inlineStr">
        <is>
          <t>Monto Vendido</t>
        </is>
      </c>
      <c r="K4" s="108" t="inlineStr">
        <is>
          <t>Deuda</t>
        </is>
      </c>
      <c r="M4" s="108" t="inlineStr">
        <is>
          <t>Días Atrasados</t>
        </is>
      </c>
      <c r="N4" s="108" t="inlineStr">
        <is>
          <t>Unidad Inmobiliaria</t>
        </is>
      </c>
      <c r="O4" s="108" t="inlineStr">
        <is>
          <t>Tasa de Morosidad</t>
        </is>
      </c>
    </row>
    <row r="5" ht="28.8" customHeight="1">
      <c r="A5" s="109" t="n">
        <v>1</v>
      </c>
      <c r="B5" s="109" t="inlineStr">
        <is>
          <t>RONALD ANTONIO TICONA ARONES</t>
        </is>
      </c>
      <c r="E5" s="109" t="inlineStr">
        <is>
          <t>Beyond</t>
        </is>
      </c>
      <c r="G5" s="109" t="inlineStr">
        <is>
          <t>Crédito Hipotecario</t>
        </is>
      </c>
      <c r="I5" s="110" t="n">
        <v>942700</v>
      </c>
      <c r="K5" s="110" t="n">
        <v>848430</v>
      </c>
      <c r="M5" s="110" t="n">
        <v>123</v>
      </c>
      <c r="N5" s="111" t="inlineStr">
        <is>
          <t>Dpto 703, Dpto 704</t>
        </is>
      </c>
      <c r="O5" s="112" t="n">
        <v>0.9</v>
      </c>
    </row>
    <row r="6" ht="28.8" customHeight="1">
      <c r="A6" s="113" t="n">
        <v>2</v>
      </c>
      <c r="B6" s="113" t="inlineStr">
        <is>
          <t>Ubaldo Yovera Puruguay</t>
        </is>
      </c>
      <c r="E6" s="113" t="inlineStr">
        <is>
          <t>Venecia</t>
        </is>
      </c>
      <c r="G6" s="113" t="inlineStr">
        <is>
          <t>Ahorro</t>
        </is>
      </c>
      <c r="I6" s="87" t="n">
        <v>623000</v>
      </c>
      <c r="K6" s="87" t="n">
        <v>613000</v>
      </c>
      <c r="M6" s="87" t="n">
        <v>36</v>
      </c>
      <c r="N6" s="114" t="inlineStr">
        <is>
          <t>Dpto 402</t>
        </is>
      </c>
      <c r="O6" s="115" t="n">
        <v>0.9839486356340289</v>
      </c>
    </row>
    <row r="7" ht="28.8" customHeight="1">
      <c r="A7" s="109" t="n">
        <v>3</v>
      </c>
      <c r="B7" s="109" t="inlineStr">
        <is>
          <t>Irma Paulina Palomino Huaman</t>
        </is>
      </c>
      <c r="E7" s="109" t="inlineStr">
        <is>
          <t>Venecia</t>
        </is>
      </c>
      <c r="G7" s="109" t="inlineStr">
        <is>
          <t>Ahorro</t>
        </is>
      </c>
      <c r="I7" s="110" t="n">
        <v>561000</v>
      </c>
      <c r="K7" s="110" t="n">
        <v>539100</v>
      </c>
      <c r="M7" s="110" t="n">
        <v>30</v>
      </c>
      <c r="N7" s="111" t="inlineStr">
        <is>
          <t>Dpto 701</t>
        </is>
      </c>
      <c r="O7" s="112" t="n">
        <v>0.9609625668449198</v>
      </c>
    </row>
    <row r="8" ht="28.8" customHeight="1">
      <c r="A8" s="113" t="n">
        <v>4</v>
      </c>
      <c r="B8" s="113" t="inlineStr">
        <is>
          <t>katherine Neyra Alor Neyra</t>
        </is>
      </c>
      <c r="E8" s="113" t="inlineStr">
        <is>
          <t>Prada</t>
        </is>
      </c>
      <c r="G8" s="113" t="inlineStr">
        <is>
          <t>Crédito Hipotecario</t>
        </is>
      </c>
      <c r="I8" s="87" t="n">
        <v>535000</v>
      </c>
      <c r="K8" s="87" t="n">
        <v>532000</v>
      </c>
      <c r="M8" s="87" t="n">
        <v>93</v>
      </c>
      <c r="N8" s="114" t="inlineStr">
        <is>
          <t>Dpto 405, Estc E 35 - D 27</t>
        </is>
      </c>
      <c r="O8" s="115" t="n">
        <v>0.994392523364486</v>
      </c>
    </row>
    <row r="9" ht="28.8" customHeight="1">
      <c r="A9" s="109" t="n">
        <v>5</v>
      </c>
      <c r="B9" s="109" t="inlineStr">
        <is>
          <t>Tania Jackeline Valladares Timana</t>
        </is>
      </c>
      <c r="E9" s="109" t="inlineStr">
        <is>
          <t>Beyond</t>
        </is>
      </c>
      <c r="G9" s="109" t="inlineStr">
        <is>
          <t>Ahorro</t>
        </is>
      </c>
      <c r="I9" s="110" t="n">
        <v>518500</v>
      </c>
      <c r="K9" s="110" t="n">
        <v>478775</v>
      </c>
      <c r="M9" s="110" t="n">
        <v>242</v>
      </c>
      <c r="N9" s="111" t="inlineStr">
        <is>
          <t>Dpto 1001</t>
        </is>
      </c>
      <c r="O9" s="112" t="n">
        <v>0.9233847637415622</v>
      </c>
    </row>
    <row r="10" ht="28.8" customHeight="1">
      <c r="A10" s="113" t="n">
        <v>6</v>
      </c>
      <c r="B10" s="113" t="inlineStr">
        <is>
          <t>RODRIGO SANDRO CARDENAS BULLON</t>
        </is>
      </c>
      <c r="E10" s="113" t="inlineStr">
        <is>
          <t>Prada</t>
        </is>
      </c>
      <c r="G10" s="113" t="inlineStr">
        <is>
          <t>Ahorro</t>
        </is>
      </c>
      <c r="I10" s="87" t="n">
        <v>512000</v>
      </c>
      <c r="K10" s="87" t="n">
        <v>475800</v>
      </c>
      <c r="M10" s="87" t="n">
        <v>6</v>
      </c>
      <c r="N10" s="114" t="inlineStr">
        <is>
          <t>Dpto 402, Estc E 46 - D 35</t>
        </is>
      </c>
      <c r="O10" s="115" t="n">
        <v>0.929296875</v>
      </c>
    </row>
    <row r="11" ht="28.8" customHeight="1">
      <c r="A11" s="109" t="n">
        <v>7</v>
      </c>
      <c r="B11" s="109" t="inlineStr">
        <is>
          <t>Jimmy Luis Andrade Morveli</t>
        </is>
      </c>
      <c r="E11" s="109" t="inlineStr">
        <is>
          <t>Beyond</t>
        </is>
      </c>
      <c r="G11" s="109" t="inlineStr">
        <is>
          <t>Crédito Hipotecario</t>
        </is>
      </c>
      <c r="I11" s="110" t="n">
        <v>470000</v>
      </c>
      <c r="K11" s="110" t="n">
        <v>467000</v>
      </c>
      <c r="M11" s="110" t="n">
        <v>199</v>
      </c>
      <c r="N11" s="111" t="inlineStr">
        <is>
          <t>Dpto 601</t>
        </is>
      </c>
      <c r="O11" s="112" t="n">
        <v>0.9936170212765958</v>
      </c>
    </row>
    <row r="12" ht="28.8" customHeight="1">
      <c r="A12" s="113" t="n">
        <v>8</v>
      </c>
      <c r="B12" s="113" t="inlineStr">
        <is>
          <t>Tania Milagros Cotrina Vara</t>
        </is>
      </c>
      <c r="E12" s="113" t="inlineStr">
        <is>
          <t>Beyond</t>
        </is>
      </c>
      <c r="G12" s="113" t="inlineStr">
        <is>
          <t>Ahorro</t>
        </is>
      </c>
      <c r="I12" s="87" t="n">
        <v>577000</v>
      </c>
      <c r="K12" s="87" t="n">
        <v>457000</v>
      </c>
      <c r="M12" s="87" t="n">
        <v>61</v>
      </c>
      <c r="N12" s="114" t="inlineStr">
        <is>
          <t>Dpto 205</t>
        </is>
      </c>
      <c r="O12" s="115" t="n">
        <v>0.7920277296360485</v>
      </c>
    </row>
    <row r="13" ht="28.8" customHeight="1">
      <c r="A13" s="109" t="n">
        <v>9</v>
      </c>
      <c r="B13" s="109" t="inlineStr">
        <is>
          <t>STEPHANIE LIZETH AQUINO HERRERA</t>
        </is>
      </c>
      <c r="E13" s="109" t="inlineStr">
        <is>
          <t>Prada</t>
        </is>
      </c>
      <c r="G13" s="109" t="inlineStr">
        <is>
          <t>Crédito Hipotecario</t>
        </is>
      </c>
      <c r="I13" s="110" t="n">
        <v>480000</v>
      </c>
      <c r="K13" s="110" t="n">
        <v>456000</v>
      </c>
      <c r="M13" s="110" t="n">
        <v>77</v>
      </c>
      <c r="N13" s="111" t="inlineStr">
        <is>
          <t>Dpto 1005</t>
        </is>
      </c>
      <c r="O13" s="112" t="n">
        <v>0.95</v>
      </c>
    </row>
    <row r="14" ht="28.8" customHeight="1">
      <c r="A14" s="113" t="n">
        <v>10</v>
      </c>
      <c r="B14" s="113" t="inlineStr">
        <is>
          <t>Leidy Lucero Espíritu Zabarburu</t>
        </is>
      </c>
      <c r="E14" s="113" t="inlineStr">
        <is>
          <t>Beyond</t>
        </is>
      </c>
      <c r="G14" s="113" t="inlineStr">
        <is>
          <t>Ahorro</t>
        </is>
      </c>
      <c r="I14" s="87" t="n">
        <v>458000</v>
      </c>
      <c r="K14" s="87" t="n">
        <v>435100</v>
      </c>
      <c r="M14" s="87" t="n">
        <v>31</v>
      </c>
      <c r="N14" s="114" t="inlineStr">
        <is>
          <t>Dpto 303</t>
        </is>
      </c>
      <c r="O14" s="115" t="n">
        <v>0.95</v>
      </c>
    </row>
    <row r="15" ht="28.8" customHeight="1">
      <c r="A15" s="109" t="n">
        <v>11</v>
      </c>
      <c r="B15" s="109" t="inlineStr">
        <is>
          <t>Sussan Yassmine Rubin Domínguez</t>
        </is>
      </c>
      <c r="E15" s="109" t="inlineStr">
        <is>
          <t>Prada</t>
        </is>
      </c>
      <c r="G15" s="109" t="inlineStr">
        <is>
          <t>Ahorro</t>
        </is>
      </c>
      <c r="I15" s="110" t="n">
        <v>470500</v>
      </c>
      <c r="K15" s="110" t="n">
        <v>428500</v>
      </c>
      <c r="M15" s="110" t="n">
        <v>214</v>
      </c>
      <c r="N15" s="111" t="inlineStr">
        <is>
          <t>Dpto 805</t>
        </is>
      </c>
      <c r="O15" s="112" t="n">
        <v>0.9107332624867163</v>
      </c>
    </row>
    <row r="16" ht="28.8" customHeight="1">
      <c r="A16" s="113" t="n">
        <v>12</v>
      </c>
      <c r="B16" s="113" t="inlineStr">
        <is>
          <t>Francesca Giuliana Ramos Ortiz</t>
        </is>
      </c>
      <c r="E16" s="113" t="inlineStr">
        <is>
          <t>Beyond</t>
        </is>
      </c>
      <c r="G16" s="113" t="inlineStr">
        <is>
          <t>Ahorro</t>
        </is>
      </c>
      <c r="I16" s="87" t="n">
        <v>524500</v>
      </c>
      <c r="K16" s="87" t="n">
        <v>419600</v>
      </c>
      <c r="M16" s="87" t="n">
        <v>61</v>
      </c>
      <c r="N16" s="114" t="inlineStr">
        <is>
          <t>Dpto 501, Estc E 14 - D 12</t>
        </is>
      </c>
      <c r="O16" s="115" t="n">
        <v>0.8</v>
      </c>
    </row>
    <row r="17" ht="28.8" customHeight="1">
      <c r="A17" s="109" t="n">
        <v>13</v>
      </c>
      <c r="B17" s="109" t="inlineStr">
        <is>
          <t>Dolores Lissett Castillo Diaz</t>
        </is>
      </c>
      <c r="E17" s="109" t="inlineStr">
        <is>
          <t>Beyond</t>
        </is>
      </c>
      <c r="G17" s="109" t="inlineStr">
        <is>
          <t>Ahorro</t>
        </is>
      </c>
      <c r="I17" s="110" t="n">
        <v>521800</v>
      </c>
      <c r="K17" s="110" t="n">
        <v>417440</v>
      </c>
      <c r="M17" s="110" t="n">
        <v>67</v>
      </c>
      <c r="N17" s="111" t="inlineStr">
        <is>
          <t>Dpto 701, Estc E 17</t>
        </is>
      </c>
      <c r="O17" s="112" t="n">
        <v>0.8</v>
      </c>
    </row>
    <row r="18" ht="28.8" customHeight="1">
      <c r="A18" s="113" t="n">
        <v>14</v>
      </c>
      <c r="B18" s="113" t="inlineStr">
        <is>
          <t>Juana Mercedes Moran Peralta</t>
        </is>
      </c>
      <c r="E18" s="113" t="inlineStr">
        <is>
          <t>Beyond</t>
        </is>
      </c>
      <c r="G18" s="113" t="inlineStr">
        <is>
          <t>Ahorro</t>
        </is>
      </c>
      <c r="I18" s="87" t="n">
        <v>460000</v>
      </c>
      <c r="K18" s="87" t="n">
        <v>414000</v>
      </c>
      <c r="M18" s="87" t="n">
        <v>13</v>
      </c>
      <c r="N18" s="114" t="inlineStr">
        <is>
          <t>Dpto 404</t>
        </is>
      </c>
      <c r="O18" s="115" t="n">
        <v>0.9</v>
      </c>
    </row>
    <row r="19" ht="28.8" customHeight="1">
      <c r="A19" s="109" t="n">
        <v>15</v>
      </c>
      <c r="B19" s="109" t="inlineStr">
        <is>
          <t>Ronald José Claudio Ramírez</t>
        </is>
      </c>
      <c r="E19" s="109" t="inlineStr">
        <is>
          <t>Beyond</t>
        </is>
      </c>
      <c r="G19" s="109" t="inlineStr">
        <is>
          <t>Ahorro</t>
        </is>
      </c>
      <c r="I19" s="110" t="n">
        <v>510000</v>
      </c>
      <c r="K19" s="110" t="n">
        <v>408000</v>
      </c>
      <c r="M19" s="110" t="n">
        <v>0</v>
      </c>
      <c r="N19" s="111" t="inlineStr">
        <is>
          <t>Dpto 504, Estc E 07</t>
        </is>
      </c>
      <c r="O19" s="112" t="n">
        <v>0.8</v>
      </c>
    </row>
    <row r="20" ht="28.8" customHeight="1">
      <c r="A20" s="113" t="n">
        <v>16</v>
      </c>
      <c r="B20" s="113" t="inlineStr">
        <is>
          <t>Jhoully Kattherine Moreno Saavedra</t>
        </is>
      </c>
      <c r="E20" s="113" t="inlineStr">
        <is>
          <t>Beyond</t>
        </is>
      </c>
      <c r="G20" s="113" t="inlineStr">
        <is>
          <t>Crédito Hipotecario</t>
        </is>
      </c>
      <c r="I20" s="87" t="n">
        <v>450000</v>
      </c>
      <c r="K20" s="87" t="n">
        <v>405000</v>
      </c>
      <c r="M20" s="87" t="n">
        <v>92</v>
      </c>
      <c r="N20" s="114" t="inlineStr">
        <is>
          <t>Dpto 204</t>
        </is>
      </c>
      <c r="O20" s="115" t="n">
        <v>0.9</v>
      </c>
    </row>
    <row r="21" ht="28.8" customHeight="1">
      <c r="A21" s="109" t="n">
        <v>17</v>
      </c>
      <c r="B21" s="109" t="inlineStr">
        <is>
          <t>ERICK RAUL BEDOYA BACA</t>
        </is>
      </c>
      <c r="E21" s="109" t="inlineStr">
        <is>
          <t>Beyond</t>
        </is>
      </c>
      <c r="G21" s="109" t="inlineStr">
        <is>
          <t>Crédito Hipotecario</t>
        </is>
      </c>
      <c r="I21" s="110" t="n">
        <v>470000</v>
      </c>
      <c r="K21" s="110" t="n">
        <v>399500</v>
      </c>
      <c r="M21" s="110" t="n">
        <v>183</v>
      </c>
      <c r="N21" s="111" t="inlineStr">
        <is>
          <t>Dpto 503</t>
        </is>
      </c>
      <c r="O21" s="112" t="n">
        <v>0.85</v>
      </c>
    </row>
    <row r="22" ht="28.8" customHeight="1">
      <c r="A22" s="113" t="n">
        <v>18</v>
      </c>
      <c r="B22" s="113" t="inlineStr">
        <is>
          <t>Mayra Andrea Montenegro Gomez</t>
        </is>
      </c>
      <c r="E22" s="113" t="inlineStr">
        <is>
          <t>Beyond</t>
        </is>
      </c>
      <c r="G22" s="113" t="inlineStr">
        <is>
          <t>Crédito Hipotecario</t>
        </is>
      </c>
      <c r="I22" s="87" t="n">
        <v>495000</v>
      </c>
      <c r="K22" s="87" t="n">
        <v>396000</v>
      </c>
      <c r="M22" s="87" t="n">
        <v>61</v>
      </c>
      <c r="N22" s="114" t="inlineStr">
        <is>
          <t>Dpto 605</t>
        </is>
      </c>
      <c r="O22" s="115" t="n">
        <v>0.8</v>
      </c>
    </row>
    <row r="23" ht="28.8" customHeight="1">
      <c r="A23" s="109" t="n">
        <v>19</v>
      </c>
      <c r="B23" s="109" t="inlineStr">
        <is>
          <t>Marita Angeles Milla</t>
        </is>
      </c>
      <c r="E23" s="109" t="inlineStr">
        <is>
          <t>Prada</t>
        </is>
      </c>
      <c r="G23" s="109" t="inlineStr">
        <is>
          <t>Ahorro</t>
        </is>
      </c>
      <c r="I23" s="110" t="n">
        <v>417700</v>
      </c>
      <c r="K23" s="110" t="n">
        <v>393930</v>
      </c>
      <c r="M23" s="110" t="n">
        <v>46</v>
      </c>
      <c r="N23" s="111" t="inlineStr">
        <is>
          <t>Dpto 1004</t>
        </is>
      </c>
      <c r="O23" s="112" t="n">
        <v>0.9430931290399809</v>
      </c>
    </row>
    <row r="24" ht="28.8" customHeight="1">
      <c r="A24" s="113" t="n">
        <v>20</v>
      </c>
      <c r="B24" s="113" t="inlineStr">
        <is>
          <t>Margarita Mercedes Lujas Paredes</t>
        </is>
      </c>
      <c r="E24" s="113" t="inlineStr">
        <is>
          <t>Beyond</t>
        </is>
      </c>
      <c r="G24" s="113" t="inlineStr">
        <is>
          <t>Ahorro</t>
        </is>
      </c>
      <c r="I24" s="87" t="n">
        <v>430000</v>
      </c>
      <c r="K24" s="87" t="n">
        <v>387000</v>
      </c>
      <c r="M24" s="87" t="n">
        <v>61</v>
      </c>
      <c r="N24" s="114" t="inlineStr">
        <is>
          <t>Dpto 202</t>
        </is>
      </c>
      <c r="O24" s="115" t="n">
        <v>0.9</v>
      </c>
    </row>
    <row r="25" ht="28.8" customHeight="1">
      <c r="A25" s="109" t="n">
        <v>21</v>
      </c>
      <c r="B25" s="109" t="inlineStr">
        <is>
          <t>Luisa Liliana Esther Erazo Medina</t>
        </is>
      </c>
      <c r="E25" s="109" t="inlineStr">
        <is>
          <t>Beyond</t>
        </is>
      </c>
      <c r="G25" s="109" t="inlineStr">
        <is>
          <t>Ahorro</t>
        </is>
      </c>
      <c r="I25" s="110" t="n">
        <v>400000</v>
      </c>
      <c r="K25" s="110" t="n">
        <v>377000</v>
      </c>
      <c r="M25" s="110" t="n">
        <v>30</v>
      </c>
      <c r="N25" s="111" t="inlineStr">
        <is>
          <t>Dpto 602</t>
        </is>
      </c>
      <c r="O25" s="112" t="n">
        <v>0.9425</v>
      </c>
    </row>
    <row r="26" ht="28.8" customHeight="1">
      <c r="A26" s="113" t="n">
        <v>22</v>
      </c>
      <c r="B26" s="113" t="inlineStr">
        <is>
          <t>Mariela Gabriela Zapata Santivañez</t>
        </is>
      </c>
      <c r="E26" s="113" t="inlineStr">
        <is>
          <t>Venecia</t>
        </is>
      </c>
      <c r="G26" s="113" t="inlineStr">
        <is>
          <t>Crédito Hipotecario</t>
        </is>
      </c>
      <c r="I26" s="87" t="n">
        <v>432800</v>
      </c>
      <c r="K26" s="87" t="n">
        <v>346240</v>
      </c>
      <c r="M26" s="87" t="n">
        <v>31</v>
      </c>
      <c r="N26" s="114" t="inlineStr">
        <is>
          <t>Dpto 205, Estc E 20</t>
        </is>
      </c>
      <c r="O26" s="115" t="n">
        <v>0.8</v>
      </c>
    </row>
    <row r="27" ht="28.8" customHeight="1">
      <c r="A27" s="109" t="n">
        <v>23</v>
      </c>
      <c r="B27" s="109" t="inlineStr">
        <is>
          <t>Víctor Daniel Chuquihuaccha Hernandez</t>
        </is>
      </c>
      <c r="E27" s="109" t="inlineStr">
        <is>
          <t>Beyond</t>
        </is>
      </c>
      <c r="G27" s="109" t="inlineStr">
        <is>
          <t>Crédito Hipotecario</t>
        </is>
      </c>
      <c r="I27" s="110" t="n">
        <v>382000</v>
      </c>
      <c r="K27" s="110" t="n">
        <v>343800</v>
      </c>
      <c r="M27" s="110" t="n">
        <v>211</v>
      </c>
      <c r="N27" s="111" t="inlineStr">
        <is>
          <t>Dpto 702</t>
        </is>
      </c>
      <c r="O27" s="112" t="n">
        <v>0.9</v>
      </c>
    </row>
    <row r="28" ht="28.8" customHeight="1">
      <c r="A28" s="113" t="n">
        <v>24</v>
      </c>
      <c r="B28" s="113" t="inlineStr">
        <is>
          <t>Erla Liseth Carhuavilca Pérez</t>
        </is>
      </c>
      <c r="E28" s="113" t="inlineStr">
        <is>
          <t>Beyond</t>
        </is>
      </c>
      <c r="G28" s="113" t="inlineStr">
        <is>
          <t>Ahorro</t>
        </is>
      </c>
      <c r="I28" s="87" t="n">
        <v>504700</v>
      </c>
      <c r="K28" s="87" t="n">
        <v>318700</v>
      </c>
      <c r="M28" s="87" t="n">
        <v>92</v>
      </c>
      <c r="N28" s="114" t="inlineStr">
        <is>
          <t>Dpto 403, Estc E 06</t>
        </is>
      </c>
      <c r="O28" s="115" t="n">
        <v>0.6314642361799089</v>
      </c>
    </row>
    <row r="29" ht="28.8" customHeight="1">
      <c r="A29" s="109" t="n">
        <v>25</v>
      </c>
      <c r="B29" s="109" t="inlineStr">
        <is>
          <t>Danixa Thalia Manosalva Ameri</t>
        </is>
      </c>
      <c r="E29" s="109" t="inlineStr">
        <is>
          <t>Beyond</t>
        </is>
      </c>
      <c r="G29" s="109" t="inlineStr">
        <is>
          <t>Ahorro</t>
        </is>
      </c>
      <c r="I29" s="110" t="n">
        <v>381000</v>
      </c>
      <c r="K29" s="110" t="n">
        <v>317000</v>
      </c>
      <c r="M29" s="110" t="n">
        <v>92</v>
      </c>
      <c r="N29" s="111" t="inlineStr">
        <is>
          <t>Dpto 302</t>
        </is>
      </c>
      <c r="O29" s="112" t="n">
        <v>0.8320209973753281</v>
      </c>
    </row>
    <row r="30" ht="28.8" customHeight="1">
      <c r="A30" s="113" t="n">
        <v>26</v>
      </c>
      <c r="B30" s="113" t="inlineStr">
        <is>
          <t>Darwin Martin Peralta Conchucos</t>
        </is>
      </c>
      <c r="E30" s="113" t="inlineStr">
        <is>
          <t>Beyond</t>
        </is>
      </c>
      <c r="G30" s="113" t="inlineStr">
        <is>
          <t>Ahorro</t>
        </is>
      </c>
      <c r="I30" s="87" t="n">
        <v>265000</v>
      </c>
      <c r="K30" s="87" t="n">
        <v>196400</v>
      </c>
      <c r="M30" s="87" t="n">
        <v>0</v>
      </c>
      <c r="N30" s="114" t="inlineStr">
        <is>
          <t>Dpto 1306</t>
        </is>
      </c>
      <c r="O30" s="115" t="n">
        <v>0.7411320754716981</v>
      </c>
    </row>
    <row r="31" ht="28.8" customHeight="1">
      <c r="A31" s="109" t="n">
        <v>27</v>
      </c>
      <c r="B31" s="109" t="inlineStr">
        <is>
          <t>Dante Enrique Segura Florian</t>
        </is>
      </c>
      <c r="E31" s="109" t="inlineStr">
        <is>
          <t>Beyond</t>
        </is>
      </c>
      <c r="G31" s="109" t="inlineStr">
        <is>
          <t>Crédito Directo</t>
        </is>
      </c>
      <c r="I31" s="110" t="n">
        <v>561500</v>
      </c>
      <c r="K31" s="110" t="n">
        <v>194894.3</v>
      </c>
      <c r="M31" s="110" t="n">
        <v>310</v>
      </c>
      <c r="N31" s="111" t="inlineStr">
        <is>
          <t>Depósito D 05, Dpto 505, Estc E 05</t>
        </is>
      </c>
      <c r="O31" s="112" t="n">
        <v>0.3470958147818344</v>
      </c>
    </row>
    <row r="32" ht="28.8" customHeight="1">
      <c r="A32" s="113" t="n">
        <v>28</v>
      </c>
      <c r="B32" s="113" t="inlineStr">
        <is>
          <t>Rocio Chuquimango Valencia</t>
        </is>
      </c>
      <c r="E32" s="113" t="inlineStr">
        <is>
          <t>Venecia</t>
        </is>
      </c>
      <c r="G32" s="113" t="inlineStr">
        <is>
          <t>Crédito Directo</t>
        </is>
      </c>
      <c r="I32" s="87" t="n">
        <v>624000</v>
      </c>
      <c r="K32" s="87" t="n">
        <v>180200.01</v>
      </c>
      <c r="M32" s="87" t="n">
        <v>46</v>
      </c>
      <c r="N32" s="114" t="inlineStr">
        <is>
          <t>Dpto 602, Estc E 24 - D 5</t>
        </is>
      </c>
      <c r="O32" s="115" t="n">
        <v>0.2887820673076922</v>
      </c>
    </row>
    <row r="33" ht="28.8" customHeight="1">
      <c r="A33" s="109" t="n">
        <v>29</v>
      </c>
      <c r="B33" s="109" t="inlineStr">
        <is>
          <t>PATROCINIO HUAMANI CUEVAS</t>
        </is>
      </c>
      <c r="E33" s="109" t="inlineStr">
        <is>
          <t>Prada</t>
        </is>
      </c>
      <c r="G33" s="109" t="inlineStr">
        <is>
          <t>Crédito Directo</t>
        </is>
      </c>
      <c r="I33" s="110" t="n">
        <v>660000</v>
      </c>
      <c r="K33" s="110" t="n">
        <v>160000</v>
      </c>
      <c r="M33" s="110" t="n">
        <v>184</v>
      </c>
      <c r="N33" s="111" t="inlineStr">
        <is>
          <t>Dpto 503</t>
        </is>
      </c>
      <c r="O33" s="112" t="n">
        <v>0.2424242424242424</v>
      </c>
    </row>
    <row r="34" ht="28.8" customHeight="1">
      <c r="A34" s="113" t="n">
        <v>30</v>
      </c>
      <c r="B34" s="113" t="inlineStr">
        <is>
          <t>Elsa Edelmira Aguirre Novoa</t>
        </is>
      </c>
      <c r="E34" s="113" t="inlineStr">
        <is>
          <t>Beyond</t>
        </is>
      </c>
      <c r="G34" s="113" t="inlineStr">
        <is>
          <t>Crédito Directo</t>
        </is>
      </c>
      <c r="I34" s="87" t="n">
        <v>285000</v>
      </c>
      <c r="K34" s="87" t="n">
        <v>139500</v>
      </c>
      <c r="M34" s="87" t="n">
        <v>0</v>
      </c>
      <c r="N34" s="114" t="inlineStr">
        <is>
          <t>Dpto 1406</t>
        </is>
      </c>
      <c r="O34" s="115" t="n">
        <v>0.4894736842105263</v>
      </c>
    </row>
    <row r="35" ht="28.8" customHeight="1">
      <c r="A35" s="109" t="n">
        <v>31</v>
      </c>
      <c r="B35" s="109" t="inlineStr">
        <is>
          <t>Omar Edwin Riveros Tejada</t>
        </is>
      </c>
      <c r="E35" s="109" t="inlineStr">
        <is>
          <t>Beyond</t>
        </is>
      </c>
      <c r="G35" s="109" t="inlineStr">
        <is>
          <t>Ahorro</t>
        </is>
      </c>
      <c r="I35" s="110" t="n">
        <v>370000</v>
      </c>
      <c r="K35" s="110" t="n">
        <v>123500</v>
      </c>
      <c r="M35" s="110" t="n">
        <v>0</v>
      </c>
      <c r="N35" s="111" t="inlineStr">
        <is>
          <t>Dpto 1302</t>
        </is>
      </c>
      <c r="O35" s="112" t="n">
        <v>0.3337837837837838</v>
      </c>
    </row>
    <row r="36" ht="28.8" customHeight="1">
      <c r="A36" s="113" t="n">
        <v>32</v>
      </c>
      <c r="B36" s="113" t="inlineStr">
        <is>
          <t>Gina Victoria Saenz Pasco</t>
        </is>
      </c>
      <c r="E36" s="113" t="inlineStr">
        <is>
          <t>Beyond</t>
        </is>
      </c>
      <c r="G36" s="113" t="inlineStr">
        <is>
          <t>Ahorro</t>
        </is>
      </c>
      <c r="I36" s="87" t="n">
        <v>448500</v>
      </c>
      <c r="K36" s="87" t="n">
        <v>115375</v>
      </c>
      <c r="M36" s="87" t="n">
        <v>22</v>
      </c>
      <c r="N36" s="114" t="inlineStr">
        <is>
          <t>Dpto 402, Estc E 44 - D 26</t>
        </is>
      </c>
      <c r="O36" s="115" t="n">
        <v>0.2572463768115942</v>
      </c>
    </row>
    <row r="37" ht="28.8" customHeight="1">
      <c r="A37" s="109" t="n">
        <v>33</v>
      </c>
      <c r="B37" s="109" t="inlineStr">
        <is>
          <t>Gisella Isabel Martinez Andrade</t>
        </is>
      </c>
      <c r="E37" s="109" t="inlineStr">
        <is>
          <t>Prada</t>
        </is>
      </c>
      <c r="G37" s="109" t="inlineStr">
        <is>
          <t>Crédito Hipotecario</t>
        </is>
      </c>
      <c r="I37" s="110" t="n">
        <v>486500</v>
      </c>
      <c r="K37" s="110" t="n">
        <v>107850</v>
      </c>
      <c r="M37" s="110" t="n">
        <v>58</v>
      </c>
      <c r="N37" s="111" t="inlineStr">
        <is>
          <t>Dpto 304, Estc E 27 - D 21</t>
        </is>
      </c>
      <c r="O37" s="112" t="n">
        <v>0.2216855087358685</v>
      </c>
    </row>
    <row r="38" ht="28.8" customHeight="1">
      <c r="A38" s="113" t="n">
        <v>34</v>
      </c>
      <c r="B38" s="113" t="inlineStr">
        <is>
          <t>Carlos La Cruz Crespo</t>
        </is>
      </c>
      <c r="E38" s="113" t="inlineStr">
        <is>
          <t>Venecia</t>
        </is>
      </c>
      <c r="G38" s="113" t="inlineStr">
        <is>
          <t>Crédito Directo</t>
        </is>
      </c>
      <c r="I38" s="87" t="n">
        <v>485800</v>
      </c>
      <c r="K38" s="87" t="n">
        <v>98480</v>
      </c>
      <c r="M38" s="87" t="n">
        <v>0</v>
      </c>
      <c r="N38" s="114" t="inlineStr">
        <is>
          <t>Dpto 204, Estc E 14 - D 4</t>
        </is>
      </c>
      <c r="O38" s="115" t="n">
        <v>0.2027171675586661</v>
      </c>
    </row>
    <row r="39" ht="28.8" customHeight="1">
      <c r="A39" s="109" t="n">
        <v>35</v>
      </c>
      <c r="B39" s="109" t="inlineStr">
        <is>
          <t>Luis Alberto Vargas Chacaltana</t>
        </is>
      </c>
      <c r="E39" s="109" t="inlineStr">
        <is>
          <t>Beyond</t>
        </is>
      </c>
      <c r="G39" s="109" t="inlineStr">
        <is>
          <t>Crédito Directo</t>
        </is>
      </c>
      <c r="I39" s="110" t="n">
        <v>470000</v>
      </c>
      <c r="K39" s="110" t="n">
        <v>94000</v>
      </c>
      <c r="M39" s="110" t="n">
        <v>62</v>
      </c>
      <c r="N39" s="111" t="inlineStr">
        <is>
          <t>Dpto 401</t>
        </is>
      </c>
      <c r="O39" s="112" t="n">
        <v>0.2</v>
      </c>
    </row>
    <row r="40" ht="28.8" customHeight="1">
      <c r="A40" s="113" t="n">
        <v>36</v>
      </c>
      <c r="B40" s="113" t="inlineStr">
        <is>
          <t>Jacqueline Elsa Moreno Huaman</t>
        </is>
      </c>
      <c r="E40" s="113" t="inlineStr">
        <is>
          <t>Beyond</t>
        </is>
      </c>
      <c r="G40" s="113" t="inlineStr">
        <is>
          <t>Ahorro</t>
        </is>
      </c>
      <c r="I40" s="87" t="n">
        <v>483000</v>
      </c>
      <c r="K40" s="87" t="n">
        <v>55000</v>
      </c>
      <c r="M40" s="87" t="n">
        <v>30</v>
      </c>
      <c r="N40" s="114" t="inlineStr">
        <is>
          <t>Dpto 1401</t>
        </is>
      </c>
      <c r="O40" s="115" t="n">
        <v>0.113871635610766</v>
      </c>
    </row>
    <row r="41" ht="28.8" customHeight="1">
      <c r="A41" s="109" t="n">
        <v>37</v>
      </c>
      <c r="B41" s="109" t="inlineStr">
        <is>
          <t>PATROCINIO HUAMANI CUEVAS</t>
        </is>
      </c>
      <c r="E41" s="109" t="inlineStr">
        <is>
          <t>Prada</t>
        </is>
      </c>
      <c r="G41" s="109" t="inlineStr">
        <is>
          <t>Crédito Directo</t>
        </is>
      </c>
      <c r="I41" s="110" t="n">
        <v>52500</v>
      </c>
      <c r="K41" s="110" t="n">
        <v>47500</v>
      </c>
      <c r="M41" s="110" t="n">
        <v>30</v>
      </c>
      <c r="N41" s="111" t="inlineStr">
        <is>
          <t>Estc E 17 - D 12</t>
        </is>
      </c>
      <c r="O41" s="112" t="n">
        <v>0.9047619047619048</v>
      </c>
    </row>
    <row r="42" ht="28.8" customHeight="1">
      <c r="A42" s="113" t="n">
        <v>38</v>
      </c>
      <c r="B42" s="113" t="inlineStr">
        <is>
          <t>Lizet Lopez Paucar</t>
        </is>
      </c>
      <c r="E42" s="113" t="inlineStr">
        <is>
          <t>Prada</t>
        </is>
      </c>
      <c r="G42" s="113" t="inlineStr">
        <is>
          <t>Crédito Directo</t>
        </is>
      </c>
      <c r="I42" s="87" t="n">
        <v>47500</v>
      </c>
      <c r="K42" s="87" t="n">
        <v>44500</v>
      </c>
      <c r="M42" s="87" t="n">
        <v>38</v>
      </c>
      <c r="N42" s="114" t="inlineStr">
        <is>
          <t>Estc E 22</t>
        </is>
      </c>
      <c r="O42" s="115" t="n">
        <v>0.9368421052631579</v>
      </c>
    </row>
    <row r="43" ht="28.8" customHeight="1">
      <c r="A43" s="109" t="n">
        <v>39</v>
      </c>
      <c r="B43" s="109" t="inlineStr">
        <is>
          <t>Patricia Salazar Aparcana</t>
        </is>
      </c>
      <c r="E43" s="109" t="inlineStr">
        <is>
          <t>Venecia</t>
        </is>
      </c>
      <c r="G43" s="109" t="inlineStr">
        <is>
          <t>Ahorro</t>
        </is>
      </c>
      <c r="I43" s="110" t="n">
        <v>600000</v>
      </c>
      <c r="K43" s="110" t="n">
        <v>40000</v>
      </c>
      <c r="M43" s="110" t="n">
        <v>62</v>
      </c>
      <c r="N43" s="111" t="inlineStr">
        <is>
          <t>Dpto 302</t>
        </is>
      </c>
      <c r="O43" s="112" t="n">
        <v>0.06666666666666667</v>
      </c>
    </row>
    <row r="44" ht="28.8" customHeight="1">
      <c r="A44" s="113" t="n">
        <v>40</v>
      </c>
      <c r="B44" s="113" t="inlineStr">
        <is>
          <t>Tania Jackeline Valladares Timana</t>
        </is>
      </c>
      <c r="E44" s="113" t="inlineStr">
        <is>
          <t>Beyond</t>
        </is>
      </c>
      <c r="G44" s="113" t="inlineStr">
        <is>
          <t>Crédito Directo</t>
        </is>
      </c>
      <c r="I44" s="87" t="n">
        <v>54000</v>
      </c>
      <c r="K44" s="87" t="n">
        <v>39200</v>
      </c>
      <c r="M44" s="87" t="n">
        <v>210</v>
      </c>
      <c r="N44" s="114" t="inlineStr">
        <is>
          <t>Estc E 15 - D 13</t>
        </is>
      </c>
      <c r="O44" s="115" t="n">
        <v>0.725925925925926</v>
      </c>
    </row>
    <row r="45" ht="28.8" customHeight="1">
      <c r="A45" s="109" t="n">
        <v>41</v>
      </c>
      <c r="B45" s="109" t="inlineStr">
        <is>
          <t>Elmo Calatayud Chumbes</t>
        </is>
      </c>
      <c r="E45" s="109" t="inlineStr">
        <is>
          <t>Prada</t>
        </is>
      </c>
      <c r="G45" s="109" t="inlineStr">
        <is>
          <t>Crédito Directo</t>
        </is>
      </c>
      <c r="I45" s="110" t="n">
        <v>57800</v>
      </c>
      <c r="K45" s="110" t="n">
        <v>37800</v>
      </c>
      <c r="M45" s="110" t="n">
        <v>31</v>
      </c>
      <c r="N45" s="111" t="inlineStr">
        <is>
          <t>Estc E 13 - D 10</t>
        </is>
      </c>
      <c r="O45" s="112" t="n">
        <v>0.6539792387543253</v>
      </c>
    </row>
    <row r="46" ht="28.8" customHeight="1">
      <c r="A46" s="113" t="n">
        <v>42</v>
      </c>
      <c r="B46" s="113" t="inlineStr">
        <is>
          <t>Marco Antonio Cordova Oropeza</t>
        </is>
      </c>
      <c r="E46" s="113" t="inlineStr">
        <is>
          <t>Beyond</t>
        </is>
      </c>
      <c r="G46" s="113" t="inlineStr">
        <is>
          <t>Crédito Directo</t>
        </is>
      </c>
      <c r="I46" s="87" t="n">
        <v>519900</v>
      </c>
      <c r="K46" s="87" t="n">
        <v>37270.91</v>
      </c>
      <c r="M46" s="87" t="n">
        <v>2</v>
      </c>
      <c r="N46" s="114" t="inlineStr">
        <is>
          <t>Dpto 201, Estc E 16</t>
        </is>
      </c>
      <c r="O46" s="115" t="n">
        <v>0.07168861319484517</v>
      </c>
    </row>
    <row r="47" ht="28.8" customHeight="1">
      <c r="A47" s="109" t="n">
        <v>43</v>
      </c>
      <c r="B47" s="109" t="inlineStr">
        <is>
          <t>Norma Luz Tello Contreras</t>
        </is>
      </c>
      <c r="E47" s="109" t="inlineStr">
        <is>
          <t>Venecia</t>
        </is>
      </c>
      <c r="G47" s="109" t="inlineStr">
        <is>
          <t>Crédito Directo</t>
        </is>
      </c>
      <c r="I47" s="110" t="n">
        <v>595800</v>
      </c>
      <c r="K47" s="110" t="n">
        <v>36000</v>
      </c>
      <c r="M47" s="110" t="n">
        <v>77</v>
      </c>
      <c r="N47" s="111" t="inlineStr">
        <is>
          <t>Dpto 601, Estc E 11</t>
        </is>
      </c>
      <c r="O47" s="112" t="n">
        <v>0.06042296072507553</v>
      </c>
    </row>
    <row r="48" ht="28.8" customHeight="1">
      <c r="A48" s="113" t="n">
        <v>44</v>
      </c>
      <c r="B48" s="113" t="inlineStr">
        <is>
          <t>Luis Alberto Ovalle Huamanguilla</t>
        </is>
      </c>
      <c r="E48" s="113" t="inlineStr">
        <is>
          <t>Prada</t>
        </is>
      </c>
      <c r="G48" s="113" t="inlineStr">
        <is>
          <t>Crédito Directo</t>
        </is>
      </c>
      <c r="I48" s="87" t="n">
        <v>52000</v>
      </c>
      <c r="K48" s="87" t="n">
        <v>35000</v>
      </c>
      <c r="M48" s="87" t="n">
        <v>61</v>
      </c>
      <c r="N48" s="114" t="inlineStr">
        <is>
          <t>Estc E 37 - D 28</t>
        </is>
      </c>
      <c r="O48" s="115" t="n">
        <v>0.6730769230769231</v>
      </c>
    </row>
    <row r="49" ht="28.8" customHeight="1">
      <c r="A49" s="109" t="n">
        <v>45</v>
      </c>
      <c r="B49" s="109" t="inlineStr">
        <is>
          <t>Luis Miguel Montero Monteza</t>
        </is>
      </c>
      <c r="E49" s="109" t="inlineStr">
        <is>
          <t>Venecia</t>
        </is>
      </c>
      <c r="G49" s="109" t="inlineStr">
        <is>
          <t>Ahorro</t>
        </is>
      </c>
      <c r="I49" s="110" t="n">
        <v>497000</v>
      </c>
      <c r="K49" s="110" t="n">
        <v>24600</v>
      </c>
      <c r="M49" s="110" t="n">
        <v>0</v>
      </c>
      <c r="N49" s="111" t="inlineStr">
        <is>
          <t>Dpto 104</t>
        </is>
      </c>
      <c r="O49" s="112" t="n">
        <v>0.04949698189134809</v>
      </c>
    </row>
    <row r="50" ht="28.8" customHeight="1">
      <c r="A50" s="113" t="n">
        <v>46</v>
      </c>
      <c r="B50" s="113" t="inlineStr">
        <is>
          <t>ELIZABETH MINDY DELGADO PEREYRA</t>
        </is>
      </c>
      <c r="E50" s="113" t="inlineStr">
        <is>
          <t>Beyond</t>
        </is>
      </c>
      <c r="G50" s="113" t="inlineStr">
        <is>
          <t>Ahorro</t>
        </is>
      </c>
      <c r="I50" s="87" t="n">
        <v>455500</v>
      </c>
      <c r="K50" s="87" t="n">
        <v>22774</v>
      </c>
      <c r="M50" s="87" t="n">
        <v>0</v>
      </c>
      <c r="N50" s="114" t="inlineStr">
        <is>
          <t>Dpto 1301</t>
        </is>
      </c>
      <c r="O50" s="115" t="n">
        <v>0.04999780461031833</v>
      </c>
    </row>
    <row r="51" ht="28.8" customHeight="1">
      <c r="A51" s="109" t="n">
        <v>47</v>
      </c>
      <c r="B51" s="109" t="inlineStr">
        <is>
          <t>Karina Cabanillas Correa</t>
        </is>
      </c>
      <c r="E51" s="109" t="inlineStr">
        <is>
          <t>Prada</t>
        </is>
      </c>
      <c r="G51" s="109" t="inlineStr">
        <is>
          <t>Crédito Directo</t>
        </is>
      </c>
      <c r="I51" s="110" t="n">
        <v>52000</v>
      </c>
      <c r="K51" s="110" t="n">
        <v>20400</v>
      </c>
      <c r="M51" s="110" t="n">
        <v>92</v>
      </c>
      <c r="N51" s="111" t="inlineStr">
        <is>
          <t>Estc E 09 - D 06</t>
        </is>
      </c>
      <c r="O51" s="112" t="n">
        <v>0.3923076923076923</v>
      </c>
    </row>
    <row r="52" ht="28.8" customHeight="1">
      <c r="A52" s="113" t="n">
        <v>48</v>
      </c>
      <c r="B52" s="113" t="inlineStr">
        <is>
          <t>Diana Carolina Asmat Cuno</t>
        </is>
      </c>
      <c r="E52" s="113" t="inlineStr">
        <is>
          <t>Beyond</t>
        </is>
      </c>
      <c r="G52" s="113" t="inlineStr">
        <is>
          <t>Crédito Directo</t>
        </is>
      </c>
      <c r="I52" s="87" t="n">
        <v>370000</v>
      </c>
      <c r="K52" s="87" t="n">
        <v>20000</v>
      </c>
      <c r="M52" s="87" t="n">
        <v>61</v>
      </c>
      <c r="N52" s="114" t="inlineStr">
        <is>
          <t>Dpto 1202</t>
        </is>
      </c>
      <c r="O52" s="115" t="n">
        <v>0.05405405405405406</v>
      </c>
    </row>
    <row r="53" ht="28.8" customHeight="1">
      <c r="A53" s="109" t="n">
        <v>49</v>
      </c>
      <c r="B53" s="109" t="inlineStr">
        <is>
          <t>Fabiola Maria Lecca Vargas</t>
        </is>
      </c>
      <c r="E53" s="109" t="inlineStr">
        <is>
          <t>Beyond</t>
        </is>
      </c>
      <c r="G53" s="109" t="inlineStr">
        <is>
          <t>Crédito Directo</t>
        </is>
      </c>
      <c r="I53" s="110" t="n">
        <v>467100</v>
      </c>
      <c r="K53" s="110" t="n">
        <v>20000</v>
      </c>
      <c r="M53" s="110" t="n">
        <v>16</v>
      </c>
      <c r="N53" s="111" t="inlineStr">
        <is>
          <t>Dpto 1205</t>
        </is>
      </c>
      <c r="O53" s="112" t="n">
        <v>0.04281738385784629</v>
      </c>
    </row>
    <row r="54" ht="28.8" customHeight="1">
      <c r="A54" s="113" t="n">
        <v>50</v>
      </c>
      <c r="B54" s="113" t="inlineStr">
        <is>
          <t>Gersom Juver Gonzalez Alfaro</t>
        </is>
      </c>
      <c r="E54" s="113" t="inlineStr">
        <is>
          <t>Prada</t>
        </is>
      </c>
      <c r="G54" s="113" t="inlineStr">
        <is>
          <t>Crédito Directo</t>
        </is>
      </c>
      <c r="I54" s="87" t="n">
        <v>60400</v>
      </c>
      <c r="K54" s="87" t="n">
        <v>20000</v>
      </c>
      <c r="M54" s="87" t="n">
        <v>0</v>
      </c>
      <c r="N54" s="114" t="inlineStr">
        <is>
          <t>Estc E 25 - D 19</t>
        </is>
      </c>
      <c r="O54" s="115" t="n">
        <v>0.3311258278145696</v>
      </c>
    </row>
    <row r="55" ht="28.8" customHeight="1">
      <c r="A55" s="109" t="n">
        <v>51</v>
      </c>
      <c r="B55" s="109" t="inlineStr">
        <is>
          <t>Elizabeth Bertha Fierro Cancho</t>
        </is>
      </c>
      <c r="E55" s="109" t="inlineStr">
        <is>
          <t>Beyond</t>
        </is>
      </c>
      <c r="G55" s="109" t="inlineStr">
        <is>
          <t>Ahorro</t>
        </is>
      </c>
      <c r="I55" s="110" t="n">
        <v>493000</v>
      </c>
      <c r="K55" s="110" t="n">
        <v>16800</v>
      </c>
      <c r="M55" s="110" t="n">
        <v>0</v>
      </c>
      <c r="N55" s="111" t="inlineStr">
        <is>
          <t>Dpto 801</t>
        </is>
      </c>
      <c r="O55" s="112" t="n">
        <v>0.03407707910750507</v>
      </c>
    </row>
    <row r="56" ht="28.8" customHeight="1">
      <c r="A56" s="113" t="n">
        <v>52</v>
      </c>
      <c r="B56" s="113" t="inlineStr">
        <is>
          <t>Petronila Tisnado Meneses</t>
        </is>
      </c>
      <c r="E56" s="113" t="inlineStr">
        <is>
          <t>Venecia</t>
        </is>
      </c>
      <c r="G56" s="113" t="inlineStr">
        <is>
          <t>Crédito Directo</t>
        </is>
      </c>
      <c r="I56" s="87" t="n">
        <v>435000</v>
      </c>
      <c r="K56" s="87" t="n">
        <v>14300</v>
      </c>
      <c r="M56" s="87" t="n">
        <v>0</v>
      </c>
      <c r="N56" s="114" t="inlineStr">
        <is>
          <t>Dpto 405, Estc E 29 - D 13</t>
        </is>
      </c>
      <c r="O56" s="115" t="n">
        <v>0.03287356321839081</v>
      </c>
    </row>
    <row r="57" ht="28.8" customHeight="1">
      <c r="A57" s="109" t="n">
        <v>53</v>
      </c>
      <c r="B57" s="109" t="inlineStr">
        <is>
          <t>Christian Eduardo Blas Acosta</t>
        </is>
      </c>
      <c r="E57" s="109" t="inlineStr">
        <is>
          <t>Beyond</t>
        </is>
      </c>
      <c r="G57" s="109" t="inlineStr">
        <is>
          <t>Crédito Directo</t>
        </is>
      </c>
      <c r="I57" s="110" t="n">
        <v>412200</v>
      </c>
      <c r="K57" s="110" t="n">
        <v>12000</v>
      </c>
      <c r="M57" s="110" t="n">
        <v>0</v>
      </c>
      <c r="N57" s="111" t="inlineStr">
        <is>
          <t>Dpto 1502, Estc E 39</t>
        </is>
      </c>
      <c r="O57" s="112" t="n">
        <v>0.02911208151382824</v>
      </c>
    </row>
    <row r="58" ht="28.8" customHeight="1">
      <c r="A58" s="113" t="n">
        <v>54</v>
      </c>
      <c r="B58" s="113" t="inlineStr">
        <is>
          <t>Patricia Salazar Aparcana</t>
        </is>
      </c>
      <c r="E58" s="113" t="inlineStr">
        <is>
          <t>Venecia</t>
        </is>
      </c>
      <c r="G58" s="113" t="inlineStr">
        <is>
          <t>Crédito Directo</t>
        </is>
      </c>
      <c r="I58" s="87" t="n">
        <v>50800</v>
      </c>
      <c r="K58" s="87" t="n">
        <v>10105.88</v>
      </c>
      <c r="M58" s="87" t="n">
        <v>36</v>
      </c>
      <c r="N58" s="114" t="inlineStr">
        <is>
          <t>Estc E 25 - D 8</t>
        </is>
      </c>
      <c r="O58" s="115" t="n">
        <v>0.1989346456692914</v>
      </c>
    </row>
    <row r="59" ht="28.8" customHeight="1">
      <c r="A59" s="109" t="n">
        <v>55</v>
      </c>
      <c r="B59" s="109" t="inlineStr">
        <is>
          <t>Rocio del Pilar Quispe Vivanco</t>
        </is>
      </c>
      <c r="E59" s="109" t="inlineStr">
        <is>
          <t>Beyond</t>
        </is>
      </c>
      <c r="G59" s="109" t="inlineStr">
        <is>
          <t>Crédito Directo</t>
        </is>
      </c>
      <c r="I59" s="110" t="n">
        <v>51000</v>
      </c>
      <c r="K59" s="110" t="n">
        <v>8990</v>
      </c>
      <c r="M59" s="110" t="n">
        <v>76</v>
      </c>
      <c r="N59" s="111" t="inlineStr">
        <is>
          <t>Estc E 33 - D 22</t>
        </is>
      </c>
      <c r="O59" s="112" t="n">
        <v>0.1762745098039216</v>
      </c>
    </row>
    <row r="60" ht="28.8" customHeight="1">
      <c r="A60" s="113" t="n">
        <v>56</v>
      </c>
      <c r="B60" s="113" t="inlineStr">
        <is>
          <t>Juana Mercedes Moran Peralta</t>
        </is>
      </c>
      <c r="E60" s="113" t="inlineStr">
        <is>
          <t>Beyond</t>
        </is>
      </c>
      <c r="G60" s="113" t="inlineStr">
        <is>
          <t>Crédito Hipotecario</t>
        </is>
      </c>
      <c r="I60" s="87" t="n">
        <v>51300</v>
      </c>
      <c r="K60" s="87" t="n">
        <v>8300</v>
      </c>
      <c r="M60" s="87" t="n">
        <v>31</v>
      </c>
      <c r="N60" s="114" t="inlineStr">
        <is>
          <t>Estc E 10 - D 09</t>
        </is>
      </c>
      <c r="O60" s="115" t="n">
        <v>0.1617933723196881</v>
      </c>
    </row>
    <row r="61" ht="28.8" customHeight="1">
      <c r="A61" s="109" t="n">
        <v>57</v>
      </c>
      <c r="B61" s="109" t="inlineStr">
        <is>
          <t>RONALD ANTONIO TICONA ARONES</t>
        </is>
      </c>
      <c r="E61" s="109" t="inlineStr">
        <is>
          <t>Beyond</t>
        </is>
      </c>
      <c r="G61" s="109" t="inlineStr">
        <is>
          <t>Crédito Directo</t>
        </is>
      </c>
      <c r="I61" s="110" t="n">
        <v>102500</v>
      </c>
      <c r="K61" s="110" t="n">
        <v>4480</v>
      </c>
      <c r="M61" s="110" t="n">
        <v>0</v>
      </c>
      <c r="N61" s="111" t="inlineStr">
        <is>
          <t>Estc E 31 - D 20, Estc E 32 - D 21</t>
        </is>
      </c>
      <c r="O61" s="112" t="n">
        <v>0.04370731707317073</v>
      </c>
    </row>
    <row r="62" ht="28.8" customHeight="1">
      <c r="A62" s="113" t="n">
        <v>58</v>
      </c>
      <c r="B62" s="113" t="inlineStr">
        <is>
          <t>Jimmy Luis Andrade Morveli</t>
        </is>
      </c>
      <c r="E62" s="113" t="inlineStr">
        <is>
          <t>Beyond</t>
        </is>
      </c>
      <c r="G62" s="113" t="inlineStr">
        <is>
          <t>Crédito Directo</t>
        </is>
      </c>
      <c r="I62" s="87" t="n">
        <v>54500</v>
      </c>
      <c r="K62" s="87" t="n">
        <v>3000</v>
      </c>
      <c r="M62" s="87" t="n">
        <v>0</v>
      </c>
      <c r="N62" s="114" t="inlineStr">
        <is>
          <t>Estc E 19 - D 14</t>
        </is>
      </c>
      <c r="O62" s="115" t="n">
        <v>0.05504587155963303</v>
      </c>
    </row>
    <row r="63" ht="28.8" customHeight="1">
      <c r="A63" s="109" t="n">
        <v>59</v>
      </c>
      <c r="B63" s="109" t="inlineStr">
        <is>
          <t>Elizabeth Bertha Fierro Cancho</t>
        </is>
      </c>
      <c r="E63" s="109" t="inlineStr">
        <is>
          <t>Beyond</t>
        </is>
      </c>
      <c r="G63" s="109" t="inlineStr">
        <is>
          <t>Crédito Directo</t>
        </is>
      </c>
      <c r="I63" s="110" t="n">
        <v>51000</v>
      </c>
      <c r="K63" s="110" t="n">
        <v>3000</v>
      </c>
      <c r="M63" s="110" t="n">
        <v>0</v>
      </c>
      <c r="N63" s="111" t="inlineStr">
        <is>
          <t>Estc E 26 - D 17</t>
        </is>
      </c>
      <c r="O63" s="112" t="n">
        <v>0.05882352941176471</v>
      </c>
    </row>
    <row r="64" ht="28.8" customHeight="1">
      <c r="A64" s="113" t="n">
        <v>60</v>
      </c>
      <c r="B64" s="113" t="inlineStr">
        <is>
          <t>Evelyn Arciela Leon Estela</t>
        </is>
      </c>
      <c r="E64" s="113" t="inlineStr">
        <is>
          <t>Venecia</t>
        </is>
      </c>
      <c r="G64" s="113" t="inlineStr">
        <is>
          <t>Crédito Directo</t>
        </is>
      </c>
      <c r="I64" s="87" t="n">
        <v>48500</v>
      </c>
      <c r="K64" s="87" t="n">
        <v>1940</v>
      </c>
      <c r="M64" s="87" t="n">
        <v>0</v>
      </c>
      <c r="N64" s="114" t="inlineStr">
        <is>
          <t>Estc E 04</t>
        </is>
      </c>
      <c r="O64" s="115" t="n">
        <v>0.04</v>
      </c>
    </row>
  </sheetData>
  <mergeCells count="367">
    <mergeCell ref="B60:D60"/>
    <mergeCell ref="K33:L33"/>
    <mergeCell ref="B53:D53"/>
    <mergeCell ref="E8:F8"/>
    <mergeCell ref="K35:L35"/>
    <mergeCell ref="O32:P32"/>
    <mergeCell ref="O63:P63"/>
    <mergeCell ref="O26:P26"/>
    <mergeCell ref="O55:P55"/>
    <mergeCell ref="O40:P40"/>
    <mergeCell ref="O27:P27"/>
    <mergeCell ref="K28:L28"/>
    <mergeCell ref="E53:F53"/>
    <mergeCell ref="I30:J30"/>
    <mergeCell ref="G59:H59"/>
    <mergeCell ref="K30:L30"/>
    <mergeCell ref="E55:F55"/>
    <mergeCell ref="I46:J46"/>
    <mergeCell ref="B8:D8"/>
    <mergeCell ref="E5:F5"/>
    <mergeCell ref="G61:H61"/>
    <mergeCell ref="E48:F48"/>
    <mergeCell ref="I61:J61"/>
    <mergeCell ref="O45:P45"/>
    <mergeCell ref="G48:H48"/>
    <mergeCell ref="B10:D10"/>
    <mergeCell ref="I54:J54"/>
    <mergeCell ref="I41:J41"/>
    <mergeCell ref="K41:L41"/>
    <mergeCell ref="G62:H62"/>
    <mergeCell ref="I56:J56"/>
    <mergeCell ref="K56:L56"/>
    <mergeCell ref="I43:J43"/>
    <mergeCell ref="B5:D5"/>
    <mergeCell ref="K43:L43"/>
    <mergeCell ref="O51:P51"/>
    <mergeCell ref="O37:P37"/>
    <mergeCell ref="O58:P58"/>
    <mergeCell ref="E16:F16"/>
    <mergeCell ref="G16:H16"/>
    <mergeCell ref="I59:J59"/>
    <mergeCell ref="B21:D21"/>
    <mergeCell ref="G9:H9"/>
    <mergeCell ref="E18:F18"/>
    <mergeCell ref="I9:J9"/>
    <mergeCell ref="K25:L25"/>
    <mergeCell ref="B23:D23"/>
    <mergeCell ref="G11:H11"/>
    <mergeCell ref="I11:J11"/>
    <mergeCell ref="K54:L54"/>
    <mergeCell ref="K29:L29"/>
    <mergeCell ref="E29:F29"/>
    <mergeCell ref="K44:L44"/>
    <mergeCell ref="K31:L31"/>
    <mergeCell ref="E31:F31"/>
    <mergeCell ref="B51:D51"/>
    <mergeCell ref="E6:F6"/>
    <mergeCell ref="O59:P59"/>
    <mergeCell ref="I62:J62"/>
    <mergeCell ref="O46:P46"/>
    <mergeCell ref="O61:P61"/>
    <mergeCell ref="G64:H64"/>
    <mergeCell ref="I64:J64"/>
    <mergeCell ref="O48:P48"/>
    <mergeCell ref="G51:H51"/>
    <mergeCell ref="I51:J51"/>
    <mergeCell ref="K57:L57"/>
    <mergeCell ref="E24:F24"/>
    <mergeCell ref="O10:P10"/>
    <mergeCell ref="E42:F42"/>
    <mergeCell ref="B29:D29"/>
    <mergeCell ref="E17:F17"/>
    <mergeCell ref="G17:H17"/>
    <mergeCell ref="E19:F19"/>
    <mergeCell ref="G19:H19"/>
    <mergeCell ref="G6:H6"/>
    <mergeCell ref="B24:D24"/>
    <mergeCell ref="I12:J12"/>
    <mergeCell ref="K12:L12"/>
    <mergeCell ref="B32:D32"/>
    <mergeCell ref="B26:D26"/>
    <mergeCell ref="G14:H14"/>
    <mergeCell ref="I39:J39"/>
    <mergeCell ref="I14:J14"/>
    <mergeCell ref="K39:L39"/>
    <mergeCell ref="K14:L14"/>
    <mergeCell ref="B27:D27"/>
    <mergeCell ref="E37:F37"/>
    <mergeCell ref="E47:F47"/>
    <mergeCell ref="B42:D42"/>
    <mergeCell ref="O6:P6"/>
    <mergeCell ref="B44:D44"/>
    <mergeCell ref="B37:D37"/>
    <mergeCell ref="I25:J25"/>
    <mergeCell ref="K50:L50"/>
    <mergeCell ref="E63:F63"/>
    <mergeCell ref="I58:J58"/>
    <mergeCell ref="B20:D20"/>
    <mergeCell ref="K58:L58"/>
    <mergeCell ref="O16:P16"/>
    <mergeCell ref="K52:L52"/>
    <mergeCell ref="E27:F27"/>
    <mergeCell ref="O17:P17"/>
    <mergeCell ref="G20:H20"/>
    <mergeCell ref="K53:L53"/>
    <mergeCell ref="O11:P11"/>
    <mergeCell ref="I20:J20"/>
    <mergeCell ref="E22:F22"/>
    <mergeCell ref="I13:J13"/>
    <mergeCell ref="G22:H22"/>
    <mergeCell ref="K13:L13"/>
    <mergeCell ref="I15:J15"/>
    <mergeCell ref="K15:L15"/>
    <mergeCell ref="K55:L55"/>
    <mergeCell ref="E38:F38"/>
    <mergeCell ref="G38:H38"/>
    <mergeCell ref="E40:F40"/>
    <mergeCell ref="B45:D45"/>
    <mergeCell ref="G33:H33"/>
    <mergeCell ref="I33:J33"/>
    <mergeCell ref="I8:J8"/>
    <mergeCell ref="B47:D47"/>
    <mergeCell ref="G35:H35"/>
    <mergeCell ref="B59:D59"/>
    <mergeCell ref="I35:J35"/>
    <mergeCell ref="B46:D46"/>
    <mergeCell ref="I10:J10"/>
    <mergeCell ref="K10:L10"/>
    <mergeCell ref="B48:D48"/>
    <mergeCell ref="O19:P19"/>
    <mergeCell ref="A1:P2"/>
    <mergeCell ref="K5:L5"/>
    <mergeCell ref="O20:P20"/>
    <mergeCell ref="O22:P22"/>
    <mergeCell ref="I21:J21"/>
    <mergeCell ref="E59:F59"/>
    <mergeCell ref="E46:F46"/>
    <mergeCell ref="K8:L8"/>
    <mergeCell ref="B41:D41"/>
    <mergeCell ref="B35:D35"/>
    <mergeCell ref="I23:J23"/>
    <mergeCell ref="E61:F61"/>
    <mergeCell ref="K23:L23"/>
    <mergeCell ref="O47:P47"/>
    <mergeCell ref="E54:F54"/>
    <mergeCell ref="G54:H54"/>
    <mergeCell ref="E41:F41"/>
    <mergeCell ref="O38:P38"/>
    <mergeCell ref="G41:H41"/>
    <mergeCell ref="E56:F56"/>
    <mergeCell ref="K18:L18"/>
    <mergeCell ref="G56:H56"/>
    <mergeCell ref="E43:F43"/>
    <mergeCell ref="I34:J34"/>
    <mergeCell ref="G43:H43"/>
    <mergeCell ref="K34:L34"/>
    <mergeCell ref="B61:D61"/>
    <mergeCell ref="I49:J49"/>
    <mergeCell ref="O33:P33"/>
    <mergeCell ref="G36:H36"/>
    <mergeCell ref="I36:J36"/>
    <mergeCell ref="K36:L36"/>
    <mergeCell ref="E9:F9"/>
    <mergeCell ref="B64:D64"/>
    <mergeCell ref="E11:F11"/>
    <mergeCell ref="B16:D16"/>
    <mergeCell ref="G29:H29"/>
    <mergeCell ref="O64:P64"/>
    <mergeCell ref="G4:H4"/>
    <mergeCell ref="I29:J29"/>
    <mergeCell ref="I4:J4"/>
    <mergeCell ref="B18:D18"/>
    <mergeCell ref="G31:H31"/>
    <mergeCell ref="I31:J31"/>
    <mergeCell ref="B11:D11"/>
    <mergeCell ref="K49:L49"/>
    <mergeCell ref="E62:F62"/>
    <mergeCell ref="K24:L24"/>
    <mergeCell ref="B57:D57"/>
    <mergeCell ref="I26:J26"/>
    <mergeCell ref="E64:F64"/>
    <mergeCell ref="K26:L26"/>
    <mergeCell ref="E51:F51"/>
    <mergeCell ref="O54:P54"/>
    <mergeCell ref="G57:H57"/>
    <mergeCell ref="O41:P41"/>
    <mergeCell ref="O35:P35"/>
    <mergeCell ref="B6:D6"/>
    <mergeCell ref="O43:P43"/>
    <mergeCell ref="I42:J42"/>
    <mergeCell ref="B4:D4"/>
    <mergeCell ref="K42:L42"/>
    <mergeCell ref="G58:H58"/>
    <mergeCell ref="B62:D62"/>
    <mergeCell ref="I52:J52"/>
    <mergeCell ref="I44:J44"/>
    <mergeCell ref="O60:P60"/>
    <mergeCell ref="K37:L37"/>
    <mergeCell ref="E12:F12"/>
    <mergeCell ref="G12:H12"/>
    <mergeCell ref="B17:D17"/>
    <mergeCell ref="E14:F14"/>
    <mergeCell ref="K21:L21"/>
    <mergeCell ref="I57:J57"/>
    <mergeCell ref="B19:D19"/>
    <mergeCell ref="O29:P29"/>
    <mergeCell ref="G7:H7"/>
    <mergeCell ref="I32:J32"/>
    <mergeCell ref="I7:J7"/>
    <mergeCell ref="K32:L32"/>
    <mergeCell ref="K63:L63"/>
    <mergeCell ref="O44:P44"/>
    <mergeCell ref="O31:P31"/>
    <mergeCell ref="K27:L27"/>
    <mergeCell ref="O62:P62"/>
    <mergeCell ref="O56:P56"/>
    <mergeCell ref="E25:F25"/>
    <mergeCell ref="G25:H25"/>
    <mergeCell ref="O57:P57"/>
    <mergeCell ref="G60:H60"/>
    <mergeCell ref="E58:F58"/>
    <mergeCell ref="I60:J60"/>
    <mergeCell ref="K16:L16"/>
    <mergeCell ref="B14:D14"/>
    <mergeCell ref="K9:L9"/>
    <mergeCell ref="B13:D13"/>
    <mergeCell ref="I45:J45"/>
    <mergeCell ref="O9:P9"/>
    <mergeCell ref="K45:L45"/>
    <mergeCell ref="K11:L11"/>
    <mergeCell ref="E20:F20"/>
    <mergeCell ref="I47:J47"/>
    <mergeCell ref="K47:L47"/>
    <mergeCell ref="E13:F13"/>
    <mergeCell ref="G13:H13"/>
    <mergeCell ref="K46:L46"/>
    <mergeCell ref="O4:P4"/>
    <mergeCell ref="K40:L40"/>
    <mergeCell ref="E15:F15"/>
    <mergeCell ref="G15:H15"/>
    <mergeCell ref="B25:D25"/>
    <mergeCell ref="B22:D22"/>
    <mergeCell ref="E33:F33"/>
    <mergeCell ref="G8:H8"/>
    <mergeCell ref="B38:D38"/>
    <mergeCell ref="E35:F35"/>
    <mergeCell ref="E10:F10"/>
    <mergeCell ref="G10:H10"/>
    <mergeCell ref="B40:D40"/>
    <mergeCell ref="E28:F28"/>
    <mergeCell ref="G53:H53"/>
    <mergeCell ref="G28:H28"/>
    <mergeCell ref="I53:J53"/>
    <mergeCell ref="I28:J28"/>
    <mergeCell ref="B15:D15"/>
    <mergeCell ref="B33:D33"/>
    <mergeCell ref="K59:L59"/>
    <mergeCell ref="E30:F30"/>
    <mergeCell ref="G30:H30"/>
    <mergeCell ref="I55:J55"/>
    <mergeCell ref="G5:H5"/>
    <mergeCell ref="I5:J5"/>
    <mergeCell ref="K61:L61"/>
    <mergeCell ref="I48:J48"/>
    <mergeCell ref="K48:L48"/>
    <mergeCell ref="O12:P12"/>
    <mergeCell ref="O14:P14"/>
    <mergeCell ref="K62:L62"/>
    <mergeCell ref="O13:P13"/>
    <mergeCell ref="E21:F21"/>
    <mergeCell ref="O7:P7"/>
    <mergeCell ref="G21:H21"/>
    <mergeCell ref="O53:P53"/>
    <mergeCell ref="O15:P15"/>
    <mergeCell ref="E23:F23"/>
    <mergeCell ref="G23:H23"/>
    <mergeCell ref="B34:D34"/>
    <mergeCell ref="B28:D28"/>
    <mergeCell ref="I16:J16"/>
    <mergeCell ref="B30:D30"/>
    <mergeCell ref="G18:H18"/>
    <mergeCell ref="I18:J18"/>
    <mergeCell ref="E34:F34"/>
    <mergeCell ref="G34:H34"/>
    <mergeCell ref="O25:P25"/>
    <mergeCell ref="E49:F49"/>
    <mergeCell ref="E36:F36"/>
    <mergeCell ref="B54:D54"/>
    <mergeCell ref="O8:P8"/>
    <mergeCell ref="B56:D56"/>
    <mergeCell ref="G44:H44"/>
    <mergeCell ref="B43:D43"/>
    <mergeCell ref="I6:J6"/>
    <mergeCell ref="G40:H40"/>
    <mergeCell ref="K64:L64"/>
    <mergeCell ref="E4:F4"/>
    <mergeCell ref="K51:L51"/>
    <mergeCell ref="B9:D9"/>
    <mergeCell ref="G49:H49"/>
    <mergeCell ref="B36:D36"/>
    <mergeCell ref="O21:P21"/>
    <mergeCell ref="G24:H24"/>
    <mergeCell ref="I24:J24"/>
    <mergeCell ref="E26:F26"/>
    <mergeCell ref="I17:J17"/>
    <mergeCell ref="G26:H26"/>
    <mergeCell ref="K17:L17"/>
    <mergeCell ref="B31:D31"/>
    <mergeCell ref="I19:J19"/>
    <mergeCell ref="K19:L19"/>
    <mergeCell ref="K6:L6"/>
    <mergeCell ref="B39:D39"/>
    <mergeCell ref="E50:F50"/>
    <mergeCell ref="O34:P34"/>
    <mergeCell ref="O28:P28"/>
    <mergeCell ref="G42:H42"/>
    <mergeCell ref="E52:F52"/>
    <mergeCell ref="E39:F39"/>
    <mergeCell ref="O39:P39"/>
    <mergeCell ref="O36:P36"/>
    <mergeCell ref="G39:H39"/>
    <mergeCell ref="E44:F44"/>
    <mergeCell ref="O30:P30"/>
    <mergeCell ref="K60:L60"/>
    <mergeCell ref="O5:P5"/>
    <mergeCell ref="B49:D49"/>
    <mergeCell ref="G37:H37"/>
    <mergeCell ref="I37:J37"/>
    <mergeCell ref="B63:D63"/>
    <mergeCell ref="B50:D50"/>
    <mergeCell ref="E57:F57"/>
    <mergeCell ref="K7:L7"/>
    <mergeCell ref="E32:F32"/>
    <mergeCell ref="E7:F7"/>
    <mergeCell ref="G32:H32"/>
    <mergeCell ref="G63:H63"/>
    <mergeCell ref="O23:P23"/>
    <mergeCell ref="I63:J63"/>
    <mergeCell ref="G50:H50"/>
    <mergeCell ref="I50:J50"/>
    <mergeCell ref="B12:D12"/>
    <mergeCell ref="G52:H52"/>
    <mergeCell ref="O24:P24"/>
    <mergeCell ref="G27:H27"/>
    <mergeCell ref="O18:P18"/>
    <mergeCell ref="I27:J27"/>
    <mergeCell ref="K20:L20"/>
    <mergeCell ref="O49:P49"/>
    <mergeCell ref="I22:J22"/>
    <mergeCell ref="E60:F60"/>
    <mergeCell ref="K22:L22"/>
    <mergeCell ref="B55:D55"/>
    <mergeCell ref="O50:P50"/>
    <mergeCell ref="E45:F45"/>
    <mergeCell ref="O42:P42"/>
    <mergeCell ref="G45:H45"/>
    <mergeCell ref="B7:D7"/>
    <mergeCell ref="G55:H55"/>
    <mergeCell ref="O52:P52"/>
    <mergeCell ref="I38:J38"/>
    <mergeCell ref="G47:H47"/>
    <mergeCell ref="K38:L38"/>
    <mergeCell ref="B58:D58"/>
    <mergeCell ref="B52:D52"/>
    <mergeCell ref="G46:H46"/>
    <mergeCell ref="K4:L4"/>
    <mergeCell ref="I40:J40"/>
  </mergeCells>
  <conditionalFormatting sqref="K5:K64">
    <cfRule type="dataBar" priority="1">
      <dataBar>
        <cfvo type="num" val="0"/>
        <cfvo type="num" val="848430"/>
        <color rgb="FFE73349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</cols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PrecioLista_1</t>
        </is>
      </c>
      <c r="H1" t="inlineStr">
        <is>
          <t>PrecioVenta_1</t>
        </is>
      </c>
      <c r="I1" t="inlineStr">
        <is>
          <t>Tipo_Construccion_2</t>
        </is>
      </c>
      <c r="J1" t="inlineStr">
        <is>
          <t>Nombre_Tipo_Construccion_2</t>
        </is>
      </c>
      <c r="K1" t="inlineStr">
        <is>
          <t>TipoInmueble_2</t>
        </is>
      </c>
      <c r="L1" t="inlineStr">
        <is>
          <t>NroInmueble_2</t>
        </is>
      </c>
      <c r="M1" t="inlineStr">
        <is>
          <t>PrecioLista_2</t>
        </is>
      </c>
      <c r="N1" t="inlineStr">
        <is>
          <t>PrecioVenta_2</t>
        </is>
      </c>
      <c r="O1" t="inlineStr">
        <is>
          <t>Tipo_Construccion_3</t>
        </is>
      </c>
      <c r="P1" t="inlineStr">
        <is>
          <t>Nombre_Tipo_Construccion_3</t>
        </is>
      </c>
      <c r="Q1" t="inlineStr">
        <is>
          <t>TipoInmueble_3</t>
        </is>
      </c>
      <c r="R1" t="inlineStr">
        <is>
          <t>NroInmueble_3</t>
        </is>
      </c>
      <c r="S1" t="inlineStr">
        <is>
          <t>PrecioLista_3</t>
        </is>
      </c>
      <c r="T1" t="inlineStr">
        <is>
          <t>PrecioVenta_3</t>
        </is>
      </c>
      <c r="U1" t="inlineStr">
        <is>
          <t>Tipo_Construccion_4</t>
        </is>
      </c>
      <c r="V1" t="inlineStr">
        <is>
          <t>Nombre_Tipo_Construccion_4</t>
        </is>
      </c>
      <c r="W1" t="inlineStr">
        <is>
          <t>TipoInmueble_4</t>
        </is>
      </c>
      <c r="X1" t="inlineStr">
        <is>
          <t>NroInmueble_4</t>
        </is>
      </c>
      <c r="Y1" t="inlineStr">
        <is>
          <t>PrecioLista_4</t>
        </is>
      </c>
      <c r="Z1" t="inlineStr">
        <is>
          <t>PrecioVenta_4</t>
        </is>
      </c>
      <c r="AA1" t="inlineStr">
        <is>
          <t>Nombres_Titular</t>
        </is>
      </c>
      <c r="AB1" t="inlineStr">
        <is>
          <t>NroDocumento</t>
        </is>
      </c>
      <c r="AC1" t="inlineStr">
        <is>
          <t>Direccion</t>
        </is>
      </c>
      <c r="AD1" t="inlineStr">
        <is>
          <t>TelefonoCasa</t>
        </is>
      </c>
      <c r="AE1" t="inlineStr">
        <is>
          <t>TelefonoCelular</t>
        </is>
      </c>
      <c r="AF1" t="inlineStr">
        <is>
          <t>CorreoElectronico</t>
        </is>
      </c>
      <c r="AG1" t="inlineStr">
        <is>
          <t>Provincia</t>
        </is>
      </c>
      <c r="AH1" t="inlineStr">
        <is>
          <t>Distrito</t>
        </is>
      </c>
      <c r="AI1" t="inlineStr">
        <is>
          <t>Fecha_Programada</t>
        </is>
      </c>
      <c r="AJ1" t="inlineStr">
        <is>
          <t>FechaPago</t>
        </is>
      </c>
      <c r="AK1" t="inlineStr">
        <is>
          <t>Tipo_Cuota</t>
        </is>
      </c>
      <c r="AL1" t="inlineStr">
        <is>
          <t>Nro_Cuota</t>
        </is>
      </c>
      <c r="AM1" t="inlineStr">
        <is>
          <t>Capital</t>
        </is>
      </c>
      <c r="AN1" t="inlineStr">
        <is>
          <t>Intereses</t>
        </is>
      </c>
      <c r="AO1" t="inlineStr">
        <is>
          <t>GastosAdministrativos</t>
        </is>
      </c>
      <c r="AP1" t="inlineStr">
        <is>
          <t>Monto_Cuota</t>
        </is>
      </c>
      <c r="AQ1" t="inlineStr">
        <is>
          <t>Monto_Cuota_Pagado</t>
        </is>
      </c>
      <c r="AR1" t="inlineStr">
        <is>
          <t>SaldoPorPagarCuota</t>
        </is>
      </c>
      <c r="AS1" t="inlineStr">
        <is>
          <t>MontoMora</t>
        </is>
      </c>
      <c r="AT1" t="inlineStr">
        <is>
          <t>TipoFinanciamiento</t>
        </is>
      </c>
      <c r="AU1" t="inlineStr">
        <is>
          <t>Entidad_Financiera</t>
        </is>
      </c>
      <c r="AV1" t="inlineStr">
        <is>
          <t>Nro_Cuenta</t>
        </is>
      </c>
      <c r="AW1" t="inlineStr">
        <is>
          <t>Medio_Pago</t>
        </is>
      </c>
      <c r="AX1" t="inlineStr">
        <is>
          <t>Nro_Documento</t>
        </is>
      </c>
      <c r="AY1" t="inlineStr">
        <is>
          <t>Nro_Operacion</t>
        </is>
      </c>
      <c r="AZ1" t="inlineStr">
        <is>
          <t>Verificado</t>
        </is>
      </c>
      <c r="BA1" t="inlineStr">
        <is>
          <t>OrigenFondo</t>
        </is>
      </c>
      <c r="BB1" t="inlineStr">
        <is>
          <t>TipoCambio</t>
        </is>
      </c>
      <c r="BC1" t="inlineStr">
        <is>
          <t>Estado</t>
        </is>
      </c>
      <c r="BD1" t="inlineStr">
        <is>
          <t>Estado_Letra</t>
        </is>
      </c>
      <c r="BE1" t="inlineStr">
        <is>
          <t>Ubicación_Letra</t>
        </is>
      </c>
      <c r="BF1" t="inlineStr">
        <is>
          <t>Casuistica_Cuota</t>
        </is>
      </c>
      <c r="BG1" t="inlineStr">
        <is>
          <t>Accio_Cuota</t>
        </is>
      </c>
      <c r="BH1" t="inlineStr">
        <is>
          <t>FechaPromesa</t>
        </is>
      </c>
      <c r="BI1" t="inlineStr">
        <is>
          <t>ValorCompromiso</t>
        </is>
      </c>
      <c r="BJ1" t="inlineStr">
        <is>
          <t>Porcentaje</t>
        </is>
      </c>
      <c r="BK1" t="inlineStr">
        <is>
          <t>Comentario_Cuota</t>
        </is>
      </c>
      <c r="BL1" t="inlineStr">
        <is>
          <t>Fecha_Modificiacion_Seguimiento</t>
        </is>
      </c>
      <c r="BM1" t="inlineStr">
        <is>
          <t>Usuario_Modificiacion_Seguimiento</t>
        </is>
      </c>
      <c r="BN1" t="inlineStr">
        <is>
          <t>Doc_Adjunto</t>
        </is>
      </c>
      <c r="BO1" t="inlineStr">
        <is>
          <t>FechaOperacionComercial</t>
        </is>
      </c>
      <c r="BP1" t="inlineStr">
        <is>
          <t>Asesor_Comercial</t>
        </is>
      </c>
      <c r="BQ1" t="inlineStr">
        <is>
          <t>Asesor_Banco</t>
        </is>
      </c>
      <c r="BR1" t="inlineStr">
        <is>
          <t>Correlativo</t>
        </is>
      </c>
      <c r="BS1" t="inlineStr">
        <is>
          <t>Fecha_Registro_Pago_Cargado</t>
        </is>
      </c>
      <c r="BT1" t="inlineStr">
        <is>
          <t>ComisionPago</t>
        </is>
      </c>
      <c r="BU1" t="inlineStr">
        <is>
          <t>IdCotizacion</t>
        </is>
      </c>
      <c r="BV1" t="inlineStr">
        <is>
          <t>Doc_Contable</t>
        </is>
      </c>
      <c r="BW1" t="inlineStr">
        <is>
          <t>Monto_EstadoCuenta</t>
        </is>
      </c>
      <c r="BX1" t="inlineStr">
        <is>
          <t>Archivo_Origen</t>
        </is>
      </c>
      <c r="BY1" t="inlineStr">
        <is>
          <t>Anio_Descarga</t>
        </is>
      </c>
      <c r="BZ1" t="inlineStr">
        <is>
          <t>Fecha_Inicio_Reporte</t>
        </is>
      </c>
      <c r="CA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Estacionamiento</t>
        </is>
      </c>
      <c r="F2" t="inlineStr">
        <is>
          <t>E 14 - D 11</t>
        </is>
      </c>
      <c r="G2" s="39" t="n">
        <v>56300</v>
      </c>
      <c r="H2" s="39" t="n">
        <v>56300</v>
      </c>
      <c r="M2" s="39" t="n"/>
      <c r="N2" s="39" t="n"/>
      <c r="S2" s="39" t="n"/>
      <c r="T2" s="39" t="n"/>
      <c r="Y2" s="39" t="n"/>
      <c r="Z2" s="39" t="n"/>
      <c r="AA2" t="inlineStr">
        <is>
          <t>Ayleen Katia Messarina Rios</t>
        </is>
      </c>
      <c r="AB2" t="inlineStr">
        <is>
          <t>70512701</t>
        </is>
      </c>
      <c r="AC2" t="inlineStr">
        <is>
          <t>Departamento 101 Urbanización Santa Rosa de Surco etapa 2 Mz D Lt 23</t>
        </is>
      </c>
      <c r="AD2" t="n">
        <v>978722675</v>
      </c>
      <c r="AE2" t="inlineStr">
        <is>
          <t>978722675</t>
        </is>
      </c>
      <c r="AF2" t="inlineStr">
        <is>
          <t>ayleen30mr@gmail.com</t>
        </is>
      </c>
      <c r="AG2" t="inlineStr">
        <is>
          <t>LIMA</t>
        </is>
      </c>
      <c r="AH2" t="inlineStr">
        <is>
          <t>SANTIAGO DE SURCO</t>
        </is>
      </c>
      <c r="AI2" s="116" t="n">
        <v>45628</v>
      </c>
      <c r="AJ2" s="116" t="n">
        <v>45628</v>
      </c>
      <c r="AK2" t="inlineStr">
        <is>
          <t>SEPARACION</t>
        </is>
      </c>
      <c r="AL2" t="n">
        <v>1</v>
      </c>
      <c r="AM2" t="n">
        <v>3000</v>
      </c>
      <c r="AN2" t="n">
        <v>0</v>
      </c>
      <c r="AO2" t="n">
        <v>0</v>
      </c>
      <c r="AP2" s="39" t="n">
        <v>3000</v>
      </c>
      <c r="AQ2" s="39" t="n">
        <v>3000</v>
      </c>
      <c r="AR2" s="39" t="n">
        <v>0</v>
      </c>
      <c r="AS2" t="n">
        <v>0</v>
      </c>
      <c r="AT2" t="inlineStr">
        <is>
          <t>Crédito Directo</t>
        </is>
      </c>
      <c r="AU2" t="inlineStr">
        <is>
          <t>Scotiabank Perú</t>
        </is>
      </c>
      <c r="AV2" t="inlineStr">
        <is>
          <t>000-2768484</t>
        </is>
      </c>
      <c r="AW2" t="inlineStr">
        <is>
          <t>TRANSFERENCIA BANCARIA</t>
        </is>
      </c>
      <c r="AY2" t="inlineStr">
        <is>
          <t>000001100000012</t>
        </is>
      </c>
      <c r="AZ2" t="inlineStr">
        <is>
          <t>Si</t>
        </is>
      </c>
      <c r="BB2" t="n">
        <v>4</v>
      </c>
      <c r="BC2" t="inlineStr">
        <is>
          <t>CANCELADO</t>
        </is>
      </c>
      <c r="BN2" t="inlineStr">
        <is>
          <t>Si</t>
        </is>
      </c>
      <c r="BO2" s="117" t="n">
        <v>45748.62986111111</v>
      </c>
      <c r="BP2" t="inlineStr">
        <is>
          <t>Magaly Guevara Perez</t>
        </is>
      </c>
      <c r="BR2" t="n">
        <v>56</v>
      </c>
      <c r="BS2" t="inlineStr">
        <is>
          <t>28/06/2026 21:22</t>
        </is>
      </c>
      <c r="BT2" t="n">
        <v>0</v>
      </c>
      <c r="BX2" t="inlineStr">
        <is>
          <t>Cobranzas_2024.csv</t>
        </is>
      </c>
      <c r="BY2" t="n">
        <v>2024</v>
      </c>
      <c r="BZ2" t="inlineStr">
        <is>
          <t>01/01/2024</t>
        </is>
      </c>
      <c r="CA2" t="inlineStr">
        <is>
          <t>30/09/2031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39" t="n">
        <v>56300</v>
      </c>
      <c r="H3" s="39" t="n">
        <v>56300</v>
      </c>
      <c r="M3" s="39" t="n"/>
      <c r="N3" s="39" t="n"/>
      <c r="S3" s="39" t="n"/>
      <c r="T3" s="39" t="n"/>
      <c r="Y3" s="39" t="n"/>
      <c r="Z3" s="39" t="n"/>
      <c r="AA3" t="inlineStr">
        <is>
          <t>Ayleen Katia Messarina Rios</t>
        </is>
      </c>
      <c r="AB3" t="inlineStr">
        <is>
          <t>70512701</t>
        </is>
      </c>
      <c r="AC3" t="inlineStr">
        <is>
          <t>Departamento 101 Urbanización Santa Rosa de Surco etapa 2 Mz D Lt 23</t>
        </is>
      </c>
      <c r="AD3" t="n">
        <v>978722675</v>
      </c>
      <c r="AE3" t="inlineStr">
        <is>
          <t>978722675</t>
        </is>
      </c>
      <c r="AF3" t="inlineStr">
        <is>
          <t>ayleen30mr@gmail.com</t>
        </is>
      </c>
      <c r="AG3" t="inlineStr">
        <is>
          <t>LIMA</t>
        </is>
      </c>
      <c r="AH3" t="inlineStr">
        <is>
          <t>SANTIAGO DE SURCO</t>
        </is>
      </c>
      <c r="AI3" s="116" t="n">
        <v>45628</v>
      </c>
      <c r="AJ3" s="116" t="n">
        <v>45628</v>
      </c>
      <c r="AK3" t="inlineStr">
        <is>
          <t>CUOTA INICIAL</t>
        </is>
      </c>
      <c r="AL3" t="n">
        <v>1</v>
      </c>
      <c r="AM3" t="n">
        <v>7000</v>
      </c>
      <c r="AN3" t="n">
        <v>0</v>
      </c>
      <c r="AO3" t="n">
        <v>0</v>
      </c>
      <c r="AP3" s="39" t="n">
        <v>7000</v>
      </c>
      <c r="AQ3" s="39" t="n">
        <v>7000</v>
      </c>
      <c r="AR3" s="39" t="n">
        <v>0</v>
      </c>
      <c r="AS3" t="n">
        <v>0</v>
      </c>
      <c r="AT3" t="inlineStr">
        <is>
          <t>Crédito Directo</t>
        </is>
      </c>
      <c r="AU3" t="inlineStr">
        <is>
          <t>Scotiabank Perú</t>
        </is>
      </c>
      <c r="AV3" t="inlineStr">
        <is>
          <t>000-2768484</t>
        </is>
      </c>
      <c r="AW3" t="inlineStr">
        <is>
          <t>TRANSFERENCIA BANCARIA</t>
        </is>
      </c>
      <c r="AY3" t="inlineStr">
        <is>
          <t>000001100000012</t>
        </is>
      </c>
      <c r="AZ3" t="inlineStr">
        <is>
          <t>Si</t>
        </is>
      </c>
      <c r="BB3" t="n">
        <v>4</v>
      </c>
      <c r="BC3" t="inlineStr">
        <is>
          <t>CANCELADO</t>
        </is>
      </c>
      <c r="BN3" t="inlineStr">
        <is>
          <t>Si</t>
        </is>
      </c>
      <c r="BO3" s="117" t="n">
        <v>45748.62986111111</v>
      </c>
      <c r="BP3" t="inlineStr">
        <is>
          <t>Magaly Guevara Perez</t>
        </is>
      </c>
      <c r="BR3" t="n">
        <v>56</v>
      </c>
      <c r="BS3" t="inlineStr">
        <is>
          <t>28/06/2026 21:22</t>
        </is>
      </c>
      <c r="BT3" t="n">
        <v>0</v>
      </c>
      <c r="BX3" t="inlineStr">
        <is>
          <t>Cobranzas_2024.csv</t>
        </is>
      </c>
      <c r="BY3" t="n">
        <v>2024</v>
      </c>
      <c r="BZ3" t="inlineStr">
        <is>
          <t>01/01/2024</t>
        </is>
      </c>
      <c r="CA3" t="inlineStr">
        <is>
          <t>30/09/2031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Departamento</t>
        </is>
      </c>
      <c r="F4" t="inlineStr">
        <is>
          <t>302</t>
        </is>
      </c>
      <c r="G4" s="39" t="n">
        <v>435500</v>
      </c>
      <c r="H4" s="39" t="n">
        <v>435500</v>
      </c>
      <c r="M4" s="39" t="n"/>
      <c r="N4" s="39" t="n"/>
      <c r="S4" s="39" t="n"/>
      <c r="T4" s="39" t="n"/>
      <c r="Y4" s="39" t="n"/>
      <c r="Z4" s="39" t="n"/>
      <c r="AA4" t="inlineStr">
        <is>
          <t>Cristhiam Ortiz Angeles</t>
        </is>
      </c>
      <c r="AB4" t="inlineStr">
        <is>
          <t>45110882</t>
        </is>
      </c>
      <c r="AC4" t="inlineStr">
        <is>
          <t>Av. Olavegoya 1879 departamento 301</t>
        </is>
      </c>
      <c r="AD4" t="n">
        <v>992532732</v>
      </c>
      <c r="AE4" t="inlineStr">
        <is>
          <t>992532732</t>
        </is>
      </c>
      <c r="AF4" t="inlineStr">
        <is>
          <t>Cristhian4520@gmail.com</t>
        </is>
      </c>
      <c r="AG4" t="inlineStr">
        <is>
          <t>LIMA</t>
        </is>
      </c>
      <c r="AH4" t="inlineStr">
        <is>
          <t>JESUS MARIA</t>
        </is>
      </c>
      <c r="AI4" s="116" t="n">
        <v>45473</v>
      </c>
      <c r="AJ4" s="116" t="n">
        <v>45473</v>
      </c>
      <c r="AK4" t="inlineStr">
        <is>
          <t>SEPARACION</t>
        </is>
      </c>
      <c r="AL4" t="n">
        <v>1</v>
      </c>
      <c r="AM4" t="n">
        <v>3000</v>
      </c>
      <c r="AN4" t="n">
        <v>0</v>
      </c>
      <c r="AO4" t="n">
        <v>0</v>
      </c>
      <c r="AP4" s="39" t="n">
        <v>3000</v>
      </c>
      <c r="AQ4" s="39" t="n">
        <v>3000</v>
      </c>
      <c r="AR4" s="39" t="n">
        <v>0</v>
      </c>
      <c r="AS4" t="n">
        <v>0</v>
      </c>
      <c r="AT4" t="inlineStr">
        <is>
          <t>Crédito Hipotecario</t>
        </is>
      </c>
      <c r="AU4" t="inlineStr">
        <is>
          <t>Scotiabank Perú</t>
        </is>
      </c>
      <c r="AV4" t="inlineStr">
        <is>
          <t>000-2768484</t>
        </is>
      </c>
      <c r="AW4" t="inlineStr">
        <is>
          <t>TRANSFERENCIA BANCARIA</t>
        </is>
      </c>
      <c r="AX4" t="inlineStr">
        <is>
          <t>45110882</t>
        </is>
      </c>
      <c r="AY4" t="inlineStr">
        <is>
          <t>01226077</t>
        </is>
      </c>
      <c r="AZ4" t="inlineStr">
        <is>
          <t>No</t>
        </is>
      </c>
      <c r="BA4" t="inlineStr">
        <is>
          <t>NO PRECISA</t>
        </is>
      </c>
      <c r="BB4" t="n">
        <v>4</v>
      </c>
      <c r="BC4" t="inlineStr">
        <is>
          <t>CANCELADO</t>
        </is>
      </c>
      <c r="BN4" t="inlineStr">
        <is>
          <t>Si</t>
        </is>
      </c>
      <c r="BO4" s="117" t="n">
        <v>45499.61319444444</v>
      </c>
      <c r="BP4" t="inlineStr">
        <is>
          <t>Kenny Salazar S</t>
        </is>
      </c>
      <c r="BR4" t="n">
        <v>34</v>
      </c>
      <c r="BS4" t="inlineStr">
        <is>
          <t>02/06/2026 15:34</t>
        </is>
      </c>
      <c r="BT4" t="n">
        <v>0</v>
      </c>
      <c r="BX4" t="inlineStr">
        <is>
          <t>Cobranzas_2024.csv</t>
        </is>
      </c>
      <c r="BY4" t="n">
        <v>2024</v>
      </c>
      <c r="BZ4" t="inlineStr">
        <is>
          <t>01/01/2024</t>
        </is>
      </c>
      <c r="CA4" t="inlineStr">
        <is>
          <t>30/09/2031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39" t="n">
        <v>435500</v>
      </c>
      <c r="H5" s="39" t="n">
        <v>435500</v>
      </c>
      <c r="M5" s="39" t="n"/>
      <c r="N5" s="39" t="n"/>
      <c r="S5" s="39" t="n"/>
      <c r="T5" s="39" t="n"/>
      <c r="Y5" s="39" t="n"/>
      <c r="Z5" s="39" t="n"/>
      <c r="AA5" t="inlineStr">
        <is>
          <t>Cristhiam Ortiz Angeles</t>
        </is>
      </c>
      <c r="AB5" t="inlineStr">
        <is>
          <t>45110882</t>
        </is>
      </c>
      <c r="AC5" t="inlineStr">
        <is>
          <t>Av. Olavegoya 1879 departamento 301</t>
        </is>
      </c>
      <c r="AD5" t="n">
        <v>992532732</v>
      </c>
      <c r="AE5" t="inlineStr">
        <is>
          <t>992532732</t>
        </is>
      </c>
      <c r="AF5" t="inlineStr">
        <is>
          <t>Cristhian4520@gmail.com</t>
        </is>
      </c>
      <c r="AG5" t="inlineStr">
        <is>
          <t>LIMA</t>
        </is>
      </c>
      <c r="AH5" t="inlineStr">
        <is>
          <t>JESUS MARIA</t>
        </is>
      </c>
      <c r="AI5" s="116" t="n">
        <v>45499</v>
      </c>
      <c r="AJ5" s="116" t="n">
        <v>45499</v>
      </c>
      <c r="AK5" t="inlineStr">
        <is>
          <t>CUOTA INICIAL</t>
        </is>
      </c>
      <c r="AL5" t="n">
        <v>1</v>
      </c>
      <c r="AM5" t="n">
        <v>20000</v>
      </c>
      <c r="AN5" t="n">
        <v>0</v>
      </c>
      <c r="AO5" t="n">
        <v>0</v>
      </c>
      <c r="AP5" s="39" t="n">
        <v>20000</v>
      </c>
      <c r="AQ5" s="39" t="n">
        <v>20000</v>
      </c>
      <c r="AR5" s="39" t="n">
        <v>0</v>
      </c>
      <c r="AS5" t="n">
        <v>0</v>
      </c>
      <c r="AT5" t="inlineStr">
        <is>
          <t>Crédito Hipotecario</t>
        </is>
      </c>
      <c r="AU5" t="inlineStr">
        <is>
          <t>Scotiabank Perú</t>
        </is>
      </c>
      <c r="AV5" t="inlineStr">
        <is>
          <t>000-2768484</t>
        </is>
      </c>
      <c r="AW5" t="inlineStr">
        <is>
          <t>CHEQUE DE GERENCIA</t>
        </is>
      </c>
      <c r="AX5" t="inlineStr">
        <is>
          <t>45110882</t>
        </is>
      </c>
      <c r="AY5" t="inlineStr">
        <is>
          <t>162515191002194000000022290</t>
        </is>
      </c>
      <c r="AZ5" t="inlineStr">
        <is>
          <t>Si</t>
        </is>
      </c>
      <c r="BA5" t="inlineStr">
        <is>
          <t>NO PRECISA</t>
        </is>
      </c>
      <c r="BB5" t="n">
        <v>4</v>
      </c>
      <c r="BC5" t="inlineStr">
        <is>
          <t>CANCELADO</t>
        </is>
      </c>
      <c r="BN5" t="inlineStr">
        <is>
          <t>Si</t>
        </is>
      </c>
      <c r="BO5" s="117" t="n">
        <v>45499.61319444444</v>
      </c>
      <c r="BP5" t="inlineStr">
        <is>
          <t>Kenny Salazar S</t>
        </is>
      </c>
      <c r="BR5" t="n">
        <v>34</v>
      </c>
      <c r="BS5" t="inlineStr">
        <is>
          <t>04/06/2026 14:01</t>
        </is>
      </c>
      <c r="BT5" t="n">
        <v>0</v>
      </c>
      <c r="BX5" t="inlineStr">
        <is>
          <t>Cobranzas_2024.csv</t>
        </is>
      </c>
      <c r="BY5" t="n">
        <v>2024</v>
      </c>
      <c r="BZ5" t="inlineStr">
        <is>
          <t>01/01/2024</t>
        </is>
      </c>
      <c r="CA5" t="inlineStr">
        <is>
          <t>30/09/2031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39" t="n">
        <v>435500</v>
      </c>
      <c r="H6" s="39" t="n">
        <v>435500</v>
      </c>
      <c r="M6" s="39" t="n"/>
      <c r="N6" s="39" t="n"/>
      <c r="S6" s="39" t="n"/>
      <c r="T6" s="39" t="n"/>
      <c r="Y6" s="39" t="n"/>
      <c r="Z6" s="39" t="n"/>
      <c r="AA6" t="inlineStr">
        <is>
          <t>Cristhiam Ortiz Angeles</t>
        </is>
      </c>
      <c r="AB6" t="inlineStr">
        <is>
          <t>45110882</t>
        </is>
      </c>
      <c r="AC6" t="inlineStr">
        <is>
          <t>Av. Olavegoya 1879 departamento 301</t>
        </is>
      </c>
      <c r="AD6" t="n">
        <v>992532732</v>
      </c>
      <c r="AE6" t="inlineStr">
        <is>
          <t>992532732</t>
        </is>
      </c>
      <c r="AF6" t="inlineStr">
        <is>
          <t>Cristhian4520@gmail.com</t>
        </is>
      </c>
      <c r="AG6" t="inlineStr">
        <is>
          <t>LIMA</t>
        </is>
      </c>
      <c r="AH6" t="inlineStr">
        <is>
          <t>JESUS MARIA</t>
        </is>
      </c>
      <c r="AI6" s="116" t="n">
        <v>45534</v>
      </c>
      <c r="AJ6" s="116" t="n">
        <v>45538</v>
      </c>
      <c r="AK6" t="inlineStr">
        <is>
          <t>CUOTA INICIAL</t>
        </is>
      </c>
      <c r="AL6" t="n">
        <v>2</v>
      </c>
      <c r="AM6" t="n">
        <v>8775</v>
      </c>
      <c r="AN6" t="n">
        <v>0</v>
      </c>
      <c r="AO6" t="n">
        <v>0</v>
      </c>
      <c r="AP6" s="39" t="n">
        <v>8775</v>
      </c>
      <c r="AQ6" s="39" t="n">
        <v>8775</v>
      </c>
      <c r="AR6" s="39" t="n">
        <v>0</v>
      </c>
      <c r="AS6" t="n">
        <v>0</v>
      </c>
      <c r="AT6" t="inlineStr">
        <is>
          <t>Crédito Hipotecario</t>
        </is>
      </c>
      <c r="AU6" t="inlineStr">
        <is>
          <t>Scotiabank Perú</t>
        </is>
      </c>
      <c r="AV6" t="inlineStr">
        <is>
          <t>000-2768484</t>
        </is>
      </c>
      <c r="AW6" t="inlineStr">
        <is>
          <t>TRANSFERENCIA BANCARIA</t>
        </is>
      </c>
      <c r="AY6" t="inlineStr">
        <is>
          <t>U26966</t>
        </is>
      </c>
      <c r="AZ6" t="inlineStr">
        <is>
          <t>No</t>
        </is>
      </c>
      <c r="BB6" t="n">
        <v>4</v>
      </c>
      <c r="BC6" t="inlineStr">
        <is>
          <t>CANCELADO</t>
        </is>
      </c>
      <c r="BN6" t="inlineStr">
        <is>
          <t>Si</t>
        </is>
      </c>
      <c r="BO6" s="117" t="n">
        <v>45499.61319444444</v>
      </c>
      <c r="BP6" t="inlineStr">
        <is>
          <t>Kenny Salazar S</t>
        </is>
      </c>
      <c r="BR6" t="n">
        <v>34</v>
      </c>
      <c r="BS6" t="inlineStr">
        <is>
          <t>07/07/2026 08:47</t>
        </is>
      </c>
      <c r="BT6" t="n">
        <v>0</v>
      </c>
      <c r="BX6" t="inlineStr">
        <is>
          <t>Cobranzas_2024.csv</t>
        </is>
      </c>
      <c r="BY6" t="n">
        <v>2024</v>
      </c>
      <c r="BZ6" t="inlineStr">
        <is>
          <t>01/01/2024</t>
        </is>
      </c>
      <c r="CA6" t="inlineStr">
        <is>
          <t>30/09/2031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39" t="n">
        <v>435500</v>
      </c>
      <c r="H7" s="39" t="n">
        <v>435500</v>
      </c>
      <c r="M7" s="39" t="n"/>
      <c r="N7" s="39" t="n"/>
      <c r="S7" s="39" t="n"/>
      <c r="T7" s="39" t="n"/>
      <c r="Y7" s="39" t="n"/>
      <c r="Z7" s="39" t="n"/>
      <c r="AA7" t="inlineStr">
        <is>
          <t>Cristhiam Ortiz Angeles</t>
        </is>
      </c>
      <c r="AB7" t="inlineStr">
        <is>
          <t>45110882</t>
        </is>
      </c>
      <c r="AC7" t="inlineStr">
        <is>
          <t>Av. Olavegoya 1879 departamento 301</t>
        </is>
      </c>
      <c r="AD7" t="n">
        <v>992532732</v>
      </c>
      <c r="AE7" t="inlineStr">
        <is>
          <t>992532732</t>
        </is>
      </c>
      <c r="AF7" t="inlineStr">
        <is>
          <t>Cristhian4520@gmail.com</t>
        </is>
      </c>
      <c r="AG7" t="inlineStr">
        <is>
          <t>LIMA</t>
        </is>
      </c>
      <c r="AH7" t="inlineStr">
        <is>
          <t>JESUS MARIA</t>
        </is>
      </c>
      <c r="AI7" s="116" t="n">
        <v>45565</v>
      </c>
      <c r="AJ7" s="116" t="n">
        <v>45538</v>
      </c>
      <c r="AK7" t="inlineStr">
        <is>
          <t>CUOTA INICIAL</t>
        </is>
      </c>
      <c r="AL7" t="n">
        <v>3</v>
      </c>
      <c r="AM7" t="n">
        <v>0</v>
      </c>
      <c r="AN7" t="n">
        <v>0</v>
      </c>
      <c r="AO7" t="n">
        <v>0</v>
      </c>
      <c r="AP7" s="39" t="n">
        <v>11775</v>
      </c>
      <c r="AQ7" s="39" t="n">
        <v>1225</v>
      </c>
      <c r="AR7" s="39" t="n">
        <v>0</v>
      </c>
      <c r="AS7" t="n">
        <v>0</v>
      </c>
      <c r="AT7" t="inlineStr">
        <is>
          <t>Crédito Hipotecario</t>
        </is>
      </c>
      <c r="AU7" t="inlineStr">
        <is>
          <t>Scotiabank Perú</t>
        </is>
      </c>
      <c r="AV7" t="inlineStr">
        <is>
          <t>000-2768484</t>
        </is>
      </c>
      <c r="AW7" t="inlineStr">
        <is>
          <t>TRANSFERENCIA BANCARIA</t>
        </is>
      </c>
      <c r="AY7" t="inlineStr">
        <is>
          <t>U26966</t>
        </is>
      </c>
      <c r="AZ7" t="inlineStr">
        <is>
          <t>No</t>
        </is>
      </c>
      <c r="BB7" t="n">
        <v>4</v>
      </c>
      <c r="BC7" t="inlineStr">
        <is>
          <t>CANCELADO</t>
        </is>
      </c>
      <c r="BN7" t="inlineStr">
        <is>
          <t>Si</t>
        </is>
      </c>
      <c r="BO7" s="117" t="n">
        <v>45499.61319444444</v>
      </c>
      <c r="BP7" t="inlineStr">
        <is>
          <t>Kenny Salazar S</t>
        </is>
      </c>
      <c r="BR7" t="n">
        <v>34</v>
      </c>
      <c r="BS7" t="inlineStr">
        <is>
          <t>07/07/2026 08:47</t>
        </is>
      </c>
      <c r="BT7" t="n">
        <v>0</v>
      </c>
      <c r="BX7" t="inlineStr">
        <is>
          <t>Cobranzas_2024.csv</t>
        </is>
      </c>
      <c r="BY7" t="n">
        <v>2024</v>
      </c>
      <c r="BZ7" t="inlineStr">
        <is>
          <t>01/01/2024</t>
        </is>
      </c>
      <c r="CA7" t="inlineStr">
        <is>
          <t>30/09/2031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39" t="n">
        <v>435500</v>
      </c>
      <c r="H8" s="39" t="n">
        <v>435500</v>
      </c>
      <c r="M8" s="39" t="n"/>
      <c r="N8" s="39" t="n"/>
      <c r="S8" s="39" t="n"/>
      <c r="T8" s="39" t="n"/>
      <c r="Y8" s="39" t="n"/>
      <c r="Z8" s="39" t="n"/>
      <c r="AA8" t="inlineStr">
        <is>
          <t>Cristhiam Ortiz Angeles</t>
        </is>
      </c>
      <c r="AB8" t="inlineStr">
        <is>
          <t>45110882</t>
        </is>
      </c>
      <c r="AC8" t="inlineStr">
        <is>
          <t>Av. Olavegoya 1879 departamento 301</t>
        </is>
      </c>
      <c r="AD8" t="n">
        <v>992532732</v>
      </c>
      <c r="AE8" t="inlineStr">
        <is>
          <t>992532732</t>
        </is>
      </c>
      <c r="AF8" t="inlineStr">
        <is>
          <t>Cristhian4520@gmail.com</t>
        </is>
      </c>
      <c r="AG8" t="inlineStr">
        <is>
          <t>LIMA</t>
        </is>
      </c>
      <c r="AH8" t="inlineStr">
        <is>
          <t>JESUS MARIA</t>
        </is>
      </c>
      <c r="AI8" s="116" t="n">
        <v>45565</v>
      </c>
      <c r="AJ8" s="116" t="n">
        <v>45569</v>
      </c>
      <c r="AK8" t="inlineStr">
        <is>
          <t>CUOTA INICIAL</t>
        </is>
      </c>
      <c r="AL8" t="n">
        <v>3</v>
      </c>
      <c r="AM8" t="n">
        <v>0</v>
      </c>
      <c r="AN8" t="n">
        <v>0</v>
      </c>
      <c r="AO8" t="n">
        <v>0</v>
      </c>
      <c r="AP8" s="39" t="n">
        <v>0</v>
      </c>
      <c r="AQ8" s="39" t="n">
        <v>10000</v>
      </c>
      <c r="AR8" s="39" t="n">
        <v>0</v>
      </c>
      <c r="AS8" t="n">
        <v>0</v>
      </c>
      <c r="AT8" t="inlineStr">
        <is>
          <t>Crédito Hipotecario</t>
        </is>
      </c>
      <c r="AU8" t="inlineStr">
        <is>
          <t>Scotiabank Perú</t>
        </is>
      </c>
      <c r="AV8" t="inlineStr">
        <is>
          <t>000-2768484</t>
        </is>
      </c>
      <c r="AW8" t="inlineStr">
        <is>
          <t>TRANSFERENCIA BANCARIA</t>
        </is>
      </c>
      <c r="AY8" t="inlineStr">
        <is>
          <t>U27618</t>
        </is>
      </c>
      <c r="AZ8" t="inlineStr">
        <is>
          <t>No</t>
        </is>
      </c>
      <c r="BB8" t="n">
        <v>4</v>
      </c>
      <c r="BC8" t="inlineStr">
        <is>
          <t>CANCELADO</t>
        </is>
      </c>
      <c r="BN8" t="inlineStr">
        <is>
          <t>Si</t>
        </is>
      </c>
      <c r="BO8" s="117" t="n">
        <v>45499.61319444444</v>
      </c>
      <c r="BP8" t="inlineStr">
        <is>
          <t>Kenny Salazar S</t>
        </is>
      </c>
      <c r="BR8" t="n">
        <v>34</v>
      </c>
      <c r="BS8" t="inlineStr">
        <is>
          <t>07/07/2026 08:52</t>
        </is>
      </c>
      <c r="BT8" t="n">
        <v>0</v>
      </c>
      <c r="BX8" t="inlineStr">
        <is>
          <t>Cobranzas_2024.csv</t>
        </is>
      </c>
      <c r="BY8" t="n">
        <v>2024</v>
      </c>
      <c r="BZ8" t="inlineStr">
        <is>
          <t>01/01/2024</t>
        </is>
      </c>
      <c r="CA8" t="inlineStr">
        <is>
          <t>30/09/2031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39" t="n">
        <v>435500</v>
      </c>
      <c r="H9" s="39" t="n">
        <v>435500</v>
      </c>
      <c r="M9" s="39" t="n"/>
      <c r="N9" s="39" t="n"/>
      <c r="S9" s="39" t="n"/>
      <c r="T9" s="39" t="n"/>
      <c r="Y9" s="39" t="n"/>
      <c r="Z9" s="39" t="n"/>
      <c r="AA9" t="inlineStr">
        <is>
          <t>Cristhiam Ortiz Angeles</t>
        </is>
      </c>
      <c r="AB9" t="inlineStr">
        <is>
          <t>45110882</t>
        </is>
      </c>
      <c r="AC9" t="inlineStr">
        <is>
          <t>Av. Olavegoya 1879 departamento 301</t>
        </is>
      </c>
      <c r="AD9" t="n">
        <v>992532732</v>
      </c>
      <c r="AE9" t="inlineStr">
        <is>
          <t>992532732</t>
        </is>
      </c>
      <c r="AF9" t="inlineStr">
        <is>
          <t>Cristhian4520@gmail.com</t>
        </is>
      </c>
      <c r="AG9" t="inlineStr">
        <is>
          <t>LIMA</t>
        </is>
      </c>
      <c r="AH9" t="inlineStr">
        <is>
          <t>JESUS MARIA</t>
        </is>
      </c>
      <c r="AI9" s="116" t="n">
        <v>45565</v>
      </c>
      <c r="AJ9" s="116" t="n">
        <v>45693</v>
      </c>
      <c r="AK9" t="inlineStr">
        <is>
          <t>CUOTA INICIAL</t>
        </is>
      </c>
      <c r="AL9" t="n">
        <v>3</v>
      </c>
      <c r="AM9" t="n">
        <v>11775</v>
      </c>
      <c r="AN9" t="n">
        <v>0</v>
      </c>
      <c r="AO9" t="n">
        <v>0</v>
      </c>
      <c r="AP9" s="39" t="n">
        <v>0</v>
      </c>
      <c r="AQ9" s="39" t="n">
        <v>550</v>
      </c>
      <c r="AR9" s="39" t="n">
        <v>0</v>
      </c>
      <c r="AS9" t="n">
        <v>0</v>
      </c>
      <c r="AT9" t="inlineStr">
        <is>
          <t>Crédito Hipotecario</t>
        </is>
      </c>
      <c r="AU9" t="inlineStr">
        <is>
          <t>Scotiabank Perú</t>
        </is>
      </c>
      <c r="AV9" t="inlineStr">
        <is>
          <t>000-2768484</t>
        </is>
      </c>
      <c r="AW9" t="inlineStr">
        <is>
          <t>TRANSFERENCIA BANCARIA</t>
        </is>
      </c>
      <c r="AY9" t="inlineStr">
        <is>
          <t>U28731</t>
        </is>
      </c>
      <c r="AZ9" t="inlineStr">
        <is>
          <t>No</t>
        </is>
      </c>
      <c r="BB9" t="n">
        <v>4</v>
      </c>
      <c r="BC9" t="inlineStr">
        <is>
          <t>CANCELADO</t>
        </is>
      </c>
      <c r="BN9" t="inlineStr">
        <is>
          <t>Si</t>
        </is>
      </c>
      <c r="BO9" s="117" t="n">
        <v>45499.61319444444</v>
      </c>
      <c r="BP9" t="inlineStr">
        <is>
          <t>Kenny Salazar S</t>
        </is>
      </c>
      <c r="BR9" t="n">
        <v>34</v>
      </c>
      <c r="BS9" t="inlineStr">
        <is>
          <t>07/07/2026 08:56</t>
        </is>
      </c>
      <c r="BT9" t="n">
        <v>0</v>
      </c>
      <c r="BX9" t="inlineStr">
        <is>
          <t>Cobranzas_2024.csv</t>
        </is>
      </c>
      <c r="BY9" t="n">
        <v>2024</v>
      </c>
      <c r="BZ9" t="inlineStr">
        <is>
          <t>01/01/2024</t>
        </is>
      </c>
      <c r="CA9" t="inlineStr">
        <is>
          <t>30/09/2031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39" t="n">
        <v>435500</v>
      </c>
      <c r="H10" s="39" t="n">
        <v>435500</v>
      </c>
      <c r="M10" s="39" t="n"/>
      <c r="N10" s="39" t="n"/>
      <c r="S10" s="39" t="n"/>
      <c r="T10" s="39" t="n"/>
      <c r="Y10" s="39" t="n"/>
      <c r="Z10" s="39" t="n"/>
      <c r="AA10" t="inlineStr">
        <is>
          <t>Cristhiam Ortiz Angeles</t>
        </is>
      </c>
      <c r="AB10" t="inlineStr">
        <is>
          <t>45110882</t>
        </is>
      </c>
      <c r="AC10" t="inlineStr">
        <is>
          <t>Av. Olavegoya 1879 departamento 301</t>
        </is>
      </c>
      <c r="AD10" t="n">
        <v>992532732</v>
      </c>
      <c r="AE10" t="inlineStr">
        <is>
          <t>992532732</t>
        </is>
      </c>
      <c r="AF10" t="inlineStr">
        <is>
          <t>Cristhian4520@gmail.com</t>
        </is>
      </c>
      <c r="AG10" t="inlineStr">
        <is>
          <t>LIMA</t>
        </is>
      </c>
      <c r="AH10" t="inlineStr">
        <is>
          <t>JESUS MARIA</t>
        </is>
      </c>
      <c r="AI10" s="116" t="n">
        <v>45656</v>
      </c>
      <c r="AJ10" s="116" t="n">
        <v>45693</v>
      </c>
      <c r="AK10" t="inlineStr">
        <is>
          <t>CUOTA INICIAL</t>
        </is>
      </c>
      <c r="AL10" t="n">
        <v>4</v>
      </c>
      <c r="AM10" t="n">
        <v>21000</v>
      </c>
      <c r="AN10" t="n">
        <v>0</v>
      </c>
      <c r="AO10" t="n">
        <v>0</v>
      </c>
      <c r="AP10" s="39" t="n">
        <v>21000</v>
      </c>
      <c r="AQ10" s="39" t="n">
        <v>21000</v>
      </c>
      <c r="AR10" s="39" t="n">
        <v>0</v>
      </c>
      <c r="AS10" t="n">
        <v>0</v>
      </c>
      <c r="AT10" t="inlineStr">
        <is>
          <t>Crédito Hipotecario</t>
        </is>
      </c>
      <c r="AU10" t="inlineStr">
        <is>
          <t>Scotiabank Perú</t>
        </is>
      </c>
      <c r="AV10" t="inlineStr">
        <is>
          <t>000-2768484</t>
        </is>
      </c>
      <c r="AW10" t="inlineStr">
        <is>
          <t>TRANSFERENCIA BANCARIA</t>
        </is>
      </c>
      <c r="AY10" t="inlineStr">
        <is>
          <t>U28731</t>
        </is>
      </c>
      <c r="AZ10" t="inlineStr">
        <is>
          <t>No</t>
        </is>
      </c>
      <c r="BB10" t="n">
        <v>4</v>
      </c>
      <c r="BC10" t="inlineStr">
        <is>
          <t>CANCELADO</t>
        </is>
      </c>
      <c r="BN10" t="inlineStr">
        <is>
          <t>Si</t>
        </is>
      </c>
      <c r="BO10" s="117" t="n">
        <v>45499.61319444444</v>
      </c>
      <c r="BP10" t="inlineStr">
        <is>
          <t>Kenny Salazar S</t>
        </is>
      </c>
      <c r="BR10" t="n">
        <v>34</v>
      </c>
      <c r="BS10" t="inlineStr">
        <is>
          <t>07/07/2026 08:56</t>
        </is>
      </c>
      <c r="BT10" t="n">
        <v>0</v>
      </c>
      <c r="BX10" t="inlineStr">
        <is>
          <t>Cobranzas_2024.csv</t>
        </is>
      </c>
      <c r="BY10" t="n">
        <v>2024</v>
      </c>
      <c r="BZ10" t="inlineStr">
        <is>
          <t>01/01/2024</t>
        </is>
      </c>
      <c r="CA10" t="inlineStr">
        <is>
          <t>30/09/2031</t>
        </is>
      </c>
    </row>
    <row r="11">
      <c r="A11" t="inlineStr">
        <is>
          <t>RESIDENCIAL BEYOND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505</t>
        </is>
      </c>
      <c r="G11" s="39" t="n">
        <v>532100</v>
      </c>
      <c r="H11" s="39" t="n">
        <v>500000</v>
      </c>
      <c r="I11" t="inlineStr">
        <is>
          <t>Edificio</t>
        </is>
      </c>
      <c r="J11" t="inlineStr">
        <is>
          <t>A</t>
        </is>
      </c>
      <c r="K11" t="inlineStr">
        <is>
          <t>Estacionamiento</t>
        </is>
      </c>
      <c r="L11" t="inlineStr">
        <is>
          <t>E 05</t>
        </is>
      </c>
      <c r="M11" s="39" t="n">
        <v>45600</v>
      </c>
      <c r="N11" s="39" t="n">
        <v>45600</v>
      </c>
      <c r="O11" t="inlineStr">
        <is>
          <t>Edificio</t>
        </is>
      </c>
      <c r="P11" t="inlineStr">
        <is>
          <t>A</t>
        </is>
      </c>
      <c r="Q11" t="inlineStr">
        <is>
          <t>Depósito</t>
        </is>
      </c>
      <c r="R11" t="inlineStr">
        <is>
          <t>D 05</t>
        </is>
      </c>
      <c r="S11" s="39" t="n">
        <v>15900</v>
      </c>
      <c r="T11" s="39" t="n">
        <v>15900</v>
      </c>
      <c r="Y11" s="39" t="n"/>
      <c r="Z11" s="39" t="n"/>
      <c r="AA11" t="inlineStr">
        <is>
          <t>Dante Enrique Segura Florian</t>
        </is>
      </c>
      <c r="AB11" t="inlineStr">
        <is>
          <t xml:space="preserve">45587286		</t>
        </is>
      </c>
      <c r="AC11" t="inlineStr">
        <is>
          <t xml:space="preserve">1845 San Andres Dr Pitsburg CA 94565 - San Francisco </t>
        </is>
      </c>
      <c r="AD11" t="n">
        <v>0</v>
      </c>
      <c r="AE11" t="inlineStr">
        <is>
          <t>+15103330517</t>
        </is>
      </c>
      <c r="AF11" t="inlineStr">
        <is>
          <t xml:space="preserve">d.segura@uaa.edu		</t>
        </is>
      </c>
      <c r="AI11" s="116" t="n">
        <v>45368</v>
      </c>
      <c r="AJ11" s="116" t="n">
        <v>45368</v>
      </c>
      <c r="AK11" t="inlineStr">
        <is>
          <t>SEPARACION</t>
        </is>
      </c>
      <c r="AL11" t="n">
        <v>1</v>
      </c>
      <c r="AM11" t="n">
        <v>3000</v>
      </c>
      <c r="AN11" t="n">
        <v>0</v>
      </c>
      <c r="AO11" t="n">
        <v>0</v>
      </c>
      <c r="AP11" s="39" t="n">
        <v>3000</v>
      </c>
      <c r="AQ11" s="39" t="n">
        <v>3000</v>
      </c>
      <c r="AR11" s="39" t="n">
        <v>0</v>
      </c>
      <c r="AS11" t="n">
        <v>0</v>
      </c>
      <c r="AT11" t="inlineStr">
        <is>
          <t>Crédito Directo</t>
        </is>
      </c>
      <c r="AU11" t="inlineStr">
        <is>
          <t>Banco de Credito del Perú</t>
        </is>
      </c>
      <c r="AV11" t="inlineStr">
        <is>
          <t>194-7325779-0-65</t>
        </is>
      </c>
      <c r="AW11" t="inlineStr">
        <is>
          <t>TRANSFERENCIA BANCARIA</t>
        </is>
      </c>
      <c r="AY11" t="inlineStr">
        <is>
          <t>7844655595634</t>
        </is>
      </c>
      <c r="AZ11" t="inlineStr">
        <is>
          <t>No</t>
        </is>
      </c>
      <c r="BB11" t="n">
        <v>4</v>
      </c>
      <c r="BC11" t="inlineStr">
        <is>
          <t>CANCELADO</t>
        </is>
      </c>
      <c r="BN11" t="inlineStr">
        <is>
          <t>Si</t>
        </is>
      </c>
      <c r="BO11" s="117" t="n">
        <v>45386.40347222222</v>
      </c>
      <c r="BP11" t="inlineStr">
        <is>
          <t>Carla Michue M</t>
        </is>
      </c>
      <c r="BR11" t="n">
        <v>35</v>
      </c>
      <c r="BS11" t="inlineStr">
        <is>
          <t>25/05/2026 17:28</t>
        </is>
      </c>
      <c r="BT11" t="n">
        <v>0</v>
      </c>
      <c r="BX11" t="inlineStr">
        <is>
          <t>Cobranzas_2024.csv</t>
        </is>
      </c>
      <c r="BY11" t="n">
        <v>2024</v>
      </c>
      <c r="BZ11" t="inlineStr">
        <is>
          <t>01/01/2024</t>
        </is>
      </c>
      <c r="CA11" t="inlineStr">
        <is>
          <t>30/09/2031</t>
        </is>
      </c>
    </row>
    <row r="12">
      <c r="A12" t="inlineStr">
        <is>
          <t>RESIDENCIAL PRADA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703</t>
        </is>
      </c>
      <c r="G12" s="39" t="n">
        <v>654000</v>
      </c>
      <c r="H12" s="39" t="n">
        <v>654000</v>
      </c>
      <c r="I12" t="inlineStr">
        <is>
          <t>Edificio</t>
        </is>
      </c>
      <c r="J12" t="inlineStr">
        <is>
          <t>A</t>
        </is>
      </c>
      <c r="K12" t="inlineStr">
        <is>
          <t>Estacionamiento</t>
        </is>
      </c>
      <c r="L12" t="inlineStr">
        <is>
          <t>E 06 - D 04</t>
        </is>
      </c>
      <c r="M12" s="39" t="n">
        <v>57500</v>
      </c>
      <c r="N12" s="39" t="n">
        <v>57500</v>
      </c>
      <c r="S12" s="39" t="n"/>
      <c r="T12" s="39" t="n"/>
      <c r="Y12" s="39" t="n"/>
      <c r="Z12" s="39" t="n"/>
      <c r="AA12" t="inlineStr">
        <is>
          <t>David Edgar Valencia Cordova</t>
        </is>
      </c>
      <c r="AB12" t="inlineStr">
        <is>
          <t>41844906</t>
        </is>
      </c>
      <c r="AC12" t="inlineStr">
        <is>
          <t>P. Joven Año Nuevo Jr. Montero Rosas 860</t>
        </is>
      </c>
      <c r="AD12" t="n">
        <v>991846561</v>
      </c>
      <c r="AE12" t="inlineStr">
        <is>
          <t>991846561</t>
        </is>
      </c>
      <c r="AF12" t="inlineStr">
        <is>
          <t>davico29@gmail.com</t>
        </is>
      </c>
      <c r="AG12" t="inlineStr">
        <is>
          <t>LIMA</t>
        </is>
      </c>
      <c r="AH12" t="inlineStr">
        <is>
          <t>COMAS</t>
        </is>
      </c>
      <c r="AI12" s="116" t="n">
        <v>45655</v>
      </c>
      <c r="AJ12" s="116" t="n">
        <v>45655</v>
      </c>
      <c r="AK12" t="inlineStr">
        <is>
          <t>SEPARACION</t>
        </is>
      </c>
      <c r="AL12" t="n">
        <v>1</v>
      </c>
      <c r="AM12" t="n">
        <v>3000</v>
      </c>
      <c r="AN12" t="n">
        <v>0</v>
      </c>
      <c r="AO12" t="n">
        <v>0</v>
      </c>
      <c r="AP12" s="39" t="n">
        <v>3000</v>
      </c>
      <c r="AQ12" s="39" t="n">
        <v>3000</v>
      </c>
      <c r="AR12" s="39" t="n">
        <v>0</v>
      </c>
      <c r="AS12" t="n">
        <v>0</v>
      </c>
      <c r="AT12" t="inlineStr">
        <is>
          <t>Crédito Hipotecario</t>
        </is>
      </c>
      <c r="AU12" t="inlineStr">
        <is>
          <t>Scotiabank Perú</t>
        </is>
      </c>
      <c r="AV12" t="inlineStr">
        <is>
          <t>000-2768484</t>
        </is>
      </c>
      <c r="AW12" t="inlineStr">
        <is>
          <t>TRANSFERENCIA BANCARIA</t>
        </is>
      </c>
      <c r="AX12" t="inlineStr">
        <is>
          <t>41844906</t>
        </is>
      </c>
      <c r="AY12" t="inlineStr">
        <is>
          <t>00000082000000000</t>
        </is>
      </c>
      <c r="AZ12" t="inlineStr">
        <is>
          <t>No</t>
        </is>
      </c>
      <c r="BA12" t="inlineStr">
        <is>
          <t>NO PRECISA</t>
        </is>
      </c>
      <c r="BB12" t="n">
        <v>4</v>
      </c>
      <c r="BC12" t="inlineStr">
        <is>
          <t>CANCELADO</t>
        </is>
      </c>
      <c r="BN12" t="inlineStr">
        <is>
          <t>Si</t>
        </is>
      </c>
      <c r="BO12" s="117" t="n">
        <v>45687.61736111111</v>
      </c>
      <c r="BP12" t="inlineStr">
        <is>
          <t>Carla Michue M</t>
        </is>
      </c>
      <c r="BR12" t="n">
        <v>38</v>
      </c>
      <c r="BS12" t="inlineStr">
        <is>
          <t>02/06/2026 18:05</t>
        </is>
      </c>
      <c r="BT12" t="n">
        <v>0</v>
      </c>
      <c r="BX12" t="inlineStr">
        <is>
          <t>Cobranzas_2024.csv</t>
        </is>
      </c>
      <c r="BY12" t="n">
        <v>2024</v>
      </c>
      <c r="BZ12" t="inlineStr">
        <is>
          <t>01/01/2024</t>
        </is>
      </c>
      <c r="CA12" t="inlineStr">
        <is>
          <t>30/09/2031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205</t>
        </is>
      </c>
      <c r="G13" s="39" t="n">
        <v>490000</v>
      </c>
      <c r="H13" s="39" t="n">
        <v>490000</v>
      </c>
      <c r="M13" s="39" t="n"/>
      <c r="N13" s="39" t="n"/>
      <c r="S13" s="39" t="n"/>
      <c r="T13" s="39" t="n"/>
      <c r="Y13" s="39" t="n"/>
      <c r="Z13" s="39" t="n"/>
      <c r="AA13" t="inlineStr">
        <is>
          <t>Elizabeth Rocio Urbina Ñañez</t>
        </is>
      </c>
      <c r="AB13" t="inlineStr">
        <is>
          <t>71404863</t>
        </is>
      </c>
      <c r="AC13" t="inlineStr">
        <is>
          <t>Av. Arequipa 2651</t>
        </is>
      </c>
      <c r="AE13" t="inlineStr">
        <is>
          <t>943921218</t>
        </is>
      </c>
      <c r="AF13" t="inlineStr">
        <is>
          <t>elizabethurbina9624@gmail.com</t>
        </is>
      </c>
      <c r="AG13" t="inlineStr">
        <is>
          <t>LIMA</t>
        </is>
      </c>
      <c r="AH13" t="inlineStr">
        <is>
          <t>LINCE</t>
        </is>
      </c>
      <c r="AI13" s="116" t="n">
        <v>45620</v>
      </c>
      <c r="AJ13" s="116" t="n">
        <v>45620</v>
      </c>
      <c r="AK13" t="inlineStr">
        <is>
          <t>SEPARACION</t>
        </is>
      </c>
      <c r="AL13" t="n">
        <v>1</v>
      </c>
      <c r="AM13" t="n">
        <v>2000</v>
      </c>
      <c r="AN13" t="n">
        <v>0</v>
      </c>
      <c r="AO13" t="n">
        <v>0</v>
      </c>
      <c r="AP13" s="39" t="n">
        <v>2000</v>
      </c>
      <c r="AQ13" s="39" t="n">
        <v>2000</v>
      </c>
      <c r="AR13" s="39" t="n">
        <v>0</v>
      </c>
      <c r="AS13" t="n">
        <v>0</v>
      </c>
      <c r="AT13" t="inlineStr">
        <is>
          <t>Crédito Hipotecario</t>
        </is>
      </c>
      <c r="AU13" t="inlineStr">
        <is>
          <t>Scotiabank Perú</t>
        </is>
      </c>
      <c r="AV13" t="inlineStr">
        <is>
          <t>000-2768484</t>
        </is>
      </c>
      <c r="AW13" t="inlineStr">
        <is>
          <t>TRANSFERENCIA BANCARIA</t>
        </is>
      </c>
      <c r="AY13" t="inlineStr">
        <is>
          <t>FD893378</t>
        </is>
      </c>
      <c r="AZ13" t="inlineStr">
        <is>
          <t>No</t>
        </is>
      </c>
      <c r="BB13" t="n">
        <v>4</v>
      </c>
      <c r="BC13" t="inlineStr">
        <is>
          <t>CANCELADO</t>
        </is>
      </c>
      <c r="BN13" t="inlineStr">
        <is>
          <t>Si</t>
        </is>
      </c>
      <c r="BO13" s="117" t="n">
        <v>45750.73263888889</v>
      </c>
      <c r="BP13" t="inlineStr">
        <is>
          <t>Carla Michue M</t>
        </is>
      </c>
      <c r="BR13" t="n">
        <v>5</v>
      </c>
      <c r="BS13" t="inlineStr">
        <is>
          <t>29/06/2026 21:44</t>
        </is>
      </c>
      <c r="BT13" t="n">
        <v>0</v>
      </c>
      <c r="BX13" t="inlineStr">
        <is>
          <t>Cobranzas_2024.csv</t>
        </is>
      </c>
      <c r="BY13" t="n">
        <v>2024</v>
      </c>
      <c r="BZ13" t="inlineStr">
        <is>
          <t>01/01/2024</t>
        </is>
      </c>
      <c r="CA13" t="inlineStr">
        <is>
          <t>30/09/2031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101</t>
        </is>
      </c>
      <c r="G14" s="39" t="n">
        <v>637000</v>
      </c>
      <c r="H14" s="39" t="n">
        <v>637000</v>
      </c>
      <c r="M14" s="39" t="n"/>
      <c r="N14" s="39" t="n"/>
      <c r="S14" s="39" t="n"/>
      <c r="T14" s="39" t="n"/>
      <c r="Y14" s="39" t="n"/>
      <c r="Z14" s="39" t="n"/>
      <c r="AA14" t="inlineStr">
        <is>
          <t>Elmo Calatayud Chumbes</t>
        </is>
      </c>
      <c r="AB14" t="inlineStr">
        <is>
          <t>15580131</t>
        </is>
      </c>
      <c r="AC14" t="inlineStr">
        <is>
          <t>Avenida Tomas Valles 1530 Block 14 departamento 204</t>
        </is>
      </c>
      <c r="AD14" t="n">
        <v>955600933</v>
      </c>
      <c r="AE14" t="inlineStr">
        <is>
          <t>955600933</t>
        </is>
      </c>
      <c r="AF14" t="inlineStr">
        <is>
          <t>ec.calatayud@gmail.com</t>
        </is>
      </c>
      <c r="AG14" t="inlineStr">
        <is>
          <t>LIMA</t>
        </is>
      </c>
      <c r="AH14" t="inlineStr">
        <is>
          <t>LOS OLIVOS</t>
        </is>
      </c>
      <c r="AI14" s="116" t="n">
        <v>45595</v>
      </c>
      <c r="AJ14" s="116" t="n">
        <v>45595</v>
      </c>
      <c r="AK14" t="inlineStr">
        <is>
          <t>SEPARACION</t>
        </is>
      </c>
      <c r="AL14" t="n">
        <v>1</v>
      </c>
      <c r="AM14" t="n">
        <v>3000</v>
      </c>
      <c r="AN14" t="n">
        <v>0</v>
      </c>
      <c r="AO14" t="n">
        <v>0</v>
      </c>
      <c r="AP14" s="39" t="n">
        <v>3000</v>
      </c>
      <c r="AQ14" s="39" t="n">
        <v>3000</v>
      </c>
      <c r="AR14" s="39" t="n">
        <v>0</v>
      </c>
      <c r="AS14" t="n">
        <v>0</v>
      </c>
      <c r="AT14" t="inlineStr">
        <is>
          <t>Crédito Hipotecario</t>
        </is>
      </c>
      <c r="AU14" t="inlineStr">
        <is>
          <t>Scotiabank Perú</t>
        </is>
      </c>
      <c r="AV14" t="inlineStr">
        <is>
          <t>000-2768484</t>
        </is>
      </c>
      <c r="AW14" t="inlineStr">
        <is>
          <t>TRANSFERENCIA BANCARIA</t>
        </is>
      </c>
      <c r="AY14" t="inlineStr">
        <is>
          <t>04797111</t>
        </is>
      </c>
      <c r="AZ14" t="inlineStr">
        <is>
          <t>No</t>
        </is>
      </c>
      <c r="BB14" t="n">
        <v>4</v>
      </c>
      <c r="BC14" t="inlineStr">
        <is>
          <t>CANCELADO</t>
        </is>
      </c>
      <c r="BN14" t="inlineStr">
        <is>
          <t>Si</t>
        </is>
      </c>
      <c r="BO14" s="117" t="n">
        <v>45626.65</v>
      </c>
      <c r="BP14" t="inlineStr">
        <is>
          <t>Carla Michue M</t>
        </is>
      </c>
      <c r="BR14" t="n">
        <v>25</v>
      </c>
      <c r="BS14" t="inlineStr">
        <is>
          <t>26/06/2026 14:52</t>
        </is>
      </c>
      <c r="BT14" t="n">
        <v>0</v>
      </c>
      <c r="BX14" t="inlineStr">
        <is>
          <t>Cobranzas_2024.csv</t>
        </is>
      </c>
      <c r="BY14" t="n">
        <v>2024</v>
      </c>
      <c r="BZ14" t="inlineStr">
        <is>
          <t>01/01/2024</t>
        </is>
      </c>
      <c r="CA14" t="inlineStr">
        <is>
          <t>30/09/2031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39" t="n">
        <v>637000</v>
      </c>
      <c r="H15" s="39" t="n">
        <v>637000</v>
      </c>
      <c r="M15" s="39" t="n"/>
      <c r="N15" s="39" t="n"/>
      <c r="S15" s="39" t="n"/>
      <c r="T15" s="39" t="n"/>
      <c r="Y15" s="39" t="n"/>
      <c r="Z15" s="39" t="n"/>
      <c r="AA15" t="inlineStr">
        <is>
          <t>Elmo Calatayud Chumbes</t>
        </is>
      </c>
      <c r="AB15" t="inlineStr">
        <is>
          <t>15580131</t>
        </is>
      </c>
      <c r="AC15" t="inlineStr">
        <is>
          <t>Avenida Tomas Valles 1530 Block 14 departamento 204</t>
        </is>
      </c>
      <c r="AD15" t="n">
        <v>955600933</v>
      </c>
      <c r="AE15" t="inlineStr">
        <is>
          <t>955600933</t>
        </is>
      </c>
      <c r="AF15" t="inlineStr">
        <is>
          <t>ec.calatayud@gmail.com</t>
        </is>
      </c>
      <c r="AG15" t="inlineStr">
        <is>
          <t>LIMA</t>
        </is>
      </c>
      <c r="AH15" t="inlineStr">
        <is>
          <t>LOS OLIVOS</t>
        </is>
      </c>
      <c r="AI15" s="116" t="n">
        <v>45626</v>
      </c>
      <c r="AJ15" s="116" t="n">
        <v>45626</v>
      </c>
      <c r="AK15" t="inlineStr">
        <is>
          <t>CUOTA INICIAL</t>
        </is>
      </c>
      <c r="AL15" t="n">
        <v>1</v>
      </c>
      <c r="AM15" t="n">
        <v>27000</v>
      </c>
      <c r="AN15" t="n">
        <v>0</v>
      </c>
      <c r="AO15" t="n">
        <v>0</v>
      </c>
      <c r="AP15" s="39" t="n">
        <v>27000</v>
      </c>
      <c r="AQ15" s="39" t="n">
        <v>27000</v>
      </c>
      <c r="AR15" s="39" t="n">
        <v>0</v>
      </c>
      <c r="AS15" t="n">
        <v>0</v>
      </c>
      <c r="AT15" t="inlineStr">
        <is>
          <t>Crédito Hipotecario</t>
        </is>
      </c>
      <c r="AU15" t="inlineStr">
        <is>
          <t>Scotiabank Perú</t>
        </is>
      </c>
      <c r="AV15" t="inlineStr">
        <is>
          <t>000-2768484</t>
        </is>
      </c>
      <c r="AW15" t="inlineStr">
        <is>
          <t>TRANSFERENCIA BANCARIA</t>
        </is>
      </c>
      <c r="AY15" t="inlineStr">
        <is>
          <t>78446555266223</t>
        </is>
      </c>
      <c r="AZ15" t="inlineStr">
        <is>
          <t>No</t>
        </is>
      </c>
      <c r="BB15" t="n">
        <v>4</v>
      </c>
      <c r="BC15" t="inlineStr">
        <is>
          <t>CANCELADO</t>
        </is>
      </c>
      <c r="BN15" t="inlineStr">
        <is>
          <t>Si</t>
        </is>
      </c>
      <c r="BO15" s="117" t="n">
        <v>45626.65</v>
      </c>
      <c r="BP15" t="inlineStr">
        <is>
          <t>Carla Michue M</t>
        </is>
      </c>
      <c r="BR15" t="n">
        <v>25</v>
      </c>
      <c r="BS15" t="inlineStr">
        <is>
          <t>26/06/2026 14:53</t>
        </is>
      </c>
      <c r="BT15" t="n">
        <v>0</v>
      </c>
      <c r="BX15" t="inlineStr">
        <is>
          <t>Cobranzas_2024.csv</t>
        </is>
      </c>
      <c r="BY15" t="n">
        <v>2024</v>
      </c>
      <c r="BZ15" t="inlineStr">
        <is>
          <t>01/01/2024</t>
        </is>
      </c>
      <c r="CA15" t="inlineStr">
        <is>
          <t>30/09/2031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39" t="n">
        <v>637000</v>
      </c>
      <c r="H16" s="39" t="n">
        <v>637000</v>
      </c>
      <c r="M16" s="39" t="n"/>
      <c r="N16" s="39" t="n"/>
      <c r="S16" s="39" t="n"/>
      <c r="T16" s="39" t="n"/>
      <c r="Y16" s="39" t="n"/>
      <c r="Z16" s="39" t="n"/>
      <c r="AA16" t="inlineStr">
        <is>
          <t>Elmo Calatayud Chumbes</t>
        </is>
      </c>
      <c r="AB16" t="inlineStr">
        <is>
          <t>15580131</t>
        </is>
      </c>
      <c r="AC16" t="inlineStr">
        <is>
          <t>Avenida Tomas Valles 1530 Block 14 departamento 204</t>
        </is>
      </c>
      <c r="AD16" t="n">
        <v>955600933</v>
      </c>
      <c r="AE16" t="inlineStr">
        <is>
          <t>955600933</t>
        </is>
      </c>
      <c r="AF16" t="inlineStr">
        <is>
          <t>ec.calatayud@gmail.com</t>
        </is>
      </c>
      <c r="AG16" t="inlineStr">
        <is>
          <t>LIMA</t>
        </is>
      </c>
      <c r="AH16" t="inlineStr">
        <is>
          <t>LOS OLIVOS</t>
        </is>
      </c>
      <c r="AI16" s="116" t="n">
        <v>45626</v>
      </c>
      <c r="AJ16" s="116" t="n">
        <v>45626</v>
      </c>
      <c r="AK16" t="inlineStr">
        <is>
          <t>CUOTA INICIAL</t>
        </is>
      </c>
      <c r="AL16" t="n">
        <v>2</v>
      </c>
      <c r="AM16" t="n">
        <v>3000</v>
      </c>
      <c r="AN16" t="n">
        <v>0</v>
      </c>
      <c r="AO16" t="n">
        <v>0</v>
      </c>
      <c r="AP16" s="39" t="n">
        <v>3000</v>
      </c>
      <c r="AQ16" s="39" t="n">
        <v>3000</v>
      </c>
      <c r="AR16" s="39" t="n">
        <v>0</v>
      </c>
      <c r="AS16" t="n">
        <v>0</v>
      </c>
      <c r="AT16" t="inlineStr">
        <is>
          <t>Crédito Hipotecario</t>
        </is>
      </c>
      <c r="AU16" t="inlineStr">
        <is>
          <t>Scotiabank Perú</t>
        </is>
      </c>
      <c r="AV16" t="inlineStr">
        <is>
          <t>000-2768484</t>
        </is>
      </c>
      <c r="AW16" t="inlineStr">
        <is>
          <t>TRANSFERENCIA BANCARIA</t>
        </is>
      </c>
      <c r="AY16" t="inlineStr">
        <is>
          <t>7844655544194</t>
        </is>
      </c>
      <c r="AZ16" t="inlineStr">
        <is>
          <t>No</t>
        </is>
      </c>
      <c r="BB16" t="n">
        <v>4</v>
      </c>
      <c r="BC16" t="inlineStr">
        <is>
          <t>CANCELADO</t>
        </is>
      </c>
      <c r="BN16" t="inlineStr">
        <is>
          <t>Si</t>
        </is>
      </c>
      <c r="BO16" s="117" t="n">
        <v>45626.65</v>
      </c>
      <c r="BP16" t="inlineStr">
        <is>
          <t>Carla Michue M</t>
        </is>
      </c>
      <c r="BR16" t="n">
        <v>25</v>
      </c>
      <c r="BS16" t="inlineStr">
        <is>
          <t>26/06/2026 14:53</t>
        </is>
      </c>
      <c r="BT16" t="n">
        <v>0</v>
      </c>
      <c r="BX16" t="inlineStr">
        <is>
          <t>Cobranzas_2024.csv</t>
        </is>
      </c>
      <c r="BY16" t="n">
        <v>2024</v>
      </c>
      <c r="BZ16" t="inlineStr">
        <is>
          <t>01/01/2024</t>
        </is>
      </c>
      <c r="CA16" t="inlineStr">
        <is>
          <t>30/09/2031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39" t="n">
        <v>637000</v>
      </c>
      <c r="H17" s="39" t="n">
        <v>637000</v>
      </c>
      <c r="M17" s="39" t="n"/>
      <c r="N17" s="39" t="n"/>
      <c r="S17" s="39" t="n"/>
      <c r="T17" s="39" t="n"/>
      <c r="Y17" s="39" t="n"/>
      <c r="Z17" s="39" t="n"/>
      <c r="AA17" t="inlineStr">
        <is>
          <t>Elmo Calatayud Chumbes</t>
        </is>
      </c>
      <c r="AB17" t="inlineStr">
        <is>
          <t>15580131</t>
        </is>
      </c>
      <c r="AC17" t="inlineStr">
        <is>
          <t>Avenida Tomas Valles 1530 Block 14 departamento 204</t>
        </is>
      </c>
      <c r="AD17" t="n">
        <v>955600933</v>
      </c>
      <c r="AE17" t="inlineStr">
        <is>
          <t>955600933</t>
        </is>
      </c>
      <c r="AF17" t="inlineStr">
        <is>
          <t>ec.calatayud@gmail.com</t>
        </is>
      </c>
      <c r="AG17" t="inlineStr">
        <is>
          <t>LIMA</t>
        </is>
      </c>
      <c r="AH17" t="inlineStr">
        <is>
          <t>LOS OLIVOS</t>
        </is>
      </c>
      <c r="AI17" s="116" t="n">
        <v>45656</v>
      </c>
      <c r="AJ17" s="116" t="n">
        <v>45656</v>
      </c>
      <c r="AK17" t="inlineStr">
        <is>
          <t>CUOTA INICIAL</t>
        </is>
      </c>
      <c r="AL17" t="n">
        <v>3</v>
      </c>
      <c r="AM17" t="n">
        <v>0</v>
      </c>
      <c r="AN17" t="n">
        <v>0</v>
      </c>
      <c r="AO17" t="n">
        <v>0</v>
      </c>
      <c r="AP17" s="39" t="n">
        <v>30700</v>
      </c>
      <c r="AQ17" s="39" t="n">
        <v>30000</v>
      </c>
      <c r="AR17" s="39" t="n">
        <v>0</v>
      </c>
      <c r="AS17" t="n">
        <v>0</v>
      </c>
      <c r="AT17" t="inlineStr">
        <is>
          <t>Crédito Hipotecario</t>
        </is>
      </c>
      <c r="AU17" t="inlineStr">
        <is>
          <t>Scotiabank Perú</t>
        </is>
      </c>
      <c r="AV17" t="inlineStr">
        <is>
          <t>000-2768484</t>
        </is>
      </c>
      <c r="AW17" t="inlineStr">
        <is>
          <t>TRANSFERENCIA BANCARIA</t>
        </is>
      </c>
      <c r="AY17" t="inlineStr">
        <is>
          <t>7844655610530</t>
        </is>
      </c>
      <c r="AZ17" t="inlineStr">
        <is>
          <t>No</t>
        </is>
      </c>
      <c r="BB17" t="n">
        <v>4</v>
      </c>
      <c r="BC17" t="inlineStr">
        <is>
          <t>CANCELADO</t>
        </is>
      </c>
      <c r="BN17" t="inlineStr">
        <is>
          <t>Si</t>
        </is>
      </c>
      <c r="BO17" s="117" t="n">
        <v>45626.65</v>
      </c>
      <c r="BP17" t="inlineStr">
        <is>
          <t>Carla Michue M</t>
        </is>
      </c>
      <c r="BR17" t="n">
        <v>25</v>
      </c>
      <c r="BS17" t="inlineStr">
        <is>
          <t>26/06/2026 14:55</t>
        </is>
      </c>
      <c r="BT17" t="n">
        <v>0</v>
      </c>
      <c r="BX17" t="inlineStr">
        <is>
          <t>Cobranzas_2024.csv</t>
        </is>
      </c>
      <c r="BY17" t="n">
        <v>2024</v>
      </c>
      <c r="BZ17" t="inlineStr">
        <is>
          <t>01/01/2024</t>
        </is>
      </c>
      <c r="CA17" t="inlineStr">
        <is>
          <t>30/09/2031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39" t="n">
        <v>637000</v>
      </c>
      <c r="H18" s="39" t="n">
        <v>637000</v>
      </c>
      <c r="M18" s="39" t="n"/>
      <c r="N18" s="39" t="n"/>
      <c r="S18" s="39" t="n"/>
      <c r="T18" s="39" t="n"/>
      <c r="Y18" s="39" t="n"/>
      <c r="Z18" s="39" t="n"/>
      <c r="AA18" t="inlineStr">
        <is>
          <t>Elmo Calatayud Chumbes</t>
        </is>
      </c>
      <c r="AB18" t="inlineStr">
        <is>
          <t>15580131</t>
        </is>
      </c>
      <c r="AC18" t="inlineStr">
        <is>
          <t>Avenida Tomas Valles 1530 Block 14 departamento 204</t>
        </is>
      </c>
      <c r="AD18" t="n">
        <v>955600933</v>
      </c>
      <c r="AE18" t="inlineStr">
        <is>
          <t>955600933</t>
        </is>
      </c>
      <c r="AF18" t="inlineStr">
        <is>
          <t>ec.calatayud@gmail.com</t>
        </is>
      </c>
      <c r="AG18" t="inlineStr">
        <is>
          <t>LIMA</t>
        </is>
      </c>
      <c r="AH18" t="inlineStr">
        <is>
          <t>LOS OLIVOS</t>
        </is>
      </c>
      <c r="AI18" s="116" t="n">
        <v>45656</v>
      </c>
      <c r="AJ18" s="116" t="n">
        <v>45656</v>
      </c>
      <c r="AK18" t="inlineStr">
        <is>
          <t>CUOTA INICIAL</t>
        </is>
      </c>
      <c r="AL18" t="n">
        <v>3</v>
      </c>
      <c r="AM18" t="n">
        <v>30700</v>
      </c>
      <c r="AN18" t="n">
        <v>0</v>
      </c>
      <c r="AO18" t="n">
        <v>0</v>
      </c>
      <c r="AP18" s="39" t="n">
        <v>0</v>
      </c>
      <c r="AQ18" s="39" t="n">
        <v>700</v>
      </c>
      <c r="AR18" s="39" t="n">
        <v>0</v>
      </c>
      <c r="AS18" t="n">
        <v>0</v>
      </c>
      <c r="AT18" t="inlineStr">
        <is>
          <t>Crédito Hipotecario</t>
        </is>
      </c>
      <c r="AU18" t="inlineStr">
        <is>
          <t>Scotiabank Perú</t>
        </is>
      </c>
      <c r="AV18" t="inlineStr">
        <is>
          <t>000-2768484</t>
        </is>
      </c>
      <c r="AW18" t="inlineStr">
        <is>
          <t>TRANSFERENCIA BANCARIA</t>
        </is>
      </c>
      <c r="AY18" t="inlineStr">
        <is>
          <t>7844655610860</t>
        </is>
      </c>
      <c r="AZ18" t="inlineStr">
        <is>
          <t>No</t>
        </is>
      </c>
      <c r="BB18" t="n">
        <v>4</v>
      </c>
      <c r="BC18" t="inlineStr">
        <is>
          <t>CANCELADO</t>
        </is>
      </c>
      <c r="BN18" t="inlineStr">
        <is>
          <t>Si</t>
        </is>
      </c>
      <c r="BO18" s="117" t="n">
        <v>45626.65</v>
      </c>
      <c r="BP18" t="inlineStr">
        <is>
          <t>Carla Michue M</t>
        </is>
      </c>
      <c r="BR18" t="n">
        <v>25</v>
      </c>
      <c r="BS18" t="inlineStr">
        <is>
          <t>26/06/2026 14:56</t>
        </is>
      </c>
      <c r="BT18" t="n">
        <v>0</v>
      </c>
      <c r="BX18" t="inlineStr">
        <is>
          <t>Cobranzas_2024.csv</t>
        </is>
      </c>
      <c r="BY18" t="n">
        <v>2024</v>
      </c>
      <c r="BZ18" t="inlineStr">
        <is>
          <t>01/01/2024</t>
        </is>
      </c>
      <c r="CA18" t="inlineStr">
        <is>
          <t>30/09/2031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203</t>
        </is>
      </c>
      <c r="G19" s="39" t="n">
        <v>654000</v>
      </c>
      <c r="H19" s="39" t="n">
        <v>654000</v>
      </c>
      <c r="I19" t="inlineStr">
        <is>
          <t>Edificio</t>
        </is>
      </c>
      <c r="J19" t="inlineStr">
        <is>
          <t>A</t>
        </is>
      </c>
      <c r="K19" t="inlineStr">
        <is>
          <t>Estacionamiento</t>
        </is>
      </c>
      <c r="L19" t="inlineStr">
        <is>
          <t>E 12 - D 09</t>
        </is>
      </c>
      <c r="M19" s="39" t="n">
        <v>56300</v>
      </c>
      <c r="N19" s="39" t="n">
        <v>56300</v>
      </c>
      <c r="S19" s="39" t="n"/>
      <c r="T19" s="39" t="n"/>
      <c r="Y19" s="39" t="n"/>
      <c r="Z19" s="39" t="n"/>
      <c r="AA19" t="inlineStr">
        <is>
          <t>Gilberto Videla Flores</t>
        </is>
      </c>
      <c r="AB19" t="inlineStr">
        <is>
          <t>06571347</t>
        </is>
      </c>
      <c r="AC19" t="inlineStr">
        <is>
          <t>Mz D Lt 7 Urb. La Estrella</t>
        </is>
      </c>
      <c r="AE19" t="inlineStr">
        <is>
          <t>969742622</t>
        </is>
      </c>
      <c r="AF19" t="inlineStr">
        <is>
          <t>gvidelaf@gmail.com</t>
        </is>
      </c>
      <c r="AG19" t="inlineStr">
        <is>
          <t>LIMA</t>
        </is>
      </c>
      <c r="AH19" t="inlineStr">
        <is>
          <t>LOS OLIVOS</t>
        </is>
      </c>
      <c r="AI19" s="116" t="n">
        <v>45535</v>
      </c>
      <c r="AJ19" s="116" t="n">
        <v>45535</v>
      </c>
      <c r="AK19" t="inlineStr">
        <is>
          <t>SEPARACION</t>
        </is>
      </c>
      <c r="AL19" t="n">
        <v>1</v>
      </c>
      <c r="AM19" t="n">
        <v>3000</v>
      </c>
      <c r="AN19" t="n">
        <v>0</v>
      </c>
      <c r="AO19" t="n">
        <v>0</v>
      </c>
      <c r="AP19" s="39" t="n">
        <v>3000</v>
      </c>
      <c r="AQ19" s="39" t="n">
        <v>3000</v>
      </c>
      <c r="AR19" s="39" t="n">
        <v>0</v>
      </c>
      <c r="AS19" t="n">
        <v>0</v>
      </c>
      <c r="AT19" t="inlineStr">
        <is>
          <t>Crédito Directo</t>
        </is>
      </c>
      <c r="AU19" t="inlineStr">
        <is>
          <t>Scotiabank Perú</t>
        </is>
      </c>
      <c r="AV19" t="inlineStr">
        <is>
          <t>000-2768484</t>
        </is>
      </c>
      <c r="AW19" t="inlineStr">
        <is>
          <t>POS VISA</t>
        </is>
      </c>
      <c r="AX19" t="inlineStr">
        <is>
          <t>06571347</t>
        </is>
      </c>
      <c r="AY19" t="inlineStr">
        <is>
          <t>0059</t>
        </is>
      </c>
      <c r="AZ19" t="inlineStr">
        <is>
          <t>No</t>
        </is>
      </c>
      <c r="BA19" t="inlineStr">
        <is>
          <t>NO PRECISA</t>
        </is>
      </c>
      <c r="BB19" t="n">
        <v>1</v>
      </c>
      <c r="BC19" t="inlineStr">
        <is>
          <t>CANCELADO</t>
        </is>
      </c>
      <c r="BN19" t="inlineStr">
        <is>
          <t>Si</t>
        </is>
      </c>
      <c r="BO19" s="117" t="n">
        <v>45539.38055555556</v>
      </c>
      <c r="BP19" t="inlineStr">
        <is>
          <t>Carla Michue M</t>
        </is>
      </c>
      <c r="BR19" t="n">
        <v>24</v>
      </c>
      <c r="BS19" t="inlineStr">
        <is>
          <t>29/05/2026 12:21</t>
        </is>
      </c>
      <c r="BT19" t="n">
        <v>0</v>
      </c>
      <c r="BX19" t="inlineStr">
        <is>
          <t>Cobranzas_2024.csv</t>
        </is>
      </c>
      <c r="BY19" t="n">
        <v>2024</v>
      </c>
      <c r="BZ19" t="inlineStr">
        <is>
          <t>01/01/2024</t>
        </is>
      </c>
      <c r="CA19" t="inlineStr">
        <is>
          <t>30/09/2031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39" t="n">
        <v>654000</v>
      </c>
      <c r="H20" s="39" t="n">
        <v>654000</v>
      </c>
      <c r="I20" t="inlineStr">
        <is>
          <t>Edificio</t>
        </is>
      </c>
      <c r="J20" t="inlineStr">
        <is>
          <t>A</t>
        </is>
      </c>
      <c r="K20" t="inlineStr">
        <is>
          <t>Estacionamiento</t>
        </is>
      </c>
      <c r="L20" t="inlineStr">
        <is>
          <t>E 12 - D 09</t>
        </is>
      </c>
      <c r="M20" s="39" t="n">
        <v>56300</v>
      </c>
      <c r="N20" s="39" t="n">
        <v>56300</v>
      </c>
      <c r="S20" s="39" t="n"/>
      <c r="T20" s="39" t="n"/>
      <c r="Y20" s="39" t="n"/>
      <c r="Z20" s="39" t="n"/>
      <c r="AA20" t="inlineStr">
        <is>
          <t>Gilberto Videla Flores</t>
        </is>
      </c>
      <c r="AB20" t="inlineStr">
        <is>
          <t>06571347</t>
        </is>
      </c>
      <c r="AC20" t="inlineStr">
        <is>
          <t>Mz D Lt 7 Urb. La Estrella</t>
        </is>
      </c>
      <c r="AE20" t="inlineStr">
        <is>
          <t>969742622</t>
        </is>
      </c>
      <c r="AF20" t="inlineStr">
        <is>
          <t>gvidelaf@gmail.com</t>
        </is>
      </c>
      <c r="AG20" t="inlineStr">
        <is>
          <t>LIMA</t>
        </is>
      </c>
      <c r="AH20" t="inlineStr">
        <is>
          <t>LOS OLIVOS</t>
        </is>
      </c>
      <c r="AI20" s="116" t="n">
        <v>45539</v>
      </c>
      <c r="AJ20" s="116" t="n">
        <v>45539</v>
      </c>
      <c r="AK20" t="inlineStr">
        <is>
          <t>CUOTA INICIAL</t>
        </is>
      </c>
      <c r="AL20" t="n">
        <v>2</v>
      </c>
      <c r="AM20" t="n">
        <v>281120</v>
      </c>
      <c r="AN20" t="n">
        <v>0</v>
      </c>
      <c r="AO20" t="n">
        <v>0</v>
      </c>
      <c r="AP20" s="39" t="n">
        <v>281120</v>
      </c>
      <c r="AQ20" s="39" t="n">
        <v>281120</v>
      </c>
      <c r="AR20" s="39" t="n">
        <v>0</v>
      </c>
      <c r="AS20" t="n">
        <v>0</v>
      </c>
      <c r="AT20" t="inlineStr">
        <is>
          <t>Crédito Directo</t>
        </is>
      </c>
      <c r="AU20" t="inlineStr">
        <is>
          <t>Scotiabank Perú</t>
        </is>
      </c>
      <c r="AV20" t="inlineStr">
        <is>
          <t>000-2768484</t>
        </is>
      </c>
      <c r="AW20" t="inlineStr">
        <is>
          <t>TRANSFERENCIA BANCARIA</t>
        </is>
      </c>
      <c r="AY20" t="inlineStr">
        <is>
          <t>0953413</t>
        </is>
      </c>
      <c r="AZ20" t="inlineStr">
        <is>
          <t>No</t>
        </is>
      </c>
      <c r="BB20" t="n">
        <v>4</v>
      </c>
      <c r="BC20" t="inlineStr">
        <is>
          <t>CANCELADO</t>
        </is>
      </c>
      <c r="BN20" t="inlineStr">
        <is>
          <t>Si</t>
        </is>
      </c>
      <c r="BO20" s="117" t="n">
        <v>45539.38055555556</v>
      </c>
      <c r="BP20" t="inlineStr">
        <is>
          <t>Carla Michue M</t>
        </is>
      </c>
      <c r="BR20" t="n">
        <v>24</v>
      </c>
      <c r="BS20" t="inlineStr">
        <is>
          <t>30/06/2026 16:33</t>
        </is>
      </c>
      <c r="BT20" t="n">
        <v>0</v>
      </c>
      <c r="BX20" t="inlineStr">
        <is>
          <t>Cobranzas_2024.csv</t>
        </is>
      </c>
      <c r="BY20" t="n">
        <v>2024</v>
      </c>
      <c r="BZ20" t="inlineStr">
        <is>
          <t>01/01/2024</t>
        </is>
      </c>
      <c r="CA20" t="inlineStr">
        <is>
          <t>30/09/2031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39" t="n">
        <v>654000</v>
      </c>
      <c r="H21" s="39" t="n">
        <v>654000</v>
      </c>
      <c r="I21" t="inlineStr">
        <is>
          <t>Edificio</t>
        </is>
      </c>
      <c r="J21" t="inlineStr">
        <is>
          <t>A</t>
        </is>
      </c>
      <c r="K21" t="inlineStr">
        <is>
          <t>Estacionamiento</t>
        </is>
      </c>
      <c r="L21" t="inlineStr">
        <is>
          <t>E 12 - D 09</t>
        </is>
      </c>
      <c r="M21" s="39" t="n">
        <v>56300</v>
      </c>
      <c r="N21" s="39" t="n">
        <v>56300</v>
      </c>
      <c r="S21" s="39" t="n"/>
      <c r="T21" s="39" t="n"/>
      <c r="Y21" s="39" t="n"/>
      <c r="Z21" s="39" t="n"/>
      <c r="AA21" t="inlineStr">
        <is>
          <t>Gilberto Videla Flores</t>
        </is>
      </c>
      <c r="AB21" t="inlineStr">
        <is>
          <t>06571347</t>
        </is>
      </c>
      <c r="AC21" t="inlineStr">
        <is>
          <t>Mz D Lt 7 Urb. La Estrella</t>
        </is>
      </c>
      <c r="AE21" t="inlineStr">
        <is>
          <t>969742622</t>
        </is>
      </c>
      <c r="AF21" t="inlineStr">
        <is>
          <t>gvidelaf@gmail.com</t>
        </is>
      </c>
      <c r="AG21" t="inlineStr">
        <is>
          <t>LIMA</t>
        </is>
      </c>
      <c r="AH21" t="inlineStr">
        <is>
          <t>LOS OLIVOS</t>
        </is>
      </c>
      <c r="AI21" s="116" t="n">
        <v>45559</v>
      </c>
      <c r="AJ21" s="116" t="n">
        <v>45559</v>
      </c>
      <c r="AK21" t="inlineStr">
        <is>
          <t>SALDO FINANCIAR</t>
        </is>
      </c>
      <c r="AL21" t="n">
        <v>3</v>
      </c>
      <c r="AM21" t="n">
        <v>248605</v>
      </c>
      <c r="AN21" t="n">
        <v>0</v>
      </c>
      <c r="AO21" t="n">
        <v>0</v>
      </c>
      <c r="AP21" s="39" t="n">
        <v>248605</v>
      </c>
      <c r="AQ21" s="39" t="n">
        <v>248605</v>
      </c>
      <c r="AR21" s="39" t="n">
        <v>0</v>
      </c>
      <c r="AS21" t="n">
        <v>0</v>
      </c>
      <c r="AT21" t="inlineStr">
        <is>
          <t>Crédito Directo</t>
        </is>
      </c>
      <c r="AU21" t="inlineStr">
        <is>
          <t>Scotiabank Perú</t>
        </is>
      </c>
      <c r="AV21" t="inlineStr">
        <is>
          <t>000-2768484</t>
        </is>
      </c>
      <c r="AW21" t="inlineStr">
        <is>
          <t>TRANSFERENCIA BANCARIA</t>
        </is>
      </c>
      <c r="AY21" t="inlineStr">
        <is>
          <t>0036913</t>
        </is>
      </c>
      <c r="AZ21" t="inlineStr">
        <is>
          <t>No</t>
        </is>
      </c>
      <c r="BB21" t="n">
        <v>4</v>
      </c>
      <c r="BC21" t="inlineStr">
        <is>
          <t>CANCELADO</t>
        </is>
      </c>
      <c r="BN21" t="inlineStr">
        <is>
          <t>Si</t>
        </is>
      </c>
      <c r="BO21" s="117" t="n">
        <v>45539.38055555556</v>
      </c>
      <c r="BP21" t="inlineStr">
        <is>
          <t>Carla Michue M</t>
        </is>
      </c>
      <c r="BR21" t="n">
        <v>24</v>
      </c>
      <c r="BS21" t="inlineStr">
        <is>
          <t>30/06/2026 16:48</t>
        </is>
      </c>
      <c r="BT21" t="n">
        <v>0</v>
      </c>
      <c r="BX21" t="inlineStr">
        <is>
          <t>Cobranzas_2024.csv</t>
        </is>
      </c>
      <c r="BY21" t="n">
        <v>2024</v>
      </c>
      <c r="BZ21" t="inlineStr">
        <is>
          <t>01/01/2024</t>
        </is>
      </c>
      <c r="CA21" t="inlineStr">
        <is>
          <t>30/09/2031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104</t>
        </is>
      </c>
      <c r="G22" s="39" t="n">
        <v>609100</v>
      </c>
      <c r="H22" s="39" t="n">
        <v>609100</v>
      </c>
      <c r="I22" t="inlineStr">
        <is>
          <t>Edificio</t>
        </is>
      </c>
      <c r="J22" t="inlineStr">
        <is>
          <t>A</t>
        </is>
      </c>
      <c r="K22" t="inlineStr">
        <is>
          <t>Estacionamiento</t>
        </is>
      </c>
      <c r="L22" t="inlineStr">
        <is>
          <t>E 26 - D 20</t>
        </is>
      </c>
      <c r="M22" s="39" t="n">
        <v>64600</v>
      </c>
      <c r="N22" s="39" t="n">
        <v>64600</v>
      </c>
      <c r="S22" s="39" t="n"/>
      <c r="T22" s="39" t="n"/>
      <c r="Y22" s="39" t="n"/>
      <c r="Z22" s="39" t="n"/>
      <c r="AA22" t="inlineStr">
        <is>
          <t>Gilda Victoria Sampi González</t>
        </is>
      </c>
      <c r="AB22" t="inlineStr">
        <is>
          <t>43636501</t>
        </is>
      </c>
      <c r="AC22" t="inlineStr">
        <is>
          <t>Av. Brasil 863 departamento 702-A</t>
        </is>
      </c>
      <c r="AD22" t="n">
        <v>966422784</v>
      </c>
      <c r="AE22" t="inlineStr">
        <is>
          <t xml:space="preserve">966422784		</t>
        </is>
      </c>
      <c r="AF22" t="inlineStr">
        <is>
          <t>victoria.sampi@gmail.com</t>
        </is>
      </c>
      <c r="AG22" t="inlineStr">
        <is>
          <t>LIMA</t>
        </is>
      </c>
      <c r="AH22" t="inlineStr">
        <is>
          <t>JESUS MARIA</t>
        </is>
      </c>
      <c r="AI22" s="116" t="n">
        <v>45494</v>
      </c>
      <c r="AJ22" s="116" t="n">
        <v>45494</v>
      </c>
      <c r="AK22" t="inlineStr">
        <is>
          <t>SEPARACION</t>
        </is>
      </c>
      <c r="AL22" t="n">
        <v>1</v>
      </c>
      <c r="AM22" t="n">
        <v>3000</v>
      </c>
      <c r="AN22" t="n">
        <v>0</v>
      </c>
      <c r="AO22" t="n">
        <v>0</v>
      </c>
      <c r="AP22" s="39" t="n">
        <v>3000</v>
      </c>
      <c r="AQ22" s="39" t="n">
        <v>3000</v>
      </c>
      <c r="AR22" s="39" t="n">
        <v>0</v>
      </c>
      <c r="AS22" t="n">
        <v>0</v>
      </c>
      <c r="AT22" t="inlineStr">
        <is>
          <t>Crédito Hipotecario</t>
        </is>
      </c>
      <c r="AU22" t="inlineStr">
        <is>
          <t>Scotiabank Perú</t>
        </is>
      </c>
      <c r="AV22" t="inlineStr">
        <is>
          <t>000-2768484</t>
        </is>
      </c>
      <c r="AW22" t="inlineStr">
        <is>
          <t>TRANSFERENCIA BANCARIA</t>
        </is>
      </c>
      <c r="AX22" t="inlineStr">
        <is>
          <t>43636501</t>
        </is>
      </c>
      <c r="AY22" t="inlineStr">
        <is>
          <t>00998929</t>
        </is>
      </c>
      <c r="AZ22" t="inlineStr">
        <is>
          <t>No</t>
        </is>
      </c>
      <c r="BA22" t="inlineStr">
        <is>
          <t>NO PRECISA</t>
        </is>
      </c>
      <c r="BB22" t="n">
        <v>4</v>
      </c>
      <c r="BC22" t="inlineStr">
        <is>
          <t>CANCELADO</t>
        </is>
      </c>
      <c r="BN22" t="inlineStr">
        <is>
          <t>Si</t>
        </is>
      </c>
      <c r="BO22" s="117" t="n">
        <v>45537.59305555555</v>
      </c>
      <c r="BP22" t="inlineStr">
        <is>
          <t>Kenny Salazar S</t>
        </is>
      </c>
      <c r="BR22" t="n">
        <v>32</v>
      </c>
      <c r="BS22" t="inlineStr">
        <is>
          <t>02/06/2026 14:50</t>
        </is>
      </c>
      <c r="BT22" t="n">
        <v>0</v>
      </c>
      <c r="BX22" t="inlineStr">
        <is>
          <t>Cobranzas_2024.csv</t>
        </is>
      </c>
      <c r="BY22" t="n">
        <v>2024</v>
      </c>
      <c r="BZ22" t="inlineStr">
        <is>
          <t>01/01/2024</t>
        </is>
      </c>
      <c r="CA22" t="inlineStr">
        <is>
          <t>30/09/2031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39" t="n">
        <v>609100</v>
      </c>
      <c r="H23" s="39" t="n">
        <v>609100</v>
      </c>
      <c r="I23" t="inlineStr">
        <is>
          <t>Edificio</t>
        </is>
      </c>
      <c r="J23" t="inlineStr">
        <is>
          <t>A</t>
        </is>
      </c>
      <c r="K23" t="inlineStr">
        <is>
          <t>Estacionamiento</t>
        </is>
      </c>
      <c r="L23" t="inlineStr">
        <is>
          <t>E 26 - D 20</t>
        </is>
      </c>
      <c r="M23" s="39" t="n">
        <v>64600</v>
      </c>
      <c r="N23" s="39" t="n">
        <v>64600</v>
      </c>
      <c r="S23" s="39" t="n"/>
      <c r="T23" s="39" t="n"/>
      <c r="Y23" s="39" t="n"/>
      <c r="Z23" s="39" t="n"/>
      <c r="AA23" t="inlineStr">
        <is>
          <t>Gilda Victoria Sampi González</t>
        </is>
      </c>
      <c r="AB23" t="inlineStr">
        <is>
          <t>43636501</t>
        </is>
      </c>
      <c r="AC23" t="inlineStr">
        <is>
          <t>Av. Brasil 863 departamento 702-A</t>
        </is>
      </c>
      <c r="AD23" t="n">
        <v>966422784</v>
      </c>
      <c r="AE23" t="inlineStr">
        <is>
          <t xml:space="preserve">966422784		</t>
        </is>
      </c>
      <c r="AF23" t="inlineStr">
        <is>
          <t>victoria.sampi@gmail.com</t>
        </is>
      </c>
      <c r="AG23" t="inlineStr">
        <is>
          <t>LIMA</t>
        </is>
      </c>
      <c r="AH23" t="inlineStr">
        <is>
          <t>JESUS MARIA</t>
        </is>
      </c>
      <c r="AI23" s="116" t="n">
        <v>45537</v>
      </c>
      <c r="AJ23" s="116" t="n">
        <v>45537</v>
      </c>
      <c r="AK23" t="inlineStr">
        <is>
          <t>CUOTA INICIAL</t>
        </is>
      </c>
      <c r="AL23" t="n">
        <v>1</v>
      </c>
      <c r="AM23" t="n">
        <v>134740</v>
      </c>
      <c r="AN23" t="n">
        <v>0</v>
      </c>
      <c r="AO23" t="n">
        <v>0</v>
      </c>
      <c r="AP23" s="39" t="n">
        <v>134740</v>
      </c>
      <c r="AQ23" s="39" t="n">
        <v>134740</v>
      </c>
      <c r="AR23" s="39" t="n">
        <v>0</v>
      </c>
      <c r="AS23" t="n">
        <v>0</v>
      </c>
      <c r="AT23" t="inlineStr">
        <is>
          <t>Crédito Hipotecario</t>
        </is>
      </c>
      <c r="AU23" t="inlineStr">
        <is>
          <t>Scotiabank Perú</t>
        </is>
      </c>
      <c r="AV23" t="inlineStr">
        <is>
          <t>000-2768484</t>
        </is>
      </c>
      <c r="AW23" t="inlineStr">
        <is>
          <t>TRANSFERENCIA BANCARIA</t>
        </is>
      </c>
      <c r="AX23" t="inlineStr">
        <is>
          <t>43636501</t>
        </is>
      </c>
      <c r="AY23" t="inlineStr">
        <is>
          <t>009107870</t>
        </is>
      </c>
      <c r="AZ23" t="inlineStr">
        <is>
          <t>No</t>
        </is>
      </c>
      <c r="BA23" t="inlineStr">
        <is>
          <t>NO PRECISA</t>
        </is>
      </c>
      <c r="BB23" t="n">
        <v>4</v>
      </c>
      <c r="BC23" t="inlineStr">
        <is>
          <t>CANCELADO</t>
        </is>
      </c>
      <c r="BN23" t="inlineStr">
        <is>
          <t>Si</t>
        </is>
      </c>
      <c r="BO23" s="117" t="n">
        <v>45537.59305555555</v>
      </c>
      <c r="BP23" t="inlineStr">
        <is>
          <t>Kenny Salazar S</t>
        </is>
      </c>
      <c r="BR23" t="n">
        <v>32</v>
      </c>
      <c r="BS23" t="inlineStr">
        <is>
          <t>04/06/2026 09:52</t>
        </is>
      </c>
      <c r="BT23" t="n">
        <v>0</v>
      </c>
      <c r="BX23" t="inlineStr">
        <is>
          <t>Cobranzas_2024.csv</t>
        </is>
      </c>
      <c r="BY23" t="n">
        <v>2024</v>
      </c>
      <c r="BZ23" t="inlineStr">
        <is>
          <t>01/01/2024</t>
        </is>
      </c>
      <c r="CA23" t="inlineStr">
        <is>
          <t>30/09/2031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605</t>
        </is>
      </c>
      <c r="G24" s="39" t="n">
        <v>501000</v>
      </c>
      <c r="H24" s="39" t="n">
        <v>501000</v>
      </c>
      <c r="I24" t="inlineStr">
        <is>
          <t>Edificio</t>
        </is>
      </c>
      <c r="J24" t="inlineStr">
        <is>
          <t>A</t>
        </is>
      </c>
      <c r="K24" t="inlineStr">
        <is>
          <t>Estacionamiento</t>
        </is>
      </c>
      <c r="L24" t="inlineStr">
        <is>
          <t>E 07 - D 05</t>
        </is>
      </c>
      <c r="M24" s="39" t="n">
        <v>57300</v>
      </c>
      <c r="N24" s="39" t="n">
        <v>57300</v>
      </c>
      <c r="S24" s="39" t="n"/>
      <c r="T24" s="39" t="n"/>
      <c r="Y24" s="39" t="n"/>
      <c r="Z24" s="39" t="n"/>
      <c r="AA24" t="inlineStr">
        <is>
          <t>Jose Humberto Pehovaz Diez</t>
        </is>
      </c>
      <c r="AB24" t="inlineStr">
        <is>
          <t>49073756</t>
        </is>
      </c>
      <c r="AC24" t="inlineStr">
        <is>
          <t>-</t>
        </is>
      </c>
      <c r="AE24" t="inlineStr">
        <is>
          <t>952256518</t>
        </is>
      </c>
      <c r="AF24" t="inlineStr">
        <is>
          <t>josehp99@gmail.com</t>
        </is>
      </c>
      <c r="AG24" t="inlineStr">
        <is>
          <t>LIMA</t>
        </is>
      </c>
      <c r="AH24" t="inlineStr">
        <is>
          <t>MAGDALENA DEL MAR</t>
        </is>
      </c>
      <c r="AI24" s="116" t="n">
        <v>45338</v>
      </c>
      <c r="AJ24" s="116" t="n">
        <v>45698</v>
      </c>
      <c r="AK24" t="inlineStr">
        <is>
          <t>SEPARACION</t>
        </is>
      </c>
      <c r="AL24" t="n">
        <v>1</v>
      </c>
      <c r="AM24" t="n">
        <v>3000</v>
      </c>
      <c r="AN24" t="n">
        <v>0</v>
      </c>
      <c r="AO24" t="n">
        <v>0</v>
      </c>
      <c r="AP24" s="39" t="n">
        <v>3000</v>
      </c>
      <c r="AQ24" s="39" t="n">
        <v>3000</v>
      </c>
      <c r="AR24" s="39" t="n">
        <v>0</v>
      </c>
      <c r="AS24" t="n">
        <v>0</v>
      </c>
      <c r="AT24" t="inlineStr">
        <is>
          <t>Crédito Hipotecario</t>
        </is>
      </c>
      <c r="AU24" t="inlineStr">
        <is>
          <t>Scotiabank Perú</t>
        </is>
      </c>
      <c r="AV24" t="inlineStr">
        <is>
          <t>000-2768484</t>
        </is>
      </c>
      <c r="AW24" t="inlineStr">
        <is>
          <t>TRANSFERENCIA BANCARIA</t>
        </is>
      </c>
      <c r="AX24" t="inlineStr">
        <is>
          <t>49073756</t>
        </is>
      </c>
      <c r="AY24" t="inlineStr">
        <is>
          <t>7844655534521</t>
        </is>
      </c>
      <c r="AZ24" t="inlineStr">
        <is>
          <t>No</t>
        </is>
      </c>
      <c r="BA24" t="inlineStr">
        <is>
          <t>NO PRECISA</t>
        </is>
      </c>
      <c r="BB24" t="n">
        <v>1</v>
      </c>
      <c r="BC24" t="inlineStr">
        <is>
          <t>CANCELADO</t>
        </is>
      </c>
      <c r="BN24" t="inlineStr">
        <is>
          <t>Si</t>
        </is>
      </c>
      <c r="BO24" s="117" t="n">
        <v>45709.69652777778</v>
      </c>
      <c r="BP24" t="inlineStr">
        <is>
          <t>Carla Michue M</t>
        </is>
      </c>
      <c r="BR24" t="n">
        <v>10</v>
      </c>
      <c r="BS24" t="inlineStr">
        <is>
          <t>29/05/2026 12:21</t>
        </is>
      </c>
      <c r="BT24" t="n">
        <v>0</v>
      </c>
      <c r="BX24" t="inlineStr">
        <is>
          <t>Cobranzas_2024.csv</t>
        </is>
      </c>
      <c r="BY24" t="n">
        <v>2024</v>
      </c>
      <c r="BZ24" t="inlineStr">
        <is>
          <t>01/01/2024</t>
        </is>
      </c>
      <c r="CA24" t="inlineStr">
        <is>
          <t>30/09/2031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201</t>
        </is>
      </c>
      <c r="G25" s="39" t="n">
        <v>622500</v>
      </c>
      <c r="H25" s="39" t="n">
        <v>622500</v>
      </c>
      <c r="M25" s="39" t="n"/>
      <c r="N25" s="39" t="n"/>
      <c r="S25" s="39" t="n"/>
      <c r="T25" s="39" t="n"/>
      <c r="Y25" s="39" t="n"/>
      <c r="Z25" s="39" t="n"/>
      <c r="AA25" t="inlineStr">
        <is>
          <t>Joseluis Gaspar Zapata Flores</t>
        </is>
      </c>
      <c r="AB25" t="inlineStr">
        <is>
          <t>46730672</t>
        </is>
      </c>
      <c r="AC25" t="inlineStr">
        <is>
          <t>Jr. Los Clavles 141 P. J  El Progreso 1er Sector</t>
        </is>
      </c>
      <c r="AE25" t="inlineStr">
        <is>
          <t>948041027</t>
        </is>
      </c>
      <c r="AF25" t="inlineStr">
        <is>
          <t>jlzapata91@gmail.com</t>
        </is>
      </c>
      <c r="AG25" t="inlineStr">
        <is>
          <t>LIMA</t>
        </is>
      </c>
      <c r="AH25" t="inlineStr">
        <is>
          <t>CARABAYLLO</t>
        </is>
      </c>
      <c r="AI25" s="116" t="n">
        <v>45479</v>
      </c>
      <c r="AJ25" s="116" t="n">
        <v>45479</v>
      </c>
      <c r="AK25" t="inlineStr">
        <is>
          <t>CUOTA INICIAL</t>
        </is>
      </c>
      <c r="AL25" t="n">
        <v>1</v>
      </c>
      <c r="AM25" t="n">
        <v>3000</v>
      </c>
      <c r="AN25" t="n">
        <v>0</v>
      </c>
      <c r="AO25" t="n">
        <v>0</v>
      </c>
      <c r="AP25" s="39" t="n">
        <v>3000</v>
      </c>
      <c r="AQ25" s="39" t="n">
        <v>3000</v>
      </c>
      <c r="AR25" s="39" t="n">
        <v>0</v>
      </c>
      <c r="AS25" t="n">
        <v>0</v>
      </c>
      <c r="AT25" t="inlineStr">
        <is>
          <t>Ahorro</t>
        </is>
      </c>
      <c r="AU25" t="inlineStr">
        <is>
          <t>Scotiabank Perú</t>
        </is>
      </c>
      <c r="AV25" t="inlineStr">
        <is>
          <t>000-2768484</t>
        </is>
      </c>
      <c r="AW25" t="inlineStr">
        <is>
          <t>TRANSFERENCIA BANCARIA</t>
        </is>
      </c>
      <c r="AY25" t="inlineStr">
        <is>
          <t>03343387</t>
        </is>
      </c>
      <c r="AZ25" t="inlineStr">
        <is>
          <t>Si</t>
        </is>
      </c>
      <c r="BB25" t="n">
        <v>4</v>
      </c>
      <c r="BC25" t="inlineStr">
        <is>
          <t>CANCELADO</t>
        </is>
      </c>
      <c r="BN25" t="inlineStr">
        <is>
          <t>Si</t>
        </is>
      </c>
      <c r="BO25" s="117" t="n">
        <v>45488.65486111111</v>
      </c>
      <c r="BP25" t="inlineStr">
        <is>
          <t>Carla Michue M</t>
        </is>
      </c>
      <c r="BR25" t="n">
        <v>6</v>
      </c>
      <c r="BS25" t="inlineStr">
        <is>
          <t>29/06/2026 01:05</t>
        </is>
      </c>
      <c r="BT25" t="n">
        <v>0</v>
      </c>
      <c r="BX25" t="inlineStr">
        <is>
          <t>Cobranzas_2024.csv</t>
        </is>
      </c>
      <c r="BY25" t="n">
        <v>2024</v>
      </c>
      <c r="BZ25" t="inlineStr">
        <is>
          <t>01/01/2024</t>
        </is>
      </c>
      <c r="CA25" t="inlineStr">
        <is>
          <t>30/09/2031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39" t="n">
        <v>622500</v>
      </c>
      <c r="H26" s="39" t="n">
        <v>622500</v>
      </c>
      <c r="M26" s="39" t="n"/>
      <c r="N26" s="39" t="n"/>
      <c r="S26" s="39" t="n"/>
      <c r="T26" s="39" t="n"/>
      <c r="Y26" s="39" t="n"/>
      <c r="Z26" s="39" t="n"/>
      <c r="AA26" t="inlineStr">
        <is>
          <t>Joseluis Gaspar Zapata Flores</t>
        </is>
      </c>
      <c r="AB26" t="inlineStr">
        <is>
          <t>46730672</t>
        </is>
      </c>
      <c r="AC26" t="inlineStr">
        <is>
          <t>Jr. Los Clavles 141 P. J  El Progreso 1er Sector</t>
        </is>
      </c>
      <c r="AE26" t="inlineStr">
        <is>
          <t>948041027</t>
        </is>
      </c>
      <c r="AF26" t="inlineStr">
        <is>
          <t>jlzapata91@gmail.com</t>
        </is>
      </c>
      <c r="AG26" t="inlineStr">
        <is>
          <t>LIMA</t>
        </is>
      </c>
      <c r="AH26" t="inlineStr">
        <is>
          <t>CARABAYLLO</t>
        </is>
      </c>
      <c r="AI26" s="116" t="n">
        <v>45488</v>
      </c>
      <c r="AJ26" s="116" t="n">
        <v>45488</v>
      </c>
      <c r="AK26" t="inlineStr">
        <is>
          <t>CUOTA INICIAL</t>
        </is>
      </c>
      <c r="AL26" t="n">
        <v>2</v>
      </c>
      <c r="AM26" t="n">
        <v>20000</v>
      </c>
      <c r="AN26" t="n">
        <v>0</v>
      </c>
      <c r="AO26" t="n">
        <v>0</v>
      </c>
      <c r="AP26" s="39" t="n">
        <v>20000</v>
      </c>
      <c r="AQ26" s="39" t="n">
        <v>20000</v>
      </c>
      <c r="AR26" s="39" t="n">
        <v>0</v>
      </c>
      <c r="AS26" t="n">
        <v>0</v>
      </c>
      <c r="AT26" t="inlineStr">
        <is>
          <t>Ahorro</t>
        </is>
      </c>
      <c r="AU26" t="inlineStr">
        <is>
          <t>Scotiabank Perú</t>
        </is>
      </c>
      <c r="AV26" t="inlineStr">
        <is>
          <t>000-2768484</t>
        </is>
      </c>
      <c r="AW26" t="inlineStr">
        <is>
          <t>TRANSFERENCIA BANCARIA</t>
        </is>
      </c>
      <c r="AY26" t="inlineStr">
        <is>
          <t>7844655656315</t>
        </is>
      </c>
      <c r="AZ26" t="inlineStr">
        <is>
          <t>No</t>
        </is>
      </c>
      <c r="BB26" t="n">
        <v>4</v>
      </c>
      <c r="BC26" t="inlineStr">
        <is>
          <t>CANCELADO</t>
        </is>
      </c>
      <c r="BN26" t="inlineStr">
        <is>
          <t>Si</t>
        </is>
      </c>
      <c r="BO26" s="117" t="n">
        <v>45488.65486111111</v>
      </c>
      <c r="BP26" t="inlineStr">
        <is>
          <t>Carla Michue M</t>
        </is>
      </c>
      <c r="BR26" t="n">
        <v>6</v>
      </c>
      <c r="BS26" t="inlineStr">
        <is>
          <t>29/06/2026 01:06</t>
        </is>
      </c>
      <c r="BT26" t="n">
        <v>0</v>
      </c>
      <c r="BX26" t="inlineStr">
        <is>
          <t>Cobranzas_2024.csv</t>
        </is>
      </c>
      <c r="BY26" t="n">
        <v>2024</v>
      </c>
      <c r="BZ26" t="inlineStr">
        <is>
          <t>01/01/2024</t>
        </is>
      </c>
      <c r="CA26" t="inlineStr">
        <is>
          <t>30/09/2031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39" t="n">
        <v>622500</v>
      </c>
      <c r="H27" s="39" t="n">
        <v>622500</v>
      </c>
      <c r="M27" s="39" t="n"/>
      <c r="N27" s="39" t="n"/>
      <c r="S27" s="39" t="n"/>
      <c r="T27" s="39" t="n"/>
      <c r="Y27" s="39" t="n"/>
      <c r="Z27" s="39" t="n"/>
      <c r="AA27" t="inlineStr">
        <is>
          <t>Joseluis Gaspar Zapata Flores</t>
        </is>
      </c>
      <c r="AB27" t="inlineStr">
        <is>
          <t>46730672</t>
        </is>
      </c>
      <c r="AC27" t="inlineStr">
        <is>
          <t>Jr. Los Clavles 141 P. J  El Progreso 1er Sector</t>
        </is>
      </c>
      <c r="AE27" t="inlineStr">
        <is>
          <t>948041027</t>
        </is>
      </c>
      <c r="AF27" t="inlineStr">
        <is>
          <t>jlzapata91@gmail.com</t>
        </is>
      </c>
      <c r="AG27" t="inlineStr">
        <is>
          <t>LIMA</t>
        </is>
      </c>
      <c r="AH27" t="inlineStr">
        <is>
          <t>CARABAYLLO</t>
        </is>
      </c>
      <c r="AI27" s="116" t="n">
        <v>45656</v>
      </c>
      <c r="AJ27" s="116" t="n">
        <v>45722</v>
      </c>
      <c r="AK27" t="inlineStr">
        <is>
          <t>CUOTA INICIAL</t>
        </is>
      </c>
      <c r="AL27" t="n">
        <v>3</v>
      </c>
      <c r="AM27" t="n">
        <v>0</v>
      </c>
      <c r="AN27" t="n">
        <v>0</v>
      </c>
      <c r="AO27" t="n">
        <v>0</v>
      </c>
      <c r="AP27" s="39" t="n">
        <v>67000</v>
      </c>
      <c r="AQ27" s="39" t="n">
        <v>65000</v>
      </c>
      <c r="AR27" s="39" t="n">
        <v>0</v>
      </c>
      <c r="AS27" t="n">
        <v>0</v>
      </c>
      <c r="AT27" t="inlineStr">
        <is>
          <t>Ahorro</t>
        </is>
      </c>
      <c r="AU27" t="inlineStr">
        <is>
          <t>Scotiabank Perú</t>
        </is>
      </c>
      <c r="AV27" t="inlineStr">
        <is>
          <t>000-2768484</t>
        </is>
      </c>
      <c r="AW27" t="inlineStr">
        <is>
          <t>TRANSFERENCIA BANCARIA</t>
        </is>
      </c>
      <c r="AY27" t="inlineStr">
        <is>
          <t>u26563</t>
        </is>
      </c>
      <c r="AZ27" t="inlineStr">
        <is>
          <t>No</t>
        </is>
      </c>
      <c r="BB27" t="n">
        <v>4</v>
      </c>
      <c r="BC27" t="inlineStr">
        <is>
          <t>CANCELADO</t>
        </is>
      </c>
      <c r="BN27" t="inlineStr">
        <is>
          <t>Si</t>
        </is>
      </c>
      <c r="BO27" s="117" t="n">
        <v>45488.65486111111</v>
      </c>
      <c r="BP27" t="inlineStr">
        <is>
          <t>Carla Michue M</t>
        </is>
      </c>
      <c r="BR27" t="n">
        <v>6</v>
      </c>
      <c r="BS27" t="inlineStr">
        <is>
          <t>29/06/2026 01:07</t>
        </is>
      </c>
      <c r="BT27" t="n">
        <v>0</v>
      </c>
      <c r="BX27" t="inlineStr">
        <is>
          <t>Cobranzas_2024.csv</t>
        </is>
      </c>
      <c r="BY27" t="n">
        <v>2024</v>
      </c>
      <c r="BZ27" t="inlineStr">
        <is>
          <t>01/01/2024</t>
        </is>
      </c>
      <c r="CA27" t="inlineStr">
        <is>
          <t>30/09/2031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39" t="n">
        <v>622500</v>
      </c>
      <c r="H28" s="39" t="n">
        <v>622500</v>
      </c>
      <c r="M28" s="39" t="n"/>
      <c r="N28" s="39" t="n"/>
      <c r="S28" s="39" t="n"/>
      <c r="T28" s="39" t="n"/>
      <c r="Y28" s="39" t="n"/>
      <c r="Z28" s="39" t="n"/>
      <c r="AA28" t="inlineStr">
        <is>
          <t>Joseluis Gaspar Zapata Flores</t>
        </is>
      </c>
      <c r="AB28" t="inlineStr">
        <is>
          <t>46730672</t>
        </is>
      </c>
      <c r="AC28" t="inlineStr">
        <is>
          <t>Jr. Los Clavles 141 P. J  El Progreso 1er Sector</t>
        </is>
      </c>
      <c r="AE28" t="inlineStr">
        <is>
          <t>948041027</t>
        </is>
      </c>
      <c r="AF28" t="inlineStr">
        <is>
          <t>jlzapata91@gmail.com</t>
        </is>
      </c>
      <c r="AG28" t="inlineStr">
        <is>
          <t>LIMA</t>
        </is>
      </c>
      <c r="AH28" t="inlineStr">
        <is>
          <t>CARABAYLLO</t>
        </is>
      </c>
      <c r="AI28" s="116" t="n">
        <v>45656</v>
      </c>
      <c r="AJ28" s="116" t="n">
        <v>45722</v>
      </c>
      <c r="AK28" t="inlineStr">
        <is>
          <t>CUOTA INICIAL</t>
        </is>
      </c>
      <c r="AL28" t="n">
        <v>3</v>
      </c>
      <c r="AM28" t="n">
        <v>67000</v>
      </c>
      <c r="AN28" t="n">
        <v>0</v>
      </c>
      <c r="AO28" t="n">
        <v>0</v>
      </c>
      <c r="AP28" s="39" t="n">
        <v>0</v>
      </c>
      <c r="AQ28" s="39" t="n">
        <v>2000</v>
      </c>
      <c r="AR28" s="39" t="n">
        <v>0</v>
      </c>
      <c r="AS28" t="n">
        <v>0</v>
      </c>
      <c r="AT28" t="inlineStr">
        <is>
          <t>Ahorro</t>
        </is>
      </c>
      <c r="AU28" t="inlineStr">
        <is>
          <t>Scotiabank Perú</t>
        </is>
      </c>
      <c r="AV28" t="inlineStr">
        <is>
          <t>000-2768484</t>
        </is>
      </c>
      <c r="AW28" t="inlineStr">
        <is>
          <t>TRANSFERENCIA BANCARIA</t>
        </is>
      </c>
      <c r="AY28" t="inlineStr">
        <is>
          <t>7844655541508</t>
        </is>
      </c>
      <c r="AZ28" t="inlineStr">
        <is>
          <t>No</t>
        </is>
      </c>
      <c r="BB28" t="n">
        <v>4</v>
      </c>
      <c r="BC28" t="inlineStr">
        <is>
          <t>CANCELADO</t>
        </is>
      </c>
      <c r="BN28" t="inlineStr">
        <is>
          <t>Si</t>
        </is>
      </c>
      <c r="BO28" s="117" t="n">
        <v>45488.65486111111</v>
      </c>
      <c r="BP28" t="inlineStr">
        <is>
          <t>Carla Michue M</t>
        </is>
      </c>
      <c r="BR28" t="n">
        <v>6</v>
      </c>
      <c r="BS28" t="inlineStr">
        <is>
          <t>29/06/2026 01:08</t>
        </is>
      </c>
      <c r="BT28" t="n">
        <v>0</v>
      </c>
      <c r="BX28" t="inlineStr">
        <is>
          <t>Cobranzas_2024.csv</t>
        </is>
      </c>
      <c r="BY28" t="n">
        <v>2024</v>
      </c>
      <c r="BZ28" t="inlineStr">
        <is>
          <t>01/01/2024</t>
        </is>
      </c>
      <c r="CA28" t="inlineStr">
        <is>
          <t>30/09/2031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501</t>
        </is>
      </c>
      <c r="G29" s="39" t="n">
        <v>612000</v>
      </c>
      <c r="H29" s="39" t="n">
        <v>612000</v>
      </c>
      <c r="M29" s="39" t="n"/>
      <c r="N29" s="39" t="n"/>
      <c r="S29" s="39" t="n"/>
      <c r="T29" s="39" t="n"/>
      <c r="Y29" s="39" t="n"/>
      <c r="Z29" s="39" t="n"/>
      <c r="AA29" t="inlineStr">
        <is>
          <t>Juan Carlos Ángeles Milla</t>
        </is>
      </c>
      <c r="AB29" t="inlineStr">
        <is>
          <t>32403305</t>
        </is>
      </c>
      <c r="AC29" t="inlineStr">
        <is>
          <t>Av. Miraflores 218</t>
        </is>
      </c>
      <c r="AE29" t="inlineStr">
        <is>
          <t>942097700</t>
        </is>
      </c>
      <c r="AF29" t="inlineStr">
        <is>
          <t>Vidang72@hotmail.com</t>
        </is>
      </c>
      <c r="AG29" t="inlineStr">
        <is>
          <t>HUAYLAS</t>
        </is>
      </c>
      <c r="AH29" t="inlineStr">
        <is>
          <t>HUAYLAS</t>
        </is>
      </c>
      <c r="AI29" s="116" t="n">
        <v>45520</v>
      </c>
      <c r="AJ29" s="116" t="n">
        <v>45520</v>
      </c>
      <c r="AK29" t="inlineStr">
        <is>
          <t>SEPARACION</t>
        </is>
      </c>
      <c r="AL29" t="n">
        <v>1</v>
      </c>
      <c r="AM29" t="n">
        <v>3000</v>
      </c>
      <c r="AN29" t="n">
        <v>0</v>
      </c>
      <c r="AO29" t="n">
        <v>0</v>
      </c>
      <c r="AP29" s="39" t="n">
        <v>3000</v>
      </c>
      <c r="AQ29" s="39" t="n">
        <v>3000</v>
      </c>
      <c r="AR29" s="39" t="n">
        <v>0</v>
      </c>
      <c r="AS29" t="n">
        <v>0</v>
      </c>
      <c r="AT29" t="inlineStr">
        <is>
          <t>Ahorro</t>
        </is>
      </c>
      <c r="AU29" t="inlineStr">
        <is>
          <t>Scotiabank Perú</t>
        </is>
      </c>
      <c r="AV29" t="inlineStr">
        <is>
          <t>000-2768484</t>
        </is>
      </c>
      <c r="AW29" t="inlineStr">
        <is>
          <t>TRANSFERENCIA BANCARIA</t>
        </is>
      </c>
      <c r="AX29" t="inlineStr">
        <is>
          <t>32403305</t>
        </is>
      </c>
      <c r="AY29" t="inlineStr">
        <is>
          <t>02431073</t>
        </is>
      </c>
      <c r="AZ29" t="inlineStr">
        <is>
          <t>No</t>
        </is>
      </c>
      <c r="BA29" t="inlineStr">
        <is>
          <t>NO PRECISA</t>
        </is>
      </c>
      <c r="BB29" t="n">
        <v>1</v>
      </c>
      <c r="BC29" t="inlineStr">
        <is>
          <t>CANCELADO</t>
        </is>
      </c>
      <c r="BN29" t="inlineStr">
        <is>
          <t>Si</t>
        </is>
      </c>
      <c r="BO29" s="117" t="n">
        <v>45541.59444444445</v>
      </c>
      <c r="BP29" t="inlineStr">
        <is>
          <t>Carla Michue M</t>
        </is>
      </c>
      <c r="BR29" t="n">
        <v>21</v>
      </c>
      <c r="BS29" t="inlineStr">
        <is>
          <t>29/05/2026 12:21</t>
        </is>
      </c>
      <c r="BT29" t="n">
        <v>0</v>
      </c>
      <c r="BX29" t="inlineStr">
        <is>
          <t>Cobranzas_2024.csv</t>
        </is>
      </c>
      <c r="BY29" t="n">
        <v>2024</v>
      </c>
      <c r="BZ29" t="inlineStr">
        <is>
          <t>01/01/2024</t>
        </is>
      </c>
      <c r="CA29" t="inlineStr">
        <is>
          <t>30/09/2031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39" t="n">
        <v>612000</v>
      </c>
      <c r="H30" s="39" t="n">
        <v>612000</v>
      </c>
      <c r="M30" s="39" t="n"/>
      <c r="N30" s="39" t="n"/>
      <c r="S30" s="39" t="n"/>
      <c r="T30" s="39" t="n"/>
      <c r="Y30" s="39" t="n"/>
      <c r="Z30" s="39" t="n"/>
      <c r="AA30" t="inlineStr">
        <is>
          <t>Juan Carlos Ángeles Milla</t>
        </is>
      </c>
      <c r="AB30" t="inlineStr">
        <is>
          <t>32403305</t>
        </is>
      </c>
      <c r="AC30" t="inlineStr">
        <is>
          <t>Av. Miraflores 218</t>
        </is>
      </c>
      <c r="AE30" t="inlineStr">
        <is>
          <t>942097700</t>
        </is>
      </c>
      <c r="AF30" t="inlineStr">
        <is>
          <t>Vidang72@hotmail.com</t>
        </is>
      </c>
      <c r="AG30" t="inlineStr">
        <is>
          <t>HUAYLAS</t>
        </is>
      </c>
      <c r="AH30" t="inlineStr">
        <is>
          <t>HUAYLAS</t>
        </is>
      </c>
      <c r="AI30" s="116" t="n">
        <v>45541</v>
      </c>
      <c r="AJ30" s="116" t="n">
        <v>45541</v>
      </c>
      <c r="AK30" t="inlineStr">
        <is>
          <t>CUOTA INICIAL</t>
        </is>
      </c>
      <c r="AL30" t="n">
        <v>2</v>
      </c>
      <c r="AM30" t="n">
        <v>29500</v>
      </c>
      <c r="AN30" t="n">
        <v>0</v>
      </c>
      <c r="AO30" t="n">
        <v>0</v>
      </c>
      <c r="AP30" s="39" t="n">
        <v>29500</v>
      </c>
      <c r="AQ30" s="39" t="n">
        <v>29500</v>
      </c>
      <c r="AR30" s="39" t="n">
        <v>0</v>
      </c>
      <c r="AS30" t="n">
        <v>0</v>
      </c>
      <c r="AT30" t="inlineStr">
        <is>
          <t>Ahorro</t>
        </is>
      </c>
      <c r="AU30" t="inlineStr">
        <is>
          <t>Scotiabank Perú</t>
        </is>
      </c>
      <c r="AV30" t="inlineStr">
        <is>
          <t>000-2768484</t>
        </is>
      </c>
      <c r="AW30" t="inlineStr">
        <is>
          <t>TRANSFERENCIA BANCARIA</t>
        </is>
      </c>
      <c r="AX30" t="inlineStr">
        <is>
          <t>32403305</t>
        </is>
      </c>
      <c r="AY30" t="inlineStr">
        <is>
          <t>0500010059</t>
        </is>
      </c>
      <c r="AZ30" t="inlineStr">
        <is>
          <t>No</t>
        </is>
      </c>
      <c r="BA30" t="inlineStr">
        <is>
          <t>NO PRECISA</t>
        </is>
      </c>
      <c r="BB30" t="n">
        <v>1</v>
      </c>
      <c r="BC30" t="inlineStr">
        <is>
          <t>CANCELADO</t>
        </is>
      </c>
      <c r="BN30" t="inlineStr">
        <is>
          <t>Si</t>
        </is>
      </c>
      <c r="BO30" s="117" t="n">
        <v>45541.59444444445</v>
      </c>
      <c r="BP30" t="inlineStr">
        <is>
          <t>Carla Michue M</t>
        </is>
      </c>
      <c r="BR30" t="n">
        <v>21</v>
      </c>
      <c r="BS30" t="inlineStr">
        <is>
          <t>29/05/2026 12:21</t>
        </is>
      </c>
      <c r="BT30" t="n">
        <v>0</v>
      </c>
      <c r="BX30" t="inlineStr">
        <is>
          <t>Cobranzas_2024.csv</t>
        </is>
      </c>
      <c r="BY30" t="n">
        <v>2024</v>
      </c>
      <c r="BZ30" t="inlineStr">
        <is>
          <t>01/01/2024</t>
        </is>
      </c>
      <c r="CA30" t="inlineStr">
        <is>
          <t>30/09/2031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403</t>
        </is>
      </c>
      <c r="G31" s="39" t="n">
        <v>654000</v>
      </c>
      <c r="H31" s="39" t="n">
        <v>654000</v>
      </c>
      <c r="M31" s="39" t="n"/>
      <c r="N31" s="39" t="n"/>
      <c r="S31" s="39" t="n"/>
      <c r="T31" s="39" t="n"/>
      <c r="Y31" s="39" t="n"/>
      <c r="Z31" s="39" t="n"/>
      <c r="AA31" t="inlineStr">
        <is>
          <t>Liliana Lucila Luciano Claros</t>
        </is>
      </c>
      <c r="AB31" t="inlineStr">
        <is>
          <t>15764694</t>
        </is>
      </c>
      <c r="AC31" t="inlineStr">
        <is>
          <t xml:space="preserve">MZ M5 – Lt. 7 urb. Paseo del Mar </t>
        </is>
      </c>
      <c r="AE31" t="inlineStr">
        <is>
          <t>982406857</t>
        </is>
      </c>
      <c r="AF31" t="inlineStr">
        <is>
          <t>liliana31_micaela@hotmail.com</t>
        </is>
      </c>
      <c r="AG31" t="inlineStr">
        <is>
          <t>SANTA</t>
        </is>
      </c>
      <c r="AH31" t="inlineStr">
        <is>
          <t>NUEVO CHIMBOTE</t>
        </is>
      </c>
      <c r="AI31" s="116" t="n">
        <v>45586</v>
      </c>
      <c r="AJ31" s="116" t="n">
        <v>45586</v>
      </c>
      <c r="AK31" t="inlineStr">
        <is>
          <t>SEPARACION</t>
        </is>
      </c>
      <c r="AL31" t="n">
        <v>1</v>
      </c>
      <c r="AM31" t="n">
        <v>3000</v>
      </c>
      <c r="AN31" t="n">
        <v>0</v>
      </c>
      <c r="AO31" t="n">
        <v>0</v>
      </c>
      <c r="AP31" s="39" t="n">
        <v>3000</v>
      </c>
      <c r="AQ31" s="39" t="n">
        <v>3000</v>
      </c>
      <c r="AR31" s="39" t="n">
        <v>0</v>
      </c>
      <c r="AS31" t="n">
        <v>0</v>
      </c>
      <c r="AT31" t="inlineStr">
        <is>
          <t>Crédito Hipotecario</t>
        </is>
      </c>
      <c r="AU31" t="inlineStr">
        <is>
          <t>Scotiabank Perú</t>
        </is>
      </c>
      <c r="AV31" t="inlineStr">
        <is>
          <t>000-2768484</t>
        </is>
      </c>
      <c r="AW31" t="inlineStr">
        <is>
          <t>EFECTIVO</t>
        </is>
      </c>
      <c r="AX31" t="inlineStr">
        <is>
          <t>15764694</t>
        </is>
      </c>
      <c r="AY31" t="inlineStr">
        <is>
          <t>0500010056</t>
        </is>
      </c>
      <c r="AZ31" t="inlineStr">
        <is>
          <t>No</t>
        </is>
      </c>
      <c r="BA31" t="inlineStr">
        <is>
          <t>NO PRECISA</t>
        </is>
      </c>
      <c r="BB31" t="n">
        <v>1</v>
      </c>
      <c r="BC31" t="inlineStr">
        <is>
          <t>CANCELADO</t>
        </is>
      </c>
      <c r="BN31" t="inlineStr">
        <is>
          <t>Si</t>
        </is>
      </c>
      <c r="BO31" s="117" t="n">
        <v>45619.38611111111</v>
      </c>
      <c r="BP31" t="inlineStr">
        <is>
          <t>Carla Michue M</t>
        </is>
      </c>
      <c r="BR31" t="n">
        <v>1</v>
      </c>
      <c r="BS31" t="inlineStr">
        <is>
          <t>29/05/2026 12:20</t>
        </is>
      </c>
      <c r="BT31" t="n">
        <v>0</v>
      </c>
      <c r="BX31" t="inlineStr">
        <is>
          <t>Cobranzas_2024.csv</t>
        </is>
      </c>
      <c r="BY31" t="n">
        <v>2024</v>
      </c>
      <c r="BZ31" t="inlineStr">
        <is>
          <t>01/01/2024</t>
        </is>
      </c>
      <c r="CA31" t="inlineStr">
        <is>
          <t>30/09/2031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39" t="n">
        <v>654000</v>
      </c>
      <c r="H32" s="39" t="n">
        <v>654000</v>
      </c>
      <c r="M32" s="39" t="n"/>
      <c r="N32" s="39" t="n"/>
      <c r="S32" s="39" t="n"/>
      <c r="T32" s="39" t="n"/>
      <c r="Y32" s="39" t="n"/>
      <c r="Z32" s="39" t="n"/>
      <c r="AA32" t="inlineStr">
        <is>
          <t>Liliana Lucila Luciano Claros</t>
        </is>
      </c>
      <c r="AB32" t="inlineStr">
        <is>
          <t>15764694</t>
        </is>
      </c>
      <c r="AC32" t="inlineStr">
        <is>
          <t xml:space="preserve">MZ M5 – Lt. 7 urb. Paseo del Mar </t>
        </is>
      </c>
      <c r="AE32" t="inlineStr">
        <is>
          <t>982406857</t>
        </is>
      </c>
      <c r="AF32" t="inlineStr">
        <is>
          <t>liliana31_micaela@hotmail.com</t>
        </is>
      </c>
      <c r="AG32" t="inlineStr">
        <is>
          <t>SANTA</t>
        </is>
      </c>
      <c r="AH32" t="inlineStr">
        <is>
          <t>NUEVO CHIMBOTE</t>
        </is>
      </c>
      <c r="AI32" s="116" t="n">
        <v>45619</v>
      </c>
      <c r="AJ32" s="116" t="n">
        <v>45619</v>
      </c>
      <c r="AK32" t="inlineStr">
        <is>
          <t>CUOTA INICIAL</t>
        </is>
      </c>
      <c r="AL32" t="n">
        <v>2</v>
      </c>
      <c r="AM32" t="n">
        <v>97800</v>
      </c>
      <c r="AN32" t="n">
        <v>0</v>
      </c>
      <c r="AO32" t="n">
        <v>0</v>
      </c>
      <c r="AP32" s="39" t="n">
        <v>97800</v>
      </c>
      <c r="AQ32" s="39" t="n">
        <v>97800</v>
      </c>
      <c r="AR32" s="39" t="n">
        <v>0</v>
      </c>
      <c r="AS32" t="n">
        <v>0</v>
      </c>
      <c r="AT32" t="inlineStr">
        <is>
          <t>Crédito Hipotecario</t>
        </is>
      </c>
      <c r="AU32" t="inlineStr">
        <is>
          <t>Scotiabank Perú</t>
        </is>
      </c>
      <c r="AV32" t="inlineStr">
        <is>
          <t>000-2768484</t>
        </is>
      </c>
      <c r="AW32" t="inlineStr">
        <is>
          <t>TRANSFERENCIA BANCARIA</t>
        </is>
      </c>
      <c r="AY32" t="inlineStr">
        <is>
          <t>12007725</t>
        </is>
      </c>
      <c r="AZ32" t="inlineStr">
        <is>
          <t>No</t>
        </is>
      </c>
      <c r="BB32" t="n">
        <v>4</v>
      </c>
      <c r="BC32" t="inlineStr">
        <is>
          <t>CANCELADO</t>
        </is>
      </c>
      <c r="BN32" t="inlineStr">
        <is>
          <t>Si</t>
        </is>
      </c>
      <c r="BO32" s="117" t="n">
        <v>45619.38611111111</v>
      </c>
      <c r="BP32" t="inlineStr">
        <is>
          <t>Carla Michue M</t>
        </is>
      </c>
      <c r="BR32" t="n">
        <v>1</v>
      </c>
      <c r="BS32" t="inlineStr">
        <is>
          <t>07/07/2026 09:30</t>
        </is>
      </c>
      <c r="BT32" t="n">
        <v>0</v>
      </c>
      <c r="BX32" t="inlineStr">
        <is>
          <t>Cobranzas_2024.csv</t>
        </is>
      </c>
      <c r="BY32" t="n">
        <v>2024</v>
      </c>
      <c r="BZ32" t="inlineStr">
        <is>
          <t>01/01/2024</t>
        </is>
      </c>
      <c r="CA32" t="inlineStr">
        <is>
          <t>30/09/2031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39" t="n">
        <v>654000</v>
      </c>
      <c r="H33" s="39" t="n">
        <v>654000</v>
      </c>
      <c r="M33" s="39" t="n"/>
      <c r="N33" s="39" t="n"/>
      <c r="S33" s="39" t="n"/>
      <c r="T33" s="39" t="n"/>
      <c r="Y33" s="39" t="n"/>
      <c r="Z33" s="39" t="n"/>
      <c r="AA33" t="inlineStr">
        <is>
          <t>Liliana Lucila Luciano Claros</t>
        </is>
      </c>
      <c r="AB33" t="inlineStr">
        <is>
          <t>15764694</t>
        </is>
      </c>
      <c r="AC33" t="inlineStr">
        <is>
          <t xml:space="preserve">MZ M5 – Lt. 7 urb. Paseo del Mar </t>
        </is>
      </c>
      <c r="AE33" t="inlineStr">
        <is>
          <t>982406857</t>
        </is>
      </c>
      <c r="AF33" t="inlineStr">
        <is>
          <t>liliana31_micaela@hotmail.com</t>
        </is>
      </c>
      <c r="AG33" t="inlineStr">
        <is>
          <t>SANTA</t>
        </is>
      </c>
      <c r="AH33" t="inlineStr">
        <is>
          <t>NUEVO CHIMBOTE</t>
        </is>
      </c>
      <c r="AI33" s="116" t="n">
        <v>45631</v>
      </c>
      <c r="AJ33" s="116" t="n">
        <v>45631</v>
      </c>
      <c r="AK33" t="inlineStr">
        <is>
          <t>CUOTA INICIAL</t>
        </is>
      </c>
      <c r="AL33" t="n">
        <v>3</v>
      </c>
      <c r="AM33" t="n">
        <v>30000</v>
      </c>
      <c r="AN33" t="n">
        <v>0</v>
      </c>
      <c r="AO33" t="n">
        <v>0</v>
      </c>
      <c r="AP33" s="39" t="n">
        <v>30000</v>
      </c>
      <c r="AQ33" s="39" t="n">
        <v>30000</v>
      </c>
      <c r="AR33" s="39" t="n">
        <v>0</v>
      </c>
      <c r="AS33" t="n">
        <v>0</v>
      </c>
      <c r="AT33" t="inlineStr">
        <is>
          <t>Crédito Hipotecario</t>
        </is>
      </c>
      <c r="AU33" t="inlineStr">
        <is>
          <t>Scotiabank Perú</t>
        </is>
      </c>
      <c r="AV33" t="inlineStr">
        <is>
          <t>000-2768484</t>
        </is>
      </c>
      <c r="AW33" t="inlineStr">
        <is>
          <t>DEPOSITO EN CUENTA</t>
        </is>
      </c>
      <c r="AX33" t="inlineStr">
        <is>
          <t>15764694</t>
        </is>
      </c>
      <c r="AY33" t="inlineStr">
        <is>
          <t>05000010069</t>
        </is>
      </c>
      <c r="AZ33" t="inlineStr">
        <is>
          <t>No</t>
        </is>
      </c>
      <c r="BA33" t="inlineStr">
        <is>
          <t>NO PRECISA</t>
        </is>
      </c>
      <c r="BB33" t="n">
        <v>1</v>
      </c>
      <c r="BC33" t="inlineStr">
        <is>
          <t>CANCELADO</t>
        </is>
      </c>
      <c r="BN33" t="inlineStr">
        <is>
          <t>Si</t>
        </is>
      </c>
      <c r="BO33" s="117" t="n">
        <v>45619.38611111111</v>
      </c>
      <c r="BP33" t="inlineStr">
        <is>
          <t>Carla Michue M</t>
        </is>
      </c>
      <c r="BR33" t="n">
        <v>1</v>
      </c>
      <c r="BS33" t="inlineStr">
        <is>
          <t>29/05/2026 12:20</t>
        </is>
      </c>
      <c r="BT33" t="n">
        <v>0</v>
      </c>
      <c r="BX33" t="inlineStr">
        <is>
          <t>Cobranzas_2024.csv</t>
        </is>
      </c>
      <c r="BY33" t="n">
        <v>2024</v>
      </c>
      <c r="BZ33" t="inlineStr">
        <is>
          <t>01/01/2024</t>
        </is>
      </c>
      <c r="CA33" t="inlineStr">
        <is>
          <t>30/09/2031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39" t="n">
        <v>654000</v>
      </c>
      <c r="H34" s="39" t="n">
        <v>654000</v>
      </c>
      <c r="M34" s="39" t="n"/>
      <c r="N34" s="39" t="n"/>
      <c r="S34" s="39" t="n"/>
      <c r="T34" s="39" t="n"/>
      <c r="Y34" s="39" t="n"/>
      <c r="Z34" s="39" t="n"/>
      <c r="AA34" t="inlineStr">
        <is>
          <t>Liliana Lucila Luciano Claros</t>
        </is>
      </c>
      <c r="AB34" t="inlineStr">
        <is>
          <t>15764694</t>
        </is>
      </c>
      <c r="AC34" t="inlineStr">
        <is>
          <t xml:space="preserve">MZ M5 – Lt. 7 urb. Paseo del Mar </t>
        </is>
      </c>
      <c r="AE34" t="inlineStr">
        <is>
          <t>982406857</t>
        </is>
      </c>
      <c r="AF34" t="inlineStr">
        <is>
          <t>liliana31_micaela@hotmail.com</t>
        </is>
      </c>
      <c r="AG34" t="inlineStr">
        <is>
          <t>SANTA</t>
        </is>
      </c>
      <c r="AH34" t="inlineStr">
        <is>
          <t>NUEVO CHIMBOTE</t>
        </is>
      </c>
      <c r="AI34" s="116" t="n">
        <v>45657</v>
      </c>
      <c r="AJ34" s="116" t="n">
        <v>45723</v>
      </c>
      <c r="AK34" t="inlineStr">
        <is>
          <t>SALDO FINANCIAR</t>
        </is>
      </c>
      <c r="AL34" t="n">
        <v>4</v>
      </c>
      <c r="AM34" t="n">
        <v>523200</v>
      </c>
      <c r="AN34" t="n">
        <v>0</v>
      </c>
      <c r="AO34" t="n">
        <v>0</v>
      </c>
      <c r="AP34" s="39" t="n">
        <v>523200</v>
      </c>
      <c r="AQ34" s="39" t="n">
        <v>523200</v>
      </c>
      <c r="AR34" s="39" t="n">
        <v>0</v>
      </c>
      <c r="AS34" t="n">
        <v>0</v>
      </c>
      <c r="AT34" t="inlineStr">
        <is>
          <t>Crédito Hipotecario</t>
        </is>
      </c>
      <c r="AU34" t="inlineStr">
        <is>
          <t>Scotiabank Perú</t>
        </is>
      </c>
      <c r="AV34" t="inlineStr">
        <is>
          <t>000-2768484</t>
        </is>
      </c>
      <c r="AW34" t="inlineStr">
        <is>
          <t>TRANSFERENCIA BANCARIA</t>
        </is>
      </c>
      <c r="AY34" t="inlineStr">
        <is>
          <t>07032025</t>
        </is>
      </c>
      <c r="AZ34" t="inlineStr">
        <is>
          <t>Si</t>
        </is>
      </c>
      <c r="BB34" t="n">
        <v>4</v>
      </c>
      <c r="BC34" t="inlineStr">
        <is>
          <t>CANCELADO</t>
        </is>
      </c>
      <c r="BN34" t="inlineStr">
        <is>
          <t>Si</t>
        </is>
      </c>
      <c r="BO34" s="117" t="n">
        <v>45619.38611111111</v>
      </c>
      <c r="BP34" t="inlineStr">
        <is>
          <t>Carla Michue M</t>
        </is>
      </c>
      <c r="BR34" t="n">
        <v>1</v>
      </c>
      <c r="BS34" t="inlineStr">
        <is>
          <t>07/07/2026 09:31</t>
        </is>
      </c>
      <c r="BT34" t="n">
        <v>0</v>
      </c>
      <c r="BX34" t="inlineStr">
        <is>
          <t>Cobranzas_2024.csv</t>
        </is>
      </c>
      <c r="BY34" t="n">
        <v>2024</v>
      </c>
      <c r="BZ34" t="inlineStr">
        <is>
          <t>01/01/2024</t>
        </is>
      </c>
      <c r="CA34" t="inlineStr">
        <is>
          <t>30/09/2031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603</t>
        </is>
      </c>
      <c r="G35" s="39" t="n">
        <v>654000</v>
      </c>
      <c r="H35" s="39" t="n">
        <v>654000</v>
      </c>
      <c r="M35" s="39" t="n"/>
      <c r="N35" s="39" t="n"/>
      <c r="S35" s="39" t="n"/>
      <c r="T35" s="39" t="n"/>
      <c r="Y35" s="39" t="n"/>
      <c r="Z35" s="39" t="n"/>
      <c r="AA35" t="inlineStr">
        <is>
          <t>Luis Alberto Ovalle Huamanguilla</t>
        </is>
      </c>
      <c r="AB35" t="inlineStr">
        <is>
          <t>43953371</t>
        </is>
      </c>
      <c r="AC35" t="inlineStr">
        <is>
          <t>JR. NAPO NRO. 821</t>
        </is>
      </c>
      <c r="AE35" t="inlineStr">
        <is>
          <t>992764943</t>
        </is>
      </c>
      <c r="AF35" t="inlineStr">
        <is>
          <t>aovalle2212@gmail.com</t>
        </is>
      </c>
      <c r="AG35" t="inlineStr">
        <is>
          <t>LIMA</t>
        </is>
      </c>
      <c r="AH35" t="inlineStr">
        <is>
          <t>BREÑA</t>
        </is>
      </c>
      <c r="AI35" s="116" t="n">
        <v>45477</v>
      </c>
      <c r="AJ35" s="116" t="n">
        <v>45477</v>
      </c>
      <c r="AK35" t="inlineStr">
        <is>
          <t>SEPARACION</t>
        </is>
      </c>
      <c r="AL35" t="n">
        <v>1</v>
      </c>
      <c r="AM35" t="n">
        <v>3000</v>
      </c>
      <c r="AN35" t="n">
        <v>0</v>
      </c>
      <c r="AO35" t="n">
        <v>0</v>
      </c>
      <c r="AP35" s="39" t="n">
        <v>3000</v>
      </c>
      <c r="AQ35" s="39" t="n">
        <v>3000</v>
      </c>
      <c r="AR35" s="39" t="n">
        <v>0</v>
      </c>
      <c r="AS35" t="n">
        <v>0</v>
      </c>
      <c r="AT35" t="inlineStr">
        <is>
          <t>Ahorro</t>
        </is>
      </c>
      <c r="AU35" t="inlineStr">
        <is>
          <t>Scotiabank Perú</t>
        </is>
      </c>
      <c r="AV35" t="inlineStr">
        <is>
          <t>000-2768484</t>
        </is>
      </c>
      <c r="AW35" t="inlineStr">
        <is>
          <t>TRANSFERENCIA BANCARIA</t>
        </is>
      </c>
      <c r="AY35" t="inlineStr">
        <is>
          <t>901866</t>
        </is>
      </c>
      <c r="AZ35" t="inlineStr">
        <is>
          <t>No</t>
        </is>
      </c>
      <c r="BB35" t="n">
        <v>4</v>
      </c>
      <c r="BC35" t="inlineStr">
        <is>
          <t>CANCELADO</t>
        </is>
      </c>
      <c r="BN35" t="inlineStr">
        <is>
          <t>Si</t>
        </is>
      </c>
      <c r="BO35" s="117" t="n">
        <v>45567.69444444445</v>
      </c>
      <c r="BP35" t="inlineStr">
        <is>
          <t>Carla Michue M</t>
        </is>
      </c>
      <c r="BR35" t="n">
        <v>11</v>
      </c>
      <c r="BS35" t="inlineStr">
        <is>
          <t>07/07/2026 10:58</t>
        </is>
      </c>
      <c r="BT35" t="n">
        <v>0</v>
      </c>
      <c r="BX35" t="inlineStr">
        <is>
          <t>Cobranzas_2024.csv</t>
        </is>
      </c>
      <c r="BY35" t="n">
        <v>2024</v>
      </c>
      <c r="BZ35" t="inlineStr">
        <is>
          <t>01/01/2024</t>
        </is>
      </c>
      <c r="CA35" t="inlineStr">
        <is>
          <t>30/09/2031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39" t="n">
        <v>654000</v>
      </c>
      <c r="H36" s="39" t="n">
        <v>654000</v>
      </c>
      <c r="M36" s="39" t="n"/>
      <c r="N36" s="39" t="n"/>
      <c r="S36" s="39" t="n"/>
      <c r="T36" s="39" t="n"/>
      <c r="Y36" s="39" t="n"/>
      <c r="Z36" s="39" t="n"/>
      <c r="AA36" t="inlineStr">
        <is>
          <t>Luis Alberto Ovalle Huamanguilla</t>
        </is>
      </c>
      <c r="AB36" t="inlineStr">
        <is>
          <t>43953371</t>
        </is>
      </c>
      <c r="AC36" t="inlineStr">
        <is>
          <t>JR. NAPO NRO. 821</t>
        </is>
      </c>
      <c r="AE36" t="inlineStr">
        <is>
          <t>992764943</t>
        </is>
      </c>
      <c r="AF36" t="inlineStr">
        <is>
          <t>aovalle2212@gmail.com</t>
        </is>
      </c>
      <c r="AG36" t="inlineStr">
        <is>
          <t>LIMA</t>
        </is>
      </c>
      <c r="AH36" t="inlineStr">
        <is>
          <t>BREÑA</t>
        </is>
      </c>
      <c r="AI36" s="116" t="n">
        <v>45656</v>
      </c>
      <c r="AJ36" s="116" t="n">
        <v>45567</v>
      </c>
      <c r="AK36" t="inlineStr">
        <is>
          <t>SEPARACION</t>
        </is>
      </c>
      <c r="AL36" t="n">
        <v>5</v>
      </c>
      <c r="AM36" t="n">
        <v>5000</v>
      </c>
      <c r="AN36" t="n">
        <v>0</v>
      </c>
      <c r="AO36" t="n">
        <v>0</v>
      </c>
      <c r="AP36" s="39" t="n">
        <v>5000</v>
      </c>
      <c r="AQ36" s="39" t="n">
        <v>5000</v>
      </c>
      <c r="AR36" s="39" t="n">
        <v>0</v>
      </c>
      <c r="AS36" t="n">
        <v>0</v>
      </c>
      <c r="AT36" t="inlineStr">
        <is>
          <t>Ahorro</t>
        </is>
      </c>
      <c r="AU36" t="inlineStr">
        <is>
          <t>Scotiabank Perú</t>
        </is>
      </c>
      <c r="AV36" t="inlineStr">
        <is>
          <t>000-2768484</t>
        </is>
      </c>
      <c r="AW36" t="inlineStr">
        <is>
          <t>TRANSFERENCIA BANCARIA</t>
        </is>
      </c>
      <c r="AY36" t="inlineStr">
        <is>
          <t>06056215</t>
        </is>
      </c>
      <c r="AZ36" t="inlineStr">
        <is>
          <t>No</t>
        </is>
      </c>
      <c r="BB36" t="n">
        <v>4</v>
      </c>
      <c r="BC36" t="inlineStr">
        <is>
          <t>CANCELADO</t>
        </is>
      </c>
      <c r="BN36" t="inlineStr">
        <is>
          <t>Si</t>
        </is>
      </c>
      <c r="BO36" s="117" t="n">
        <v>45567.69444444445</v>
      </c>
      <c r="BP36" t="inlineStr">
        <is>
          <t>Carla Michue M</t>
        </is>
      </c>
      <c r="BR36" t="n">
        <v>11</v>
      </c>
      <c r="BS36" t="inlineStr">
        <is>
          <t>07/07/2026 11:03</t>
        </is>
      </c>
      <c r="BT36" t="n">
        <v>0</v>
      </c>
      <c r="BX36" t="inlineStr">
        <is>
          <t>Cobranzas_2024.csv</t>
        </is>
      </c>
      <c r="BY36" t="n">
        <v>2024</v>
      </c>
      <c r="BZ36" t="inlineStr">
        <is>
          <t>01/01/2024</t>
        </is>
      </c>
      <c r="CA36" t="inlineStr">
        <is>
          <t>30/09/2031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39" t="n">
        <v>654000</v>
      </c>
      <c r="H37" s="39" t="n">
        <v>654000</v>
      </c>
      <c r="M37" s="39" t="n"/>
      <c r="N37" s="39" t="n"/>
      <c r="S37" s="39" t="n"/>
      <c r="T37" s="39" t="n"/>
      <c r="Y37" s="39" t="n"/>
      <c r="Z37" s="39" t="n"/>
      <c r="AA37" t="inlineStr">
        <is>
          <t>Luis Alberto Ovalle Huamanguilla</t>
        </is>
      </c>
      <c r="AB37" t="inlineStr">
        <is>
          <t>43953371</t>
        </is>
      </c>
      <c r="AC37" t="inlineStr">
        <is>
          <t>JR. NAPO NRO. 821</t>
        </is>
      </c>
      <c r="AE37" t="inlineStr">
        <is>
          <t>992764943</t>
        </is>
      </c>
      <c r="AF37" t="inlineStr">
        <is>
          <t>aovalle2212@gmail.com</t>
        </is>
      </c>
      <c r="AG37" t="inlineStr">
        <is>
          <t>LIMA</t>
        </is>
      </c>
      <c r="AH37" t="inlineStr">
        <is>
          <t>BREÑA</t>
        </is>
      </c>
      <c r="AI37" s="116" t="n">
        <v>45656</v>
      </c>
      <c r="AJ37" s="116" t="n">
        <v>45567</v>
      </c>
      <c r="AK37" t="inlineStr">
        <is>
          <t>CUOTA INICIAL</t>
        </is>
      </c>
      <c r="AL37" t="n">
        <v>1</v>
      </c>
      <c r="AM37" t="n">
        <v>57400</v>
      </c>
      <c r="AN37" t="n">
        <v>0</v>
      </c>
      <c r="AO37" t="n">
        <v>0</v>
      </c>
      <c r="AP37" s="39" t="n">
        <v>57400</v>
      </c>
      <c r="AQ37" s="39" t="n">
        <v>20000</v>
      </c>
      <c r="AR37" s="39" t="n">
        <v>0</v>
      </c>
      <c r="AS37" t="n">
        <v>0</v>
      </c>
      <c r="AT37" t="inlineStr">
        <is>
          <t>Ahorro</t>
        </is>
      </c>
      <c r="AU37" t="inlineStr">
        <is>
          <t>Scotiabank Perú</t>
        </is>
      </c>
      <c r="AV37" t="inlineStr">
        <is>
          <t>000-2768484</t>
        </is>
      </c>
      <c r="AW37" t="inlineStr">
        <is>
          <t>TRANSFERENCIA BANCARIA</t>
        </is>
      </c>
      <c r="AY37" t="inlineStr">
        <is>
          <t>06056215</t>
        </is>
      </c>
      <c r="AZ37" t="inlineStr">
        <is>
          <t>No</t>
        </is>
      </c>
      <c r="BB37" t="n">
        <v>4</v>
      </c>
      <c r="BC37" t="inlineStr">
        <is>
          <t>CANCELADO</t>
        </is>
      </c>
      <c r="BN37" t="inlineStr">
        <is>
          <t>Si</t>
        </is>
      </c>
      <c r="BO37" s="117" t="n">
        <v>45567.69444444445</v>
      </c>
      <c r="BP37" t="inlineStr">
        <is>
          <t>Carla Michue M</t>
        </is>
      </c>
      <c r="BR37" t="n">
        <v>11</v>
      </c>
      <c r="BS37" t="inlineStr">
        <is>
          <t>07/07/2026 11:03</t>
        </is>
      </c>
      <c r="BT37" t="n">
        <v>0</v>
      </c>
      <c r="BX37" t="inlineStr">
        <is>
          <t>Cobranzas_2024.csv</t>
        </is>
      </c>
      <c r="BY37" t="n">
        <v>2024</v>
      </c>
      <c r="BZ37" t="inlineStr">
        <is>
          <t>01/01/2024</t>
        </is>
      </c>
      <c r="CA37" t="inlineStr">
        <is>
          <t>30/09/2031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39" t="n">
        <v>654000</v>
      </c>
      <c r="H38" s="39" t="n">
        <v>654000</v>
      </c>
      <c r="M38" s="39" t="n"/>
      <c r="N38" s="39" t="n"/>
      <c r="S38" s="39" t="n"/>
      <c r="T38" s="39" t="n"/>
      <c r="Y38" s="39" t="n"/>
      <c r="Z38" s="39" t="n"/>
      <c r="AA38" t="inlineStr">
        <is>
          <t>Luis Alberto Ovalle Huamanguilla</t>
        </is>
      </c>
      <c r="AB38" t="inlineStr">
        <is>
          <t>43953371</t>
        </is>
      </c>
      <c r="AC38" t="inlineStr">
        <is>
          <t>JR. NAPO NRO. 821</t>
        </is>
      </c>
      <c r="AE38" t="inlineStr">
        <is>
          <t>992764943</t>
        </is>
      </c>
      <c r="AF38" t="inlineStr">
        <is>
          <t>aovalle2212@gmail.com</t>
        </is>
      </c>
      <c r="AG38" t="inlineStr">
        <is>
          <t>LIMA</t>
        </is>
      </c>
      <c r="AH38" t="inlineStr">
        <is>
          <t>BREÑA</t>
        </is>
      </c>
      <c r="AI38" s="116" t="n">
        <v>45656</v>
      </c>
      <c r="AJ38" s="116" t="n">
        <v>45723</v>
      </c>
      <c r="AK38" t="inlineStr">
        <is>
          <t>CUOTA INICIAL</t>
        </is>
      </c>
      <c r="AL38" t="n">
        <v>1</v>
      </c>
      <c r="AM38" t="n">
        <v>0</v>
      </c>
      <c r="AN38" t="n">
        <v>0</v>
      </c>
      <c r="AO38" t="n">
        <v>0</v>
      </c>
      <c r="AP38" s="39" t="n">
        <v>0</v>
      </c>
      <c r="AQ38" s="39" t="n">
        <v>37400</v>
      </c>
      <c r="AR38" s="39" t="n">
        <v>0</v>
      </c>
      <c r="AS38" t="n">
        <v>0</v>
      </c>
      <c r="AT38" t="inlineStr">
        <is>
          <t>Ahorro</t>
        </is>
      </c>
      <c r="AU38" t="inlineStr">
        <is>
          <t>Scotiabank Perú</t>
        </is>
      </c>
      <c r="AV38" t="inlineStr">
        <is>
          <t>000-2768484</t>
        </is>
      </c>
      <c r="AW38" t="inlineStr">
        <is>
          <t>TRANSFERENCIA BANCARIA</t>
        </is>
      </c>
      <c r="AY38" t="inlineStr">
        <is>
          <t>U26926</t>
        </is>
      </c>
      <c r="AZ38" t="inlineStr">
        <is>
          <t>No</t>
        </is>
      </c>
      <c r="BB38" t="n">
        <v>4</v>
      </c>
      <c r="BC38" t="inlineStr">
        <is>
          <t>CANCELADO</t>
        </is>
      </c>
      <c r="BN38" t="inlineStr">
        <is>
          <t>Si</t>
        </is>
      </c>
      <c r="BO38" s="117" t="n">
        <v>45567.69444444445</v>
      </c>
      <c r="BP38" t="inlineStr">
        <is>
          <t>Carla Michue M</t>
        </is>
      </c>
      <c r="BR38" t="n">
        <v>11</v>
      </c>
      <c r="BS38" t="inlineStr">
        <is>
          <t>07/07/2026 11:04</t>
        </is>
      </c>
      <c r="BT38" t="n">
        <v>0</v>
      </c>
      <c r="BX38" t="inlineStr">
        <is>
          <t>Cobranzas_2024.csv</t>
        </is>
      </c>
      <c r="BY38" t="n">
        <v>2024</v>
      </c>
      <c r="BZ38" t="inlineStr">
        <is>
          <t>01/01/2024</t>
        </is>
      </c>
      <c r="CA38" t="inlineStr">
        <is>
          <t>30/09/2031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103</t>
        </is>
      </c>
      <c r="G39" s="39" t="n">
        <v>520400</v>
      </c>
      <c r="H39" s="39" t="n">
        <v>520400</v>
      </c>
      <c r="M39" s="39" t="n"/>
      <c r="N39" s="39" t="n"/>
      <c r="S39" s="39" t="n"/>
      <c r="T39" s="39" t="n"/>
      <c r="Y39" s="39" t="n"/>
      <c r="Z39" s="39" t="n"/>
      <c r="AA39" t="inlineStr">
        <is>
          <t>Luis Eduardo Herrera Arrasco</t>
        </is>
      </c>
      <c r="AB39" t="inlineStr">
        <is>
          <t xml:space="preserve">70656236		</t>
        </is>
      </c>
      <c r="AC39" t="inlineStr">
        <is>
          <t xml:space="preserve">Podesta Pescheira 273 - Pueblo Libre		</t>
        </is>
      </c>
      <c r="AE39" t="inlineStr">
        <is>
          <t xml:space="preserve">987782194		</t>
        </is>
      </c>
      <c r="AF39" t="inlineStr">
        <is>
          <t xml:space="preserve">luisherrarra19@gmail.com		</t>
        </is>
      </c>
      <c r="AI39" s="116" t="n">
        <v>45578</v>
      </c>
      <c r="AJ39" s="116" t="n">
        <v>45578</v>
      </c>
      <c r="AK39" t="inlineStr">
        <is>
          <t>SEPARACION</t>
        </is>
      </c>
      <c r="AL39" t="n">
        <v>1</v>
      </c>
      <c r="AM39" t="n">
        <v>3000</v>
      </c>
      <c r="AN39" t="n">
        <v>0</v>
      </c>
      <c r="AO39" t="n">
        <v>0</v>
      </c>
      <c r="AP39" s="39" t="n">
        <v>3000</v>
      </c>
      <c r="AQ39" s="39" t="n">
        <v>3000</v>
      </c>
      <c r="AR39" s="39" t="n">
        <v>0</v>
      </c>
      <c r="AS39" t="n">
        <v>0</v>
      </c>
      <c r="AT39" t="inlineStr">
        <is>
          <t>Crédito Hipotecario</t>
        </is>
      </c>
      <c r="AU39" t="inlineStr">
        <is>
          <t>Scotiabank Perú</t>
        </is>
      </c>
      <c r="AV39" t="inlineStr">
        <is>
          <t>000-2768484</t>
        </is>
      </c>
      <c r="AW39" t="inlineStr">
        <is>
          <t>TRANSFERENCIA BANCARIA</t>
        </is>
      </c>
      <c r="AY39" t="inlineStr">
        <is>
          <t>01871075</t>
        </is>
      </c>
      <c r="AZ39" t="inlineStr">
        <is>
          <t>No</t>
        </is>
      </c>
      <c r="BB39" t="n">
        <v>4</v>
      </c>
      <c r="BC39" t="inlineStr">
        <is>
          <t>CANCELADO</t>
        </is>
      </c>
      <c r="BN39" t="inlineStr">
        <is>
          <t>Si</t>
        </is>
      </c>
      <c r="BO39" s="117" t="n">
        <v>45663.58819444444</v>
      </c>
      <c r="BP39" t="inlineStr">
        <is>
          <t>Kenny Salazar S</t>
        </is>
      </c>
      <c r="BR39" t="n">
        <v>31</v>
      </c>
      <c r="BS39" t="inlineStr">
        <is>
          <t>26/06/2026 17:22</t>
        </is>
      </c>
      <c r="BT39" t="n">
        <v>0</v>
      </c>
      <c r="BX39" t="inlineStr">
        <is>
          <t>Cobranzas_2024.csv</t>
        </is>
      </c>
      <c r="BY39" t="n">
        <v>2024</v>
      </c>
      <c r="BZ39" t="inlineStr">
        <is>
          <t>01/01/2024</t>
        </is>
      </c>
      <c r="CA39" t="inlineStr">
        <is>
          <t>30/09/2031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39" t="n">
        <v>446900</v>
      </c>
      <c r="H40" s="39" t="n">
        <v>446900</v>
      </c>
      <c r="M40" s="39" t="n"/>
      <c r="N40" s="39" t="n"/>
      <c r="S40" s="39" t="n"/>
      <c r="T40" s="39" t="n"/>
      <c r="Y40" s="39" t="n"/>
      <c r="Z40" s="39" t="n"/>
      <c r="AA40" t="inlineStr">
        <is>
          <t>María Cristina Collazos Romero</t>
        </is>
      </c>
      <c r="AB40" t="inlineStr">
        <is>
          <t>31676885</t>
        </is>
      </c>
      <c r="AC40" t="inlineStr">
        <is>
          <t>Jr. Huandoy 242</t>
        </is>
      </c>
      <c r="AD40" t="n">
        <v>969870030</v>
      </c>
      <c r="AE40" t="inlineStr">
        <is>
          <t>969870030</t>
        </is>
      </c>
      <c r="AF40" t="inlineStr">
        <is>
          <t>gerenciasnacks1@gmail.com</t>
        </is>
      </c>
      <c r="AG40" t="inlineStr">
        <is>
          <t>HUARAZ</t>
        </is>
      </c>
      <c r="AH40" t="inlineStr">
        <is>
          <t>HUARAZ</t>
        </is>
      </c>
      <c r="AI40" s="116" t="n">
        <v>45526</v>
      </c>
      <c r="AJ40" s="116" t="n">
        <v>45526</v>
      </c>
      <c r="AK40" t="inlineStr">
        <is>
          <t>SEPARACION</t>
        </is>
      </c>
      <c r="AL40" t="n">
        <v>1</v>
      </c>
      <c r="AM40" t="n">
        <v>3000</v>
      </c>
      <c r="AN40" t="n">
        <v>0</v>
      </c>
      <c r="AO40" t="n">
        <v>0</v>
      </c>
      <c r="AP40" s="39" t="n">
        <v>3000</v>
      </c>
      <c r="AQ40" s="39" t="n">
        <v>3000</v>
      </c>
      <c r="AR40" s="39" t="n">
        <v>0</v>
      </c>
      <c r="AS40" t="n">
        <v>0</v>
      </c>
      <c r="AT40" t="inlineStr">
        <is>
          <t>Crédito Hipotecario</t>
        </is>
      </c>
      <c r="AU40" t="inlineStr">
        <is>
          <t>Scotiabank Perú</t>
        </is>
      </c>
      <c r="AV40" t="inlineStr">
        <is>
          <t>000-2768484</t>
        </is>
      </c>
      <c r="AW40" t="inlineStr">
        <is>
          <t>TRANSFERENCIA BANCARIA</t>
        </is>
      </c>
      <c r="AX40" t="inlineStr">
        <is>
          <t>31676885</t>
        </is>
      </c>
      <c r="AY40" t="inlineStr">
        <is>
          <t>0500010101</t>
        </is>
      </c>
      <c r="AZ40" t="inlineStr">
        <is>
          <t>No</t>
        </is>
      </c>
      <c r="BA40" t="inlineStr">
        <is>
          <t>NO PRECISA</t>
        </is>
      </c>
      <c r="BB40" t="n">
        <v>4</v>
      </c>
      <c r="BC40" t="inlineStr">
        <is>
          <t>CANCELADO</t>
        </is>
      </c>
      <c r="BN40" t="inlineStr">
        <is>
          <t>Si</t>
        </is>
      </c>
      <c r="BO40" s="117" t="n">
        <v>45911.60694444444</v>
      </c>
      <c r="BP40" t="inlineStr">
        <is>
          <t>Kenny Salazar S</t>
        </is>
      </c>
      <c r="BR40" t="n">
        <v>33</v>
      </c>
      <c r="BS40" t="inlineStr">
        <is>
          <t>02/06/2026 15:10</t>
        </is>
      </c>
      <c r="BT40" t="n">
        <v>0</v>
      </c>
      <c r="BX40" t="inlineStr">
        <is>
          <t>Cobranzas_2024.csv</t>
        </is>
      </c>
      <c r="BY40" t="n">
        <v>2024</v>
      </c>
      <c r="BZ40" t="inlineStr">
        <is>
          <t>01/01/2024</t>
        </is>
      </c>
      <c r="CA40" t="inlineStr">
        <is>
          <t>30/09/2031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39" t="n">
        <v>490000</v>
      </c>
      <c r="H41" s="39" t="n">
        <v>490000</v>
      </c>
      <c r="M41" s="39" t="n"/>
      <c r="N41" s="39" t="n"/>
      <c r="S41" s="39" t="n"/>
      <c r="T41" s="39" t="n"/>
      <c r="Y41" s="39" t="n"/>
      <c r="Z41" s="39" t="n"/>
      <c r="AA41" t="inlineStr">
        <is>
          <t xml:space="preserve">Marina Francisca Vasquez Samaniego </t>
        </is>
      </c>
      <c r="AB41" t="inlineStr">
        <is>
          <t>19907001</t>
        </is>
      </c>
      <c r="AC41" t="inlineStr">
        <is>
          <t>Huandoy 887</t>
        </is>
      </c>
      <c r="AD41" t="n">
        <v>964247615</v>
      </c>
      <c r="AE41" t="inlineStr">
        <is>
          <t>964247615</t>
        </is>
      </c>
      <c r="AF41" t="inlineStr">
        <is>
          <t>francisca4547@hotmail.com</t>
        </is>
      </c>
      <c r="AG41" t="inlineStr">
        <is>
          <t>LIMA</t>
        </is>
      </c>
      <c r="AH41" t="inlineStr">
        <is>
          <t>SAN MIGUEL</t>
        </is>
      </c>
      <c r="AI41" s="116" t="n">
        <v>45617</v>
      </c>
      <c r="AJ41" s="116" t="n">
        <v>45617</v>
      </c>
      <c r="AK41" t="inlineStr">
        <is>
          <t>SEPARACION</t>
        </is>
      </c>
      <c r="AL41" t="n">
        <v>1</v>
      </c>
      <c r="AM41" t="n">
        <v>3000</v>
      </c>
      <c r="AN41" t="n">
        <v>0</v>
      </c>
      <c r="AO41" t="n">
        <v>0</v>
      </c>
      <c r="AP41" s="39" t="n">
        <v>3000</v>
      </c>
      <c r="AQ41" s="39" t="n">
        <v>3000</v>
      </c>
      <c r="AR41" s="39" t="n">
        <v>0</v>
      </c>
      <c r="AS41" t="n">
        <v>0</v>
      </c>
      <c r="AT41" t="inlineStr">
        <is>
          <t>Crédito Hipotecario</t>
        </is>
      </c>
      <c r="AU41" t="inlineStr">
        <is>
          <t>Scotiabank Perú</t>
        </is>
      </c>
      <c r="AV41" t="inlineStr">
        <is>
          <t>000-2768484</t>
        </is>
      </c>
      <c r="AW41" t="inlineStr">
        <is>
          <t>TRANSFERENCIA BANCARIA</t>
        </is>
      </c>
      <c r="AX41" t="inlineStr">
        <is>
          <t>19907001</t>
        </is>
      </c>
      <c r="AY41" t="inlineStr">
        <is>
          <t>00951165</t>
        </is>
      </c>
      <c r="AZ41" t="inlineStr">
        <is>
          <t>No</t>
        </is>
      </c>
      <c r="BA41" t="inlineStr">
        <is>
          <t>NO PRECISA</t>
        </is>
      </c>
      <c r="BB41" t="n">
        <v>4</v>
      </c>
      <c r="BC41" t="inlineStr">
        <is>
          <t>CANCELADO</t>
        </is>
      </c>
      <c r="BN41" t="inlineStr">
        <is>
          <t>Si</t>
        </is>
      </c>
      <c r="BO41" s="117" t="n">
        <v>45652.61666666667</v>
      </c>
      <c r="BP41" t="inlineStr">
        <is>
          <t>Carla Michue M</t>
        </is>
      </c>
      <c r="BR41" t="n">
        <v>37</v>
      </c>
      <c r="BS41" t="inlineStr">
        <is>
          <t>02/06/2026 17:25</t>
        </is>
      </c>
      <c r="BT41" t="n">
        <v>0</v>
      </c>
      <c r="BX41" t="inlineStr">
        <is>
          <t>Cobranzas_2024.csv</t>
        </is>
      </c>
      <c r="BY41" t="n">
        <v>2024</v>
      </c>
      <c r="BZ41" t="inlineStr">
        <is>
          <t>01/01/2024</t>
        </is>
      </c>
      <c r="CA41" t="inlineStr">
        <is>
          <t>30/09/2031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39" t="n">
        <v>490000</v>
      </c>
      <c r="H42" s="39" t="n">
        <v>490000</v>
      </c>
      <c r="M42" s="39" t="n"/>
      <c r="N42" s="39" t="n"/>
      <c r="S42" s="39" t="n"/>
      <c r="T42" s="39" t="n"/>
      <c r="Y42" s="39" t="n"/>
      <c r="Z42" s="39" t="n"/>
      <c r="AA42" t="inlineStr">
        <is>
          <t xml:space="preserve">Marina Francisca Vasquez Samaniego </t>
        </is>
      </c>
      <c r="AB42" t="inlineStr">
        <is>
          <t>19907001</t>
        </is>
      </c>
      <c r="AC42" t="inlineStr">
        <is>
          <t>Huandoy 887</t>
        </is>
      </c>
      <c r="AD42" t="n">
        <v>964247615</v>
      </c>
      <c r="AE42" t="inlineStr">
        <is>
          <t>964247615</t>
        </is>
      </c>
      <c r="AF42" t="inlineStr">
        <is>
          <t>francisca4547@hotmail.com</t>
        </is>
      </c>
      <c r="AG42" t="inlineStr">
        <is>
          <t>LIMA</t>
        </is>
      </c>
      <c r="AH42" t="inlineStr">
        <is>
          <t>SAN MIGUEL</t>
        </is>
      </c>
      <c r="AI42" s="116" t="n">
        <v>45652</v>
      </c>
      <c r="AJ42" s="116" t="n">
        <v>45652</v>
      </c>
      <c r="AK42" t="inlineStr">
        <is>
          <t>CUOTA INICIAL</t>
        </is>
      </c>
      <c r="AL42" t="n">
        <v>1</v>
      </c>
      <c r="AM42" t="n">
        <v>20000</v>
      </c>
      <c r="AN42" t="n">
        <v>0</v>
      </c>
      <c r="AO42" t="n">
        <v>0</v>
      </c>
      <c r="AP42" s="39" t="n">
        <v>20000</v>
      </c>
      <c r="AQ42" s="39" t="n">
        <v>20000</v>
      </c>
      <c r="AR42" s="39" t="n">
        <v>0</v>
      </c>
      <c r="AS42" t="n">
        <v>0</v>
      </c>
      <c r="AT42" t="inlineStr">
        <is>
          <t>Crédito Hipotecario</t>
        </is>
      </c>
      <c r="AU42" t="inlineStr">
        <is>
          <t>Scotiabank Perú</t>
        </is>
      </c>
      <c r="AV42" t="inlineStr">
        <is>
          <t>000-2768484</t>
        </is>
      </c>
      <c r="AW42" t="inlineStr">
        <is>
          <t>TRANSFERENCIA BANCARIA</t>
        </is>
      </c>
      <c r="AY42" t="inlineStr">
        <is>
          <t>6204304</t>
        </is>
      </c>
      <c r="AZ42" t="inlineStr">
        <is>
          <t>No</t>
        </is>
      </c>
      <c r="BB42" t="n">
        <v>4</v>
      </c>
      <c r="BC42" t="inlineStr">
        <is>
          <t>CANCELADO</t>
        </is>
      </c>
      <c r="BN42" t="inlineStr">
        <is>
          <t>Si</t>
        </is>
      </c>
      <c r="BO42" s="117" t="n">
        <v>45652.61666666667</v>
      </c>
      <c r="BP42" t="inlineStr">
        <is>
          <t>Carla Michue M</t>
        </is>
      </c>
      <c r="BR42" t="n">
        <v>37</v>
      </c>
      <c r="BS42" t="inlineStr">
        <is>
          <t>07/07/2026 10:35</t>
        </is>
      </c>
      <c r="BT42" t="n">
        <v>0</v>
      </c>
      <c r="BX42" t="inlineStr">
        <is>
          <t>Cobranzas_2024.csv</t>
        </is>
      </c>
      <c r="BY42" t="n">
        <v>2024</v>
      </c>
      <c r="BZ42" t="inlineStr">
        <is>
          <t>01/01/2024</t>
        </is>
      </c>
      <c r="CA42" t="inlineStr">
        <is>
          <t>30/09/2031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39" t="n">
        <v>592500</v>
      </c>
      <c r="H43" s="39" t="n">
        <v>592500</v>
      </c>
      <c r="M43" s="39" t="n"/>
      <c r="N43" s="39" t="n"/>
      <c r="S43" s="39" t="n"/>
      <c r="T43" s="39" t="n"/>
      <c r="Y43" s="39" t="n"/>
      <c r="Z43" s="39" t="n"/>
      <c r="AA43" t="inlineStr">
        <is>
          <t>Richard Humberto Lima Garcia</t>
        </is>
      </c>
      <c r="AB43" t="inlineStr">
        <is>
          <t>10606793</t>
        </is>
      </c>
      <c r="AC43" t="inlineStr">
        <is>
          <t>Mz E2 lote 10 Urb Coovitiomar - Ancón</t>
        </is>
      </c>
      <c r="AE43" t="inlineStr">
        <is>
          <t>940170759</t>
        </is>
      </c>
      <c r="AF43" t="inlineStr">
        <is>
          <t>richard_13_312@hotmail.com</t>
        </is>
      </c>
      <c r="AG43" t="inlineStr">
        <is>
          <t>LIMA</t>
        </is>
      </c>
      <c r="AH43" t="inlineStr">
        <is>
          <t>SANTA ROSA</t>
        </is>
      </c>
      <c r="AI43" s="116" t="n">
        <v>45593</v>
      </c>
      <c r="AJ43" s="116" t="n">
        <v>45593</v>
      </c>
      <c r="AK43" t="inlineStr">
        <is>
          <t>SEPARACION</t>
        </is>
      </c>
      <c r="AL43" t="n">
        <v>1</v>
      </c>
      <c r="AM43" t="n">
        <v>3000</v>
      </c>
      <c r="AN43" t="n">
        <v>0</v>
      </c>
      <c r="AO43" t="n">
        <v>0</v>
      </c>
      <c r="AP43" s="39" t="n">
        <v>3000</v>
      </c>
      <c r="AQ43" s="39" t="n">
        <v>3000</v>
      </c>
      <c r="AR43" s="39" t="n">
        <v>0</v>
      </c>
      <c r="AS43" t="n">
        <v>0</v>
      </c>
      <c r="AT43" t="inlineStr">
        <is>
          <t>Crédito Hipotecario</t>
        </is>
      </c>
      <c r="AU43" t="inlineStr">
        <is>
          <t>Scotiabank Perú</t>
        </is>
      </c>
      <c r="AV43" t="inlineStr">
        <is>
          <t>000-2768484</t>
        </is>
      </c>
      <c r="AW43" t="inlineStr">
        <is>
          <t>TRANSFERENCIA BANCARIA</t>
        </is>
      </c>
      <c r="AX43" t="inlineStr">
        <is>
          <t>10606793</t>
        </is>
      </c>
      <c r="AY43" t="inlineStr">
        <is>
          <t>01525977</t>
        </is>
      </c>
      <c r="AZ43" t="inlineStr">
        <is>
          <t>No</t>
        </is>
      </c>
      <c r="BA43" t="inlineStr">
        <is>
          <t>NO PRECISA</t>
        </is>
      </c>
      <c r="BB43" t="n">
        <v>1</v>
      </c>
      <c r="BC43" t="inlineStr">
        <is>
          <t>CANCELADO</t>
        </is>
      </c>
      <c r="BN43" t="inlineStr">
        <is>
          <t>Si</t>
        </is>
      </c>
      <c r="BO43" s="117" t="n">
        <v>45638.38819444444</v>
      </c>
      <c r="BP43" t="inlineStr">
        <is>
          <t>Carla Michue M</t>
        </is>
      </c>
      <c r="BR43" t="n">
        <v>3</v>
      </c>
      <c r="BS43" t="inlineStr">
        <is>
          <t>29/05/2026 12:21</t>
        </is>
      </c>
      <c r="BT43" t="n">
        <v>0</v>
      </c>
      <c r="BX43" t="inlineStr">
        <is>
          <t>Cobranzas_2024.csv</t>
        </is>
      </c>
      <c r="BY43" t="n">
        <v>2024</v>
      </c>
      <c r="BZ43" t="inlineStr">
        <is>
          <t>01/01/2024</t>
        </is>
      </c>
      <c r="CA43" t="inlineStr">
        <is>
          <t>30/09/2031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39" t="n">
        <v>592500</v>
      </c>
      <c r="H44" s="39" t="n">
        <v>592500</v>
      </c>
      <c r="M44" s="39" t="n"/>
      <c r="N44" s="39" t="n"/>
      <c r="S44" s="39" t="n"/>
      <c r="T44" s="39" t="n"/>
      <c r="Y44" s="39" t="n"/>
      <c r="Z44" s="39" t="n"/>
      <c r="AA44" t="inlineStr">
        <is>
          <t>Richard Humberto Lima Garcia</t>
        </is>
      </c>
      <c r="AB44" t="inlineStr">
        <is>
          <t>10606793</t>
        </is>
      </c>
      <c r="AC44" t="inlineStr">
        <is>
          <t>Mz E2 lote 10 Urb Coovitiomar - Ancón</t>
        </is>
      </c>
      <c r="AE44" t="inlineStr">
        <is>
          <t>940170759</t>
        </is>
      </c>
      <c r="AF44" t="inlineStr">
        <is>
          <t>richard_13_312@hotmail.com</t>
        </is>
      </c>
      <c r="AG44" t="inlineStr">
        <is>
          <t>LIMA</t>
        </is>
      </c>
      <c r="AH44" t="inlineStr">
        <is>
          <t>SANTA ROSA</t>
        </is>
      </c>
      <c r="AI44" s="116" t="n">
        <v>45618</v>
      </c>
      <c r="AJ44" s="116" t="n">
        <v>45618</v>
      </c>
      <c r="AK44" t="inlineStr">
        <is>
          <t>CUOTA INICIAL</t>
        </is>
      </c>
      <c r="AL44" t="n">
        <v>2</v>
      </c>
      <c r="AM44" t="n">
        <v>48000</v>
      </c>
      <c r="AN44" t="n">
        <v>0</v>
      </c>
      <c r="AO44" t="n">
        <v>0</v>
      </c>
      <c r="AP44" s="39" t="n">
        <v>48000</v>
      </c>
      <c r="AQ44" s="39" t="n">
        <v>48000</v>
      </c>
      <c r="AR44" s="39" t="n">
        <v>0</v>
      </c>
      <c r="AS44" t="n">
        <v>0</v>
      </c>
      <c r="AT44" t="inlineStr">
        <is>
          <t>Crédito Hipotecario</t>
        </is>
      </c>
      <c r="AU44" t="inlineStr">
        <is>
          <t>Scotiabank Perú</t>
        </is>
      </c>
      <c r="AV44" t="inlineStr">
        <is>
          <t>000-2768484</t>
        </is>
      </c>
      <c r="AW44" t="inlineStr">
        <is>
          <t>TRANSFERENCIA BANCARIA</t>
        </is>
      </c>
      <c r="AY44" t="inlineStr">
        <is>
          <t>0144739</t>
        </is>
      </c>
      <c r="AZ44" t="inlineStr">
        <is>
          <t>No</t>
        </is>
      </c>
      <c r="BB44" t="n">
        <v>4</v>
      </c>
      <c r="BC44" t="inlineStr">
        <is>
          <t>CANCELADO</t>
        </is>
      </c>
      <c r="BN44" t="inlineStr">
        <is>
          <t>Si</t>
        </is>
      </c>
      <c r="BO44" s="117" t="n">
        <v>45638.38819444444</v>
      </c>
      <c r="BP44" t="inlineStr">
        <is>
          <t>Carla Michue M</t>
        </is>
      </c>
      <c r="BR44" t="n">
        <v>3</v>
      </c>
      <c r="BS44" t="inlineStr">
        <is>
          <t>14/07/2026 09:05</t>
        </is>
      </c>
      <c r="BT44" t="n">
        <v>0</v>
      </c>
      <c r="BX44" t="inlineStr">
        <is>
          <t>Cobranzas_2024.csv</t>
        </is>
      </c>
      <c r="BY44" t="n">
        <v>2024</v>
      </c>
      <c r="BZ44" t="inlineStr">
        <is>
          <t>01/01/2024</t>
        </is>
      </c>
      <c r="CA44" t="inlineStr">
        <is>
          <t>30/09/2031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39" t="n">
        <v>592500</v>
      </c>
      <c r="H45" s="39" t="n">
        <v>592500</v>
      </c>
      <c r="M45" s="39" t="n"/>
      <c r="N45" s="39" t="n"/>
      <c r="S45" s="39" t="n"/>
      <c r="T45" s="39" t="n"/>
      <c r="Y45" s="39" t="n"/>
      <c r="Z45" s="39" t="n"/>
      <c r="AA45" t="inlineStr">
        <is>
          <t>Richard Humberto Lima Garcia</t>
        </is>
      </c>
      <c r="AB45" t="inlineStr">
        <is>
          <t>10606793</t>
        </is>
      </c>
      <c r="AC45" t="inlineStr">
        <is>
          <t>Mz E2 lote 10 Urb Coovitiomar - Ancón</t>
        </is>
      </c>
      <c r="AE45" t="inlineStr">
        <is>
          <t>940170759</t>
        </is>
      </c>
      <c r="AF45" t="inlineStr">
        <is>
          <t>richard_13_312@hotmail.com</t>
        </is>
      </c>
      <c r="AG45" t="inlineStr">
        <is>
          <t>LIMA</t>
        </is>
      </c>
      <c r="AH45" t="inlineStr">
        <is>
          <t>SANTA ROSA</t>
        </is>
      </c>
      <c r="AI45" s="116" t="n">
        <v>45638</v>
      </c>
      <c r="AJ45" s="116" t="n">
        <v>45638</v>
      </c>
      <c r="AK45" t="inlineStr">
        <is>
          <t>CUOTA INICIAL</t>
        </is>
      </c>
      <c r="AL45" t="n">
        <v>3</v>
      </c>
      <c r="AM45" t="n">
        <v>8250</v>
      </c>
      <c r="AN45" t="n">
        <v>0</v>
      </c>
      <c r="AO45" t="n">
        <v>0</v>
      </c>
      <c r="AP45" s="39" t="n">
        <v>8250</v>
      </c>
      <c r="AQ45" s="39" t="n">
        <v>8250</v>
      </c>
      <c r="AR45" s="39" t="n">
        <v>0</v>
      </c>
      <c r="AS45" t="n">
        <v>0</v>
      </c>
      <c r="AT45" t="inlineStr">
        <is>
          <t>Crédito Hipotecario</t>
        </is>
      </c>
      <c r="AU45" t="inlineStr">
        <is>
          <t>Scotiabank Perú</t>
        </is>
      </c>
      <c r="AV45" t="inlineStr">
        <is>
          <t>000-2768484</t>
        </is>
      </c>
      <c r="AW45" t="inlineStr">
        <is>
          <t>TRANSFERENCIA BANCARIA</t>
        </is>
      </c>
      <c r="AX45" t="inlineStr">
        <is>
          <t>10606793</t>
        </is>
      </c>
      <c r="AY45" t="inlineStr">
        <is>
          <t>02209753</t>
        </is>
      </c>
      <c r="AZ45" t="inlineStr">
        <is>
          <t>No</t>
        </is>
      </c>
      <c r="BA45" t="inlineStr">
        <is>
          <t>NO PRECISA</t>
        </is>
      </c>
      <c r="BB45" t="n">
        <v>1</v>
      </c>
      <c r="BC45" t="inlineStr">
        <is>
          <t>CANCELADO</t>
        </is>
      </c>
      <c r="BN45" t="inlineStr">
        <is>
          <t>Si</t>
        </is>
      </c>
      <c r="BO45" s="117" t="n">
        <v>45638.38819444444</v>
      </c>
      <c r="BP45" t="inlineStr">
        <is>
          <t>Carla Michue M</t>
        </is>
      </c>
      <c r="BR45" t="n">
        <v>3</v>
      </c>
      <c r="BS45" t="inlineStr">
        <is>
          <t>29/05/2026 12:21</t>
        </is>
      </c>
      <c r="BT45" t="n">
        <v>0</v>
      </c>
      <c r="BX45" t="inlineStr">
        <is>
          <t>Cobranzas_2024.csv</t>
        </is>
      </c>
      <c r="BY45" t="n">
        <v>2024</v>
      </c>
      <c r="BZ45" t="inlineStr">
        <is>
          <t>01/01/2024</t>
        </is>
      </c>
      <c r="CA45" t="inlineStr">
        <is>
          <t>30/09/2031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39" t="n">
        <v>496000</v>
      </c>
      <c r="H46" s="39" t="n">
        <v>496000</v>
      </c>
      <c r="M46" s="39" t="n"/>
      <c r="N46" s="39" t="n"/>
      <c r="S46" s="39" t="n"/>
      <c r="T46" s="39" t="n"/>
      <c r="Y46" s="39" t="n"/>
      <c r="Z46" s="39" t="n"/>
      <c r="AA46" t="inlineStr">
        <is>
          <t>Sthefany Carolina Rodriguez Huamán</t>
        </is>
      </c>
      <c r="AB46" t="inlineStr">
        <is>
          <t>70270427</t>
        </is>
      </c>
      <c r="AC46" t="inlineStr">
        <is>
          <t>-</t>
        </is>
      </c>
      <c r="AE46" t="inlineStr">
        <is>
          <t>989492681</t>
        </is>
      </c>
      <c r="AF46" t="inlineStr">
        <is>
          <t>sthefany.rodriguez2207@gmail.com</t>
        </is>
      </c>
      <c r="AG46" t="inlineStr">
        <is>
          <t>LIMA</t>
        </is>
      </c>
      <c r="AH46" t="inlineStr">
        <is>
          <t>CERCADO DE LIMA</t>
        </is>
      </c>
      <c r="AI46" s="116" t="n">
        <v>45586</v>
      </c>
      <c r="AJ46" s="116" t="n">
        <v>45586</v>
      </c>
      <c r="AK46" t="inlineStr">
        <is>
          <t>SEPARACION</t>
        </is>
      </c>
      <c r="AL46" t="n">
        <v>1</v>
      </c>
      <c r="AM46" t="n">
        <v>200</v>
      </c>
      <c r="AN46" t="n">
        <v>0</v>
      </c>
      <c r="AO46" t="n">
        <v>0</v>
      </c>
      <c r="AP46" s="39" t="n">
        <v>200</v>
      </c>
      <c r="AQ46" s="39" t="n">
        <v>200</v>
      </c>
      <c r="AR46" s="39" t="n">
        <v>0</v>
      </c>
      <c r="AS46" t="n">
        <v>0</v>
      </c>
      <c r="AT46" t="inlineStr">
        <is>
          <t>Ahorro</t>
        </is>
      </c>
      <c r="AU46" t="inlineStr">
        <is>
          <t>Scotiabank Perú</t>
        </is>
      </c>
      <c r="AV46" t="inlineStr">
        <is>
          <t>000-2768484</t>
        </is>
      </c>
      <c r="AW46" t="inlineStr">
        <is>
          <t>TRANSFERENCIA BANCARIA</t>
        </is>
      </c>
      <c r="AX46" t="inlineStr">
        <is>
          <t>70270427</t>
        </is>
      </c>
      <c r="AY46" t="inlineStr">
        <is>
          <t>7844655610334</t>
        </is>
      </c>
      <c r="AZ46" t="inlineStr">
        <is>
          <t>No</t>
        </is>
      </c>
      <c r="BA46" t="inlineStr">
        <is>
          <t>NO PRECISA</t>
        </is>
      </c>
      <c r="BB46" t="n">
        <v>1</v>
      </c>
      <c r="BC46" t="inlineStr">
        <is>
          <t>CANCELADO</t>
        </is>
      </c>
      <c r="BN46" t="inlineStr">
        <is>
          <t>Si</t>
        </is>
      </c>
      <c r="BO46" s="117" t="n">
        <v>45829.38958333333</v>
      </c>
      <c r="BP46" t="inlineStr">
        <is>
          <t>Carla Michue M</t>
        </is>
      </c>
      <c r="BR46" t="n">
        <v>2</v>
      </c>
      <c r="BS46" t="inlineStr">
        <is>
          <t>29/05/2026 12:20</t>
        </is>
      </c>
      <c r="BT46" t="n">
        <v>0</v>
      </c>
      <c r="BX46" t="inlineStr">
        <is>
          <t>Cobranzas_2024.csv</t>
        </is>
      </c>
      <c r="BY46" t="n">
        <v>2024</v>
      </c>
      <c r="BZ46" t="inlineStr">
        <is>
          <t>01/01/2024</t>
        </is>
      </c>
      <c r="CA46" t="inlineStr">
        <is>
          <t>30/09/2031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39" t="n">
        <v>496000</v>
      </c>
      <c r="H47" s="39" t="n">
        <v>496000</v>
      </c>
      <c r="M47" s="39" t="n"/>
      <c r="N47" s="39" t="n"/>
      <c r="S47" s="39" t="n"/>
      <c r="T47" s="39" t="n"/>
      <c r="Y47" s="39" t="n"/>
      <c r="Z47" s="39" t="n"/>
      <c r="AA47" t="inlineStr">
        <is>
          <t>Sthefany Carolina Rodriguez Huamán</t>
        </is>
      </c>
      <c r="AB47" t="inlineStr">
        <is>
          <t>70270427</t>
        </is>
      </c>
      <c r="AC47" t="inlineStr">
        <is>
          <t>-</t>
        </is>
      </c>
      <c r="AE47" t="inlineStr">
        <is>
          <t>989492681</t>
        </is>
      </c>
      <c r="AF47" t="inlineStr">
        <is>
          <t>sthefany.rodriguez2207@gmail.com</t>
        </is>
      </c>
      <c r="AG47" t="inlineStr">
        <is>
          <t>LIMA</t>
        </is>
      </c>
      <c r="AH47" t="inlineStr">
        <is>
          <t>CERCADO DE LIMA</t>
        </is>
      </c>
      <c r="AI47" s="116" t="n">
        <v>45587</v>
      </c>
      <c r="AJ47" s="116" t="n">
        <v>45587</v>
      </c>
      <c r="AK47" t="inlineStr">
        <is>
          <t>SEPARACION</t>
        </is>
      </c>
      <c r="AL47" t="n">
        <v>2</v>
      </c>
      <c r="AM47" t="n">
        <v>2800</v>
      </c>
      <c r="AN47" t="n">
        <v>0</v>
      </c>
      <c r="AO47" t="n">
        <v>0</v>
      </c>
      <c r="AP47" s="39" t="n">
        <v>2800</v>
      </c>
      <c r="AQ47" s="39" t="n">
        <v>2800</v>
      </c>
      <c r="AR47" s="39" t="n">
        <v>0</v>
      </c>
      <c r="AS47" t="n">
        <v>0</v>
      </c>
      <c r="AT47" t="inlineStr">
        <is>
          <t>Ahorro</t>
        </is>
      </c>
      <c r="AU47" t="inlineStr">
        <is>
          <t>Scotiabank Perú</t>
        </is>
      </c>
      <c r="AV47" t="inlineStr">
        <is>
          <t>000-2768484</t>
        </is>
      </c>
      <c r="AW47" t="inlineStr">
        <is>
          <t>EFECTIVO</t>
        </is>
      </c>
      <c r="AX47" t="inlineStr">
        <is>
          <t>70270427</t>
        </is>
      </c>
      <c r="AY47" t="inlineStr">
        <is>
          <t>0500010021</t>
        </is>
      </c>
      <c r="AZ47" t="inlineStr">
        <is>
          <t>No</t>
        </is>
      </c>
      <c r="BA47" t="inlineStr">
        <is>
          <t>NO PRECISA</t>
        </is>
      </c>
      <c r="BB47" t="n">
        <v>1</v>
      </c>
      <c r="BC47" t="inlineStr">
        <is>
          <t>CANCELADO</t>
        </is>
      </c>
      <c r="BN47" t="inlineStr">
        <is>
          <t>Si</t>
        </is>
      </c>
      <c r="BO47" s="117" t="n">
        <v>45829.38958333333</v>
      </c>
      <c r="BP47" t="inlineStr">
        <is>
          <t>Carla Michue M</t>
        </is>
      </c>
      <c r="BR47" t="n">
        <v>2</v>
      </c>
      <c r="BS47" t="inlineStr">
        <is>
          <t>29/05/2026 12:20</t>
        </is>
      </c>
      <c r="BT47" t="n">
        <v>0</v>
      </c>
      <c r="BX47" t="inlineStr">
        <is>
          <t>Cobranzas_2024.csv</t>
        </is>
      </c>
      <c r="BY47" t="n">
        <v>2024</v>
      </c>
      <c r="BZ47" t="inlineStr">
        <is>
          <t>01/01/2024</t>
        </is>
      </c>
      <c r="CA47" t="inlineStr">
        <is>
          <t>30/09/2031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39" t="n">
        <v>587000</v>
      </c>
      <c r="H48" s="39" t="n">
        <v>577000</v>
      </c>
      <c r="M48" s="39" t="n"/>
      <c r="N48" s="39" t="n"/>
      <c r="S48" s="39" t="n"/>
      <c r="T48" s="39" t="n"/>
      <c r="Y48" s="39" t="n"/>
      <c r="Z48" s="39" t="n"/>
      <c r="AA48" t="inlineStr">
        <is>
          <t>Tania Milagros Cotrina Vara</t>
        </is>
      </c>
      <c r="AB48" t="inlineStr">
        <is>
          <t>10140034</t>
        </is>
      </c>
      <c r="AC48" t="inlineStr">
        <is>
          <t>Av. Arnaldo Marquez 1526 Dpto. 26</t>
        </is>
      </c>
      <c r="AD48" t="n">
        <v>0</v>
      </c>
      <c r="AE48" t="inlineStr">
        <is>
          <t>941461159</t>
        </is>
      </c>
      <c r="AF48" t="inlineStr">
        <is>
          <t>tamicov@hotmail.com</t>
        </is>
      </c>
      <c r="AG48" t="inlineStr">
        <is>
          <t>LIMA</t>
        </is>
      </c>
      <c r="AH48" t="inlineStr">
        <is>
          <t>JESUS MARIA</t>
        </is>
      </c>
      <c r="AI48" s="116" t="n">
        <v>45641</v>
      </c>
      <c r="AJ48" s="116" t="n">
        <v>45641</v>
      </c>
      <c r="AK48" t="inlineStr">
        <is>
          <t>SEPARACION</t>
        </is>
      </c>
      <c r="AL48" t="n">
        <v>1</v>
      </c>
      <c r="AM48" t="n">
        <v>3000</v>
      </c>
      <c r="AN48" t="n">
        <v>0</v>
      </c>
      <c r="AO48" t="n">
        <v>0</v>
      </c>
      <c r="AP48" s="39" t="n">
        <v>3000</v>
      </c>
      <c r="AQ48" s="39" t="n">
        <v>3000</v>
      </c>
      <c r="AR48" s="39" t="n">
        <v>0</v>
      </c>
      <c r="AS48" t="n">
        <v>0</v>
      </c>
      <c r="AT48" t="inlineStr">
        <is>
          <t>Ahorro</t>
        </is>
      </c>
      <c r="AU48" t="inlineStr">
        <is>
          <t>Banco de Credito del Perú</t>
        </is>
      </c>
      <c r="AV48" t="inlineStr">
        <is>
          <t>194-7325779-0-65</t>
        </is>
      </c>
      <c r="AW48" t="inlineStr">
        <is>
          <t>POS VISA</t>
        </is>
      </c>
      <c r="AX48" t="inlineStr">
        <is>
          <t>10140034</t>
        </is>
      </c>
      <c r="AY48" t="inlineStr">
        <is>
          <t>594693007</t>
        </is>
      </c>
      <c r="AZ48" t="inlineStr">
        <is>
          <t>Si</t>
        </is>
      </c>
      <c r="BA48" t="inlineStr">
        <is>
          <t>NO PRECISA</t>
        </is>
      </c>
      <c r="BB48" t="n">
        <v>4</v>
      </c>
      <c r="BC48" t="inlineStr">
        <is>
          <t>CANCELADO</t>
        </is>
      </c>
      <c r="BN48" t="inlineStr">
        <is>
          <t>Si</t>
        </is>
      </c>
      <c r="BO48" s="117" t="n">
        <v>45918.41597222222</v>
      </c>
      <c r="BP48" t="inlineStr">
        <is>
          <t>Magaly Guevara Perez</t>
        </is>
      </c>
      <c r="BR48" t="n">
        <v>4</v>
      </c>
      <c r="BS48" t="inlineStr">
        <is>
          <t>01/05/2026 11:00</t>
        </is>
      </c>
      <c r="BT48" t="n">
        <v>0</v>
      </c>
      <c r="BX48" t="inlineStr">
        <is>
          <t>Cobranzas_2024.csv</t>
        </is>
      </c>
      <c r="BY48" t="n">
        <v>2024</v>
      </c>
      <c r="BZ48" t="inlineStr">
        <is>
          <t>01/01/2024</t>
        </is>
      </c>
      <c r="CA48" t="inlineStr">
        <is>
          <t>30/09/2031</t>
        </is>
      </c>
    </row>
    <row r="49">
      <c r="A49" t="inlineStr">
        <is>
          <t>RESIDENCIAL PRADA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301</t>
        </is>
      </c>
      <c r="G49" s="39" t="n">
        <v>630000</v>
      </c>
      <c r="H49" s="39" t="n">
        <v>630000</v>
      </c>
      <c r="M49" s="39" t="n"/>
      <c r="N49" s="39" t="n"/>
      <c r="S49" s="39" t="n"/>
      <c r="T49" s="39" t="n"/>
      <c r="Y49" s="39" t="n"/>
      <c r="Z49" s="39" t="n"/>
      <c r="AA49" t="inlineStr">
        <is>
          <t>Alejandro Jose Navarrete Maldonado</t>
        </is>
      </c>
      <c r="AB49" t="inlineStr">
        <is>
          <t>46304395</t>
        </is>
      </c>
      <c r="AC49" t="inlineStr">
        <is>
          <t xml:space="preserve">Calle Jose Mariano Arce 139 – Dpto. 202 </t>
        </is>
      </c>
      <c r="AE49" t="inlineStr">
        <is>
          <t>956466496</t>
        </is>
      </c>
      <c r="AF49" t="inlineStr">
        <is>
          <t>anavarrete@nmabogados.com.pe</t>
        </is>
      </c>
      <c r="AG49" t="inlineStr">
        <is>
          <t>LIMA</t>
        </is>
      </c>
      <c r="AH49" t="inlineStr">
        <is>
          <t>PUEBLO LIBRE</t>
        </is>
      </c>
      <c r="AI49" s="116" t="n">
        <v>45754</v>
      </c>
      <c r="AJ49" s="116" t="n">
        <v>45754</v>
      </c>
      <c r="AK49" t="inlineStr">
        <is>
          <t>SEPARACION</t>
        </is>
      </c>
      <c r="AL49" t="n">
        <v>1</v>
      </c>
      <c r="AM49" t="n">
        <v>3000</v>
      </c>
      <c r="AN49" t="n">
        <v>0</v>
      </c>
      <c r="AO49" t="n">
        <v>0</v>
      </c>
      <c r="AP49" s="39" t="n">
        <v>3000</v>
      </c>
      <c r="AQ49" s="39" t="n">
        <v>3000</v>
      </c>
      <c r="AR49" s="39" t="n">
        <v>0</v>
      </c>
      <c r="AS49" t="n">
        <v>0</v>
      </c>
      <c r="AT49" t="inlineStr">
        <is>
          <t>Crédito Hipotecario</t>
        </is>
      </c>
      <c r="AU49" t="inlineStr">
        <is>
          <t>Scotiabank Perú</t>
        </is>
      </c>
      <c r="AV49" t="inlineStr">
        <is>
          <t>000-2768484</t>
        </is>
      </c>
      <c r="AW49" t="inlineStr">
        <is>
          <t>TRANSFERENCIA BANCARIA</t>
        </is>
      </c>
      <c r="AX49" t="inlineStr">
        <is>
          <t>46304395</t>
        </is>
      </c>
      <c r="AY49" t="inlineStr">
        <is>
          <t>2715</t>
        </is>
      </c>
      <c r="AZ49" t="inlineStr">
        <is>
          <t>No</t>
        </is>
      </c>
      <c r="BA49" t="inlineStr">
        <is>
          <t>NO PRECISA</t>
        </is>
      </c>
      <c r="BB49" t="n">
        <v>1</v>
      </c>
      <c r="BC49" t="inlineStr">
        <is>
          <t>CANCELADO</t>
        </is>
      </c>
      <c r="BN49" t="inlineStr">
        <is>
          <t>Si</t>
        </is>
      </c>
      <c r="BO49" s="117" t="n">
        <v>45775.39097222222</v>
      </c>
      <c r="BP49" t="inlineStr">
        <is>
          <t>Carla Michue M</t>
        </is>
      </c>
      <c r="BR49" t="n">
        <v>8</v>
      </c>
      <c r="BS49" t="inlineStr">
        <is>
          <t>29/05/2026 12:21</t>
        </is>
      </c>
      <c r="BT49" t="n">
        <v>0</v>
      </c>
      <c r="BX49" t="inlineStr">
        <is>
          <t>Cobranzas_2025.csv</t>
        </is>
      </c>
      <c r="BY49" t="n">
        <v>2025</v>
      </c>
      <c r="BZ49" t="inlineStr">
        <is>
          <t>01/01/2024</t>
        </is>
      </c>
      <c r="CA49" t="inlineStr">
        <is>
          <t>30/09/2031</t>
        </is>
      </c>
    </row>
    <row r="50">
      <c r="A50" t="inlineStr">
        <is>
          <t>RESIDENCIAL PRADA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301</t>
        </is>
      </c>
      <c r="G50" s="39" t="n">
        <v>630000</v>
      </c>
      <c r="H50" s="39" t="n">
        <v>630000</v>
      </c>
      <c r="M50" s="39" t="n"/>
      <c r="N50" s="39" t="n"/>
      <c r="S50" s="39" t="n"/>
      <c r="T50" s="39" t="n"/>
      <c r="Y50" s="39" t="n"/>
      <c r="Z50" s="39" t="n"/>
      <c r="AA50" t="inlineStr">
        <is>
          <t>Alejandro Jose Navarrete Maldonado</t>
        </is>
      </c>
      <c r="AB50" t="inlineStr">
        <is>
          <t>46304395</t>
        </is>
      </c>
      <c r="AC50" t="inlineStr">
        <is>
          <t xml:space="preserve">Calle Jose Mariano Arce 139 – Dpto. 202 </t>
        </is>
      </c>
      <c r="AE50" t="inlineStr">
        <is>
          <t>956466496</t>
        </is>
      </c>
      <c r="AF50" t="inlineStr">
        <is>
          <t>anavarrete@nmabogados.com.pe</t>
        </is>
      </c>
      <c r="AG50" t="inlineStr">
        <is>
          <t>LIMA</t>
        </is>
      </c>
      <c r="AH50" t="inlineStr">
        <is>
          <t>PUEBLO LIBRE</t>
        </is>
      </c>
      <c r="AI50" s="116" t="n">
        <v>45775</v>
      </c>
      <c r="AJ50" s="116" t="n">
        <v>45775</v>
      </c>
      <c r="AK50" t="inlineStr">
        <is>
          <t>SEPARACION</t>
        </is>
      </c>
      <c r="AL50" t="n">
        <v>6</v>
      </c>
      <c r="AM50" t="n">
        <v>10000</v>
      </c>
      <c r="AN50" t="n">
        <v>0</v>
      </c>
      <c r="AO50" t="n">
        <v>0</v>
      </c>
      <c r="AP50" s="39" t="n">
        <v>10000</v>
      </c>
      <c r="AQ50" s="39" t="n">
        <v>10000</v>
      </c>
      <c r="AR50" s="39" t="n">
        <v>0</v>
      </c>
      <c r="AS50" t="n">
        <v>0</v>
      </c>
      <c r="AT50" t="inlineStr">
        <is>
          <t>Crédito Hipotecario</t>
        </is>
      </c>
      <c r="AU50" t="inlineStr">
        <is>
          <t>Scotiabank Perú</t>
        </is>
      </c>
      <c r="AV50" t="inlineStr">
        <is>
          <t>000-2768484</t>
        </is>
      </c>
      <c r="AW50" t="inlineStr">
        <is>
          <t>TRANSFERENCIA BANCARIA</t>
        </is>
      </c>
      <c r="AY50" t="inlineStr">
        <is>
          <t>8240169</t>
        </is>
      </c>
      <c r="AZ50" t="inlineStr">
        <is>
          <t>No</t>
        </is>
      </c>
      <c r="BB50" t="n">
        <v>4</v>
      </c>
      <c r="BC50" t="inlineStr">
        <is>
          <t>CANCELADO</t>
        </is>
      </c>
      <c r="BN50" t="inlineStr">
        <is>
          <t>Si</t>
        </is>
      </c>
      <c r="BO50" s="117" t="n">
        <v>45775.39097222222</v>
      </c>
      <c r="BP50" t="inlineStr">
        <is>
          <t>Carla Michue M</t>
        </is>
      </c>
      <c r="BR50" t="n">
        <v>8</v>
      </c>
      <c r="BS50" t="inlineStr">
        <is>
          <t>03/07/2026 10:54</t>
        </is>
      </c>
      <c r="BT50" t="n">
        <v>0</v>
      </c>
      <c r="BX50" t="inlineStr">
        <is>
          <t>Cobranzas_2025.csv</t>
        </is>
      </c>
      <c r="BY50" t="n">
        <v>2025</v>
      </c>
      <c r="BZ50" t="inlineStr">
        <is>
          <t>01/01/2024</t>
        </is>
      </c>
      <c r="CA50" t="inlineStr">
        <is>
          <t>30/09/2031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39" t="n">
        <v>630000</v>
      </c>
      <c r="H51" s="39" t="n">
        <v>630000</v>
      </c>
      <c r="M51" s="39" t="n"/>
      <c r="N51" s="39" t="n"/>
      <c r="S51" s="39" t="n"/>
      <c r="T51" s="39" t="n"/>
      <c r="Y51" s="39" t="n"/>
      <c r="Z51" s="39" t="n"/>
      <c r="AA51" t="inlineStr">
        <is>
          <t>Alejandro Jose Navarrete Maldonado</t>
        </is>
      </c>
      <c r="AB51" t="inlineStr">
        <is>
          <t>46304395</t>
        </is>
      </c>
      <c r="AC51" t="inlineStr">
        <is>
          <t xml:space="preserve">Calle Jose Mariano Arce 139 – Dpto. 202 </t>
        </is>
      </c>
      <c r="AE51" t="inlineStr">
        <is>
          <t>956466496</t>
        </is>
      </c>
      <c r="AF51" t="inlineStr">
        <is>
          <t>anavarrete@nmabogados.com.pe</t>
        </is>
      </c>
      <c r="AG51" t="inlineStr">
        <is>
          <t>LIMA</t>
        </is>
      </c>
      <c r="AH51" t="inlineStr">
        <is>
          <t>PUEBLO LIBRE</t>
        </is>
      </c>
      <c r="AI51" s="116" t="n">
        <v>45775</v>
      </c>
      <c r="AJ51" s="116" t="n">
        <v>45775</v>
      </c>
      <c r="AK51" t="inlineStr">
        <is>
          <t>CUOTA INICIAL</t>
        </is>
      </c>
      <c r="AL51" t="n">
        <v>1</v>
      </c>
      <c r="AM51" t="n">
        <v>45000</v>
      </c>
      <c r="AN51" t="n">
        <v>0</v>
      </c>
      <c r="AO51" t="n">
        <v>0</v>
      </c>
      <c r="AP51" s="39" t="n">
        <v>45000</v>
      </c>
      <c r="AQ51" s="39" t="n">
        <v>45000</v>
      </c>
      <c r="AR51" s="39" t="n">
        <v>0</v>
      </c>
      <c r="AS51" t="n">
        <v>0</v>
      </c>
      <c r="AT51" t="inlineStr">
        <is>
          <t>Crédito Hipotecario</t>
        </is>
      </c>
      <c r="AU51" t="inlineStr">
        <is>
          <t>Scotiabank Perú</t>
        </is>
      </c>
      <c r="AV51" t="inlineStr">
        <is>
          <t>000-2768484</t>
        </is>
      </c>
      <c r="AW51" t="inlineStr">
        <is>
          <t>TRANSFERENCIA BANCARIA</t>
        </is>
      </c>
      <c r="AY51" t="inlineStr">
        <is>
          <t>8240169</t>
        </is>
      </c>
      <c r="AZ51" t="inlineStr">
        <is>
          <t>No</t>
        </is>
      </c>
      <c r="BB51" t="n">
        <v>4</v>
      </c>
      <c r="BC51" t="inlineStr">
        <is>
          <t>CANCELADO</t>
        </is>
      </c>
      <c r="BN51" t="inlineStr">
        <is>
          <t>Si</t>
        </is>
      </c>
      <c r="BO51" s="117" t="n">
        <v>45775.39097222222</v>
      </c>
      <c r="BP51" t="inlineStr">
        <is>
          <t>Carla Michue M</t>
        </is>
      </c>
      <c r="BR51" t="n">
        <v>8</v>
      </c>
      <c r="BS51" t="inlineStr">
        <is>
          <t>03/07/2026 10:54</t>
        </is>
      </c>
      <c r="BT51" t="n">
        <v>0</v>
      </c>
      <c r="BX51" t="inlineStr">
        <is>
          <t>Cobranzas_2025.csv</t>
        </is>
      </c>
      <c r="BY51" t="n">
        <v>2025</v>
      </c>
      <c r="BZ51" t="inlineStr">
        <is>
          <t>01/01/2024</t>
        </is>
      </c>
      <c r="CA51" t="inlineStr">
        <is>
          <t>30/09/2031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39" t="n">
        <v>630000</v>
      </c>
      <c r="H52" s="39" t="n">
        <v>630000</v>
      </c>
      <c r="M52" s="39" t="n"/>
      <c r="N52" s="39" t="n"/>
      <c r="S52" s="39" t="n"/>
      <c r="T52" s="39" t="n"/>
      <c r="Y52" s="39" t="n"/>
      <c r="Z52" s="39" t="n"/>
      <c r="AA52" t="inlineStr">
        <is>
          <t>Alejandro Jose Navarrete Maldonado</t>
        </is>
      </c>
      <c r="AB52" t="inlineStr">
        <is>
          <t>46304395</t>
        </is>
      </c>
      <c r="AC52" t="inlineStr">
        <is>
          <t xml:space="preserve">Calle Jose Mariano Arce 139 – Dpto. 202 </t>
        </is>
      </c>
      <c r="AE52" t="inlineStr">
        <is>
          <t>956466496</t>
        </is>
      </c>
      <c r="AF52" t="inlineStr">
        <is>
          <t>anavarrete@nmabogados.com.pe</t>
        </is>
      </c>
      <c r="AG52" t="inlineStr">
        <is>
          <t>LIMA</t>
        </is>
      </c>
      <c r="AH52" t="inlineStr">
        <is>
          <t>PUEBLO LIBRE</t>
        </is>
      </c>
      <c r="AI52" s="116" t="n">
        <v>45833</v>
      </c>
      <c r="AJ52" s="116" t="n">
        <v>45833</v>
      </c>
      <c r="AK52" t="inlineStr">
        <is>
          <t>CUOTA INICIAL</t>
        </is>
      </c>
      <c r="AL52" t="n">
        <v>2</v>
      </c>
      <c r="AM52" t="n">
        <v>44000</v>
      </c>
      <c r="AN52" t="n">
        <v>0</v>
      </c>
      <c r="AO52" t="n">
        <v>0</v>
      </c>
      <c r="AP52" s="39" t="n">
        <v>44000</v>
      </c>
      <c r="AQ52" s="39" t="n">
        <v>44000</v>
      </c>
      <c r="AR52" s="39" t="n">
        <v>0</v>
      </c>
      <c r="AS52" t="n">
        <v>0</v>
      </c>
      <c r="AT52" t="inlineStr">
        <is>
          <t>Crédito Hipotecario</t>
        </is>
      </c>
      <c r="AU52" t="inlineStr">
        <is>
          <t>Scotiabank Perú</t>
        </is>
      </c>
      <c r="AV52" t="inlineStr">
        <is>
          <t>000-2768484</t>
        </is>
      </c>
      <c r="AW52" t="inlineStr">
        <is>
          <t>TRANSFERENCIA BANCARIA</t>
        </is>
      </c>
      <c r="AY52" t="inlineStr">
        <is>
          <t>006190692</t>
        </is>
      </c>
      <c r="AZ52" t="inlineStr">
        <is>
          <t>No</t>
        </is>
      </c>
      <c r="BB52" t="n">
        <v>4</v>
      </c>
      <c r="BC52" t="inlineStr">
        <is>
          <t>CANCELADO</t>
        </is>
      </c>
      <c r="BN52" t="inlineStr">
        <is>
          <t>Si</t>
        </is>
      </c>
      <c r="BO52" s="117" t="n">
        <v>45775.39097222222</v>
      </c>
      <c r="BP52" t="inlineStr">
        <is>
          <t>Carla Michue M</t>
        </is>
      </c>
      <c r="BR52" t="n">
        <v>8</v>
      </c>
      <c r="BS52" t="inlineStr">
        <is>
          <t>03/07/2026 10:56</t>
        </is>
      </c>
      <c r="BT52" t="n">
        <v>0</v>
      </c>
      <c r="BX52" t="inlineStr">
        <is>
          <t>Cobranzas_2025.csv</t>
        </is>
      </c>
      <c r="BY52" t="n">
        <v>2025</v>
      </c>
      <c r="BZ52" t="inlineStr">
        <is>
          <t>01/01/2024</t>
        </is>
      </c>
      <c r="CA52" t="inlineStr">
        <is>
          <t>30/09/2031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39" t="n">
        <v>630000</v>
      </c>
      <c r="H53" s="39" t="n">
        <v>630000</v>
      </c>
      <c r="M53" s="39" t="n"/>
      <c r="N53" s="39" t="n"/>
      <c r="S53" s="39" t="n"/>
      <c r="T53" s="39" t="n"/>
      <c r="Y53" s="39" t="n"/>
      <c r="Z53" s="39" t="n"/>
      <c r="AA53" t="inlineStr">
        <is>
          <t>Alejandro Jose Navarrete Maldonado</t>
        </is>
      </c>
      <c r="AB53" t="inlineStr">
        <is>
          <t>46304395</t>
        </is>
      </c>
      <c r="AC53" t="inlineStr">
        <is>
          <t xml:space="preserve">Calle Jose Mariano Arce 139 – Dpto. 202 </t>
        </is>
      </c>
      <c r="AE53" t="inlineStr">
        <is>
          <t>956466496</t>
        </is>
      </c>
      <c r="AF53" t="inlineStr">
        <is>
          <t>anavarrete@nmabogados.com.pe</t>
        </is>
      </c>
      <c r="AG53" t="inlineStr">
        <is>
          <t>LIMA</t>
        </is>
      </c>
      <c r="AH53" t="inlineStr">
        <is>
          <t>PUEBLO LIBRE</t>
        </is>
      </c>
      <c r="AI53" s="116" t="n">
        <v>45869</v>
      </c>
      <c r="AJ53" s="116" t="n">
        <v>45833</v>
      </c>
      <c r="AK53" t="inlineStr">
        <is>
          <t>SALDO FINANCIAR</t>
        </is>
      </c>
      <c r="AL53" t="n">
        <v>1</v>
      </c>
      <c r="AM53" t="n">
        <v>528000</v>
      </c>
      <c r="AN53" t="n">
        <v>0</v>
      </c>
      <c r="AO53" t="n">
        <v>0</v>
      </c>
      <c r="AP53" s="39" t="n">
        <v>528000</v>
      </c>
      <c r="AQ53" s="39" t="n">
        <v>68000</v>
      </c>
      <c r="AR53" s="39" t="n">
        <v>0</v>
      </c>
      <c r="AS53" t="n">
        <v>0</v>
      </c>
      <c r="AT53" t="inlineStr">
        <is>
          <t>Crédito Hipotecario</t>
        </is>
      </c>
      <c r="AU53" t="inlineStr">
        <is>
          <t>Scotiabank Perú</t>
        </is>
      </c>
      <c r="AV53" t="inlineStr">
        <is>
          <t>000-2768484</t>
        </is>
      </c>
      <c r="AW53" t="inlineStr">
        <is>
          <t>TRANSFERENCIA BANCARIA</t>
        </is>
      </c>
      <c r="AY53" t="inlineStr">
        <is>
          <t>1141936</t>
        </is>
      </c>
      <c r="AZ53" t="inlineStr">
        <is>
          <t>No</t>
        </is>
      </c>
      <c r="BB53" t="n">
        <v>4</v>
      </c>
      <c r="BC53" t="inlineStr">
        <is>
          <t>CANCELADO</t>
        </is>
      </c>
      <c r="BN53" t="inlineStr">
        <is>
          <t>Si</t>
        </is>
      </c>
      <c r="BO53" s="117" t="n">
        <v>45775.39097222222</v>
      </c>
      <c r="BP53" t="inlineStr">
        <is>
          <t>Carla Michue M</t>
        </is>
      </c>
      <c r="BR53" t="n">
        <v>8</v>
      </c>
      <c r="BS53" t="inlineStr">
        <is>
          <t>03/07/2026 11:00</t>
        </is>
      </c>
      <c r="BT53" t="n">
        <v>0</v>
      </c>
      <c r="BX53" t="inlineStr">
        <is>
          <t>Cobranzas_2025.csv</t>
        </is>
      </c>
      <c r="BY53" t="n">
        <v>2025</v>
      </c>
      <c r="BZ53" t="inlineStr">
        <is>
          <t>01/01/2024</t>
        </is>
      </c>
      <c r="CA53" t="inlineStr">
        <is>
          <t>30/09/2031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39" t="n">
        <v>630000</v>
      </c>
      <c r="H54" s="39" t="n">
        <v>630000</v>
      </c>
      <c r="M54" s="39" t="n"/>
      <c r="N54" s="39" t="n"/>
      <c r="S54" s="39" t="n"/>
      <c r="T54" s="39" t="n"/>
      <c r="Y54" s="39" t="n"/>
      <c r="Z54" s="39" t="n"/>
      <c r="AA54" t="inlineStr">
        <is>
          <t>Alejandro Jose Navarrete Maldonado</t>
        </is>
      </c>
      <c r="AB54" t="inlineStr">
        <is>
          <t>46304395</t>
        </is>
      </c>
      <c r="AC54" t="inlineStr">
        <is>
          <t xml:space="preserve">Calle Jose Mariano Arce 139 – Dpto. 202 </t>
        </is>
      </c>
      <c r="AE54" t="inlineStr">
        <is>
          <t>956466496</t>
        </is>
      </c>
      <c r="AF54" t="inlineStr">
        <is>
          <t>anavarrete@nmabogados.com.pe</t>
        </is>
      </c>
      <c r="AG54" t="inlineStr">
        <is>
          <t>LIMA</t>
        </is>
      </c>
      <c r="AH54" t="inlineStr">
        <is>
          <t>PUEBLO LIBRE</t>
        </is>
      </c>
      <c r="AI54" s="116" t="n">
        <v>45869</v>
      </c>
      <c r="AJ54" s="116" t="n">
        <v>45868</v>
      </c>
      <c r="AK54" t="inlineStr">
        <is>
          <t>SALDO FINANCIAR</t>
        </is>
      </c>
      <c r="AL54" t="n">
        <v>1</v>
      </c>
      <c r="AM54" t="n">
        <v>0</v>
      </c>
      <c r="AN54" t="n">
        <v>0</v>
      </c>
      <c r="AO54" t="n">
        <v>0</v>
      </c>
      <c r="AP54" s="39" t="n">
        <v>0</v>
      </c>
      <c r="AQ54" s="39" t="n">
        <v>460000</v>
      </c>
      <c r="AR54" s="39" t="n">
        <v>0</v>
      </c>
      <c r="AS54" t="n">
        <v>0</v>
      </c>
      <c r="AT54" t="inlineStr">
        <is>
          <t>Crédito Hipotecario</t>
        </is>
      </c>
      <c r="AU54" t="inlineStr">
        <is>
          <t>Scotiabank Perú</t>
        </is>
      </c>
      <c r="AV54" t="inlineStr">
        <is>
          <t>000-2768484</t>
        </is>
      </c>
      <c r="AW54" t="inlineStr">
        <is>
          <t>TRANSFERENCIA BANCARIA</t>
        </is>
      </c>
      <c r="AY54" t="inlineStr">
        <is>
          <t>02708000009</t>
        </is>
      </c>
      <c r="AZ54" t="inlineStr">
        <is>
          <t>No</t>
        </is>
      </c>
      <c r="BB54" t="n">
        <v>4</v>
      </c>
      <c r="BC54" t="inlineStr">
        <is>
          <t>CANCELADO</t>
        </is>
      </c>
      <c r="BN54" t="inlineStr">
        <is>
          <t>Si</t>
        </is>
      </c>
      <c r="BO54" s="117" t="n">
        <v>45775.39097222222</v>
      </c>
      <c r="BP54" t="inlineStr">
        <is>
          <t>Carla Michue M</t>
        </is>
      </c>
      <c r="BR54" t="n">
        <v>8</v>
      </c>
      <c r="BS54" t="inlineStr">
        <is>
          <t>03/07/2026 11:02</t>
        </is>
      </c>
      <c r="BT54" t="n">
        <v>0</v>
      </c>
      <c r="BX54" t="inlineStr">
        <is>
          <t>Cobranzas_2025.csv</t>
        </is>
      </c>
      <c r="BY54" t="n">
        <v>2025</v>
      </c>
      <c r="BZ54" t="inlineStr">
        <is>
          <t>01/01/2024</t>
        </is>
      </c>
      <c r="CA54" t="inlineStr">
        <is>
          <t>30/09/2031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Estacionamiento</t>
        </is>
      </c>
      <c r="F55" t="inlineStr">
        <is>
          <t>E 23 - D 17</t>
        </is>
      </c>
      <c r="G55" s="39" t="n">
        <v>52000</v>
      </c>
      <c r="H55" s="39" t="n">
        <v>52000</v>
      </c>
      <c r="M55" s="39" t="n"/>
      <c r="N55" s="39" t="n"/>
      <c r="S55" s="39" t="n"/>
      <c r="T55" s="39" t="n"/>
      <c r="Y55" s="39" t="n"/>
      <c r="Z55" s="39" t="n"/>
      <c r="AA55" t="inlineStr">
        <is>
          <t>Alejandro Jose Navarrete Maldonado</t>
        </is>
      </c>
      <c r="AB55" t="inlineStr">
        <is>
          <t>46304395</t>
        </is>
      </c>
      <c r="AC55" t="inlineStr">
        <is>
          <t xml:space="preserve">Calle Jose Mariano Arce 139 – Dpto. 202 </t>
        </is>
      </c>
      <c r="AD55" t="n">
        <v>0</v>
      </c>
      <c r="AE55" t="inlineStr">
        <is>
          <t>956466496</t>
        </is>
      </c>
      <c r="AF55" t="inlineStr">
        <is>
          <t>anavarrete@nmabogados.com.pe</t>
        </is>
      </c>
      <c r="AG55" t="inlineStr">
        <is>
          <t>LIMA</t>
        </is>
      </c>
      <c r="AH55" t="inlineStr">
        <is>
          <t>PUEBLO LIBRE</t>
        </is>
      </c>
      <c r="AI55" s="116" t="n">
        <v>45877</v>
      </c>
      <c r="AJ55" s="116" t="n">
        <v>45873</v>
      </c>
      <c r="AK55" t="inlineStr">
        <is>
          <t>SEPARACION</t>
        </is>
      </c>
      <c r="AL55" t="n">
        <v>1</v>
      </c>
      <c r="AM55" t="n">
        <v>3000</v>
      </c>
      <c r="AN55" t="n">
        <v>0</v>
      </c>
      <c r="AO55" t="n">
        <v>0</v>
      </c>
      <c r="AP55" s="39" t="n">
        <v>3000</v>
      </c>
      <c r="AQ55" s="39" t="n">
        <v>3000</v>
      </c>
      <c r="AR55" s="39" t="n">
        <v>0</v>
      </c>
      <c r="AS55" t="n">
        <v>0</v>
      </c>
      <c r="AT55" t="inlineStr">
        <is>
          <t>Crédito Directo</t>
        </is>
      </c>
      <c r="AU55" t="inlineStr">
        <is>
          <t>Scotiabank Perú</t>
        </is>
      </c>
      <c r="AV55" t="inlineStr">
        <is>
          <t>000-2768484</t>
        </is>
      </c>
      <c r="AW55" t="inlineStr">
        <is>
          <t>TRANSFERENCIA BANCARIA</t>
        </is>
      </c>
      <c r="AY55" t="inlineStr">
        <is>
          <t>2636117</t>
        </is>
      </c>
      <c r="AZ55" t="inlineStr">
        <is>
          <t>No</t>
        </is>
      </c>
      <c r="BB55" t="n">
        <v>4</v>
      </c>
      <c r="BC55" t="inlineStr">
        <is>
          <t>CANCELADO</t>
        </is>
      </c>
      <c r="BN55" t="inlineStr">
        <is>
          <t>Si</t>
        </is>
      </c>
      <c r="BO55" s="117" t="n">
        <v>45961.43263888889</v>
      </c>
      <c r="BP55" t="inlineStr">
        <is>
          <t>Magaly Guevara Perez</t>
        </is>
      </c>
      <c r="BR55" t="n">
        <v>54</v>
      </c>
      <c r="BS55" t="inlineStr">
        <is>
          <t>14/07/2026 10:02</t>
        </is>
      </c>
      <c r="BT55" t="n">
        <v>0</v>
      </c>
      <c r="BX55" t="inlineStr">
        <is>
          <t>Cobranzas_2025.csv</t>
        </is>
      </c>
      <c r="BY55" t="n">
        <v>2025</v>
      </c>
      <c r="BZ55" t="inlineStr">
        <is>
          <t>01/01/2024</t>
        </is>
      </c>
      <c r="CA55" t="inlineStr">
        <is>
          <t>30/09/2031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Estacionamiento</t>
        </is>
      </c>
      <c r="F56" t="inlineStr">
        <is>
          <t>E 23 - D 17</t>
        </is>
      </c>
      <c r="G56" s="39" t="n">
        <v>52000</v>
      </c>
      <c r="H56" s="39" t="n">
        <v>52000</v>
      </c>
      <c r="M56" s="39" t="n"/>
      <c r="N56" s="39" t="n"/>
      <c r="S56" s="39" t="n"/>
      <c r="T56" s="39" t="n"/>
      <c r="Y56" s="39" t="n"/>
      <c r="Z56" s="39" t="n"/>
      <c r="AA56" t="inlineStr">
        <is>
          <t>Alejandro Jose Navarrete Maldonado</t>
        </is>
      </c>
      <c r="AB56" t="inlineStr">
        <is>
          <t>46304395</t>
        </is>
      </c>
      <c r="AC56" t="inlineStr">
        <is>
          <t xml:space="preserve">Calle Jose Mariano Arce 139 – Dpto. 202 </t>
        </is>
      </c>
      <c r="AD56" t="n">
        <v>0</v>
      </c>
      <c r="AE56" t="inlineStr">
        <is>
          <t>956466496</t>
        </is>
      </c>
      <c r="AF56" t="inlineStr">
        <is>
          <t>anavarrete@nmabogados.com.pe</t>
        </is>
      </c>
      <c r="AG56" t="inlineStr">
        <is>
          <t>LIMA</t>
        </is>
      </c>
      <c r="AH56" t="inlineStr">
        <is>
          <t>PUEBLO LIBRE</t>
        </is>
      </c>
      <c r="AI56" s="116" t="n">
        <v>45877</v>
      </c>
      <c r="AJ56" s="116" t="n">
        <v>45873</v>
      </c>
      <c r="AK56" t="inlineStr">
        <is>
          <t>CUOTA INICIAL</t>
        </is>
      </c>
      <c r="AL56" t="n">
        <v>1</v>
      </c>
      <c r="AM56" t="n">
        <v>7000</v>
      </c>
      <c r="AN56" t="n">
        <v>0</v>
      </c>
      <c r="AO56" t="n">
        <v>0</v>
      </c>
      <c r="AP56" s="39" t="n">
        <v>7000</v>
      </c>
      <c r="AQ56" s="39" t="n">
        <v>7000</v>
      </c>
      <c r="AR56" s="39" t="n">
        <v>0</v>
      </c>
      <c r="AS56" t="n">
        <v>0</v>
      </c>
      <c r="AT56" t="inlineStr">
        <is>
          <t>Crédito Directo</t>
        </is>
      </c>
      <c r="AU56" t="inlineStr">
        <is>
          <t>Scotiabank Perú</t>
        </is>
      </c>
      <c r="AV56" t="inlineStr">
        <is>
          <t>000-2768484</t>
        </is>
      </c>
      <c r="AW56" t="inlineStr">
        <is>
          <t>TRANSFERENCIA BANCARIA</t>
        </is>
      </c>
      <c r="AY56" t="inlineStr">
        <is>
          <t>2636117</t>
        </is>
      </c>
      <c r="AZ56" t="inlineStr">
        <is>
          <t>No</t>
        </is>
      </c>
      <c r="BB56" t="n">
        <v>4</v>
      </c>
      <c r="BC56" t="inlineStr">
        <is>
          <t>CANCELADO</t>
        </is>
      </c>
      <c r="BN56" t="inlineStr">
        <is>
          <t>Si</t>
        </is>
      </c>
      <c r="BO56" s="117" t="n">
        <v>45961.43263888889</v>
      </c>
      <c r="BP56" t="inlineStr">
        <is>
          <t>Magaly Guevara Perez</t>
        </is>
      </c>
      <c r="BR56" t="n">
        <v>54</v>
      </c>
      <c r="BS56" t="inlineStr">
        <is>
          <t>14/07/2026 10:02</t>
        </is>
      </c>
      <c r="BT56" t="n">
        <v>0</v>
      </c>
      <c r="BX56" t="inlineStr">
        <is>
          <t>Cobranzas_2025.csv</t>
        </is>
      </c>
      <c r="BY56" t="n">
        <v>2025</v>
      </c>
      <c r="BZ56" t="inlineStr">
        <is>
          <t>01/01/2024</t>
        </is>
      </c>
      <c r="CA56" t="inlineStr">
        <is>
          <t>30/09/2031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39" t="n">
        <v>52000</v>
      </c>
      <c r="H57" s="39" t="n">
        <v>52000</v>
      </c>
      <c r="M57" s="39" t="n"/>
      <c r="N57" s="39" t="n"/>
      <c r="S57" s="39" t="n"/>
      <c r="T57" s="39" t="n"/>
      <c r="Y57" s="39" t="n"/>
      <c r="Z57" s="39" t="n"/>
      <c r="AA57" t="inlineStr">
        <is>
          <t>Alejandro Jose Navarrete Maldonado</t>
        </is>
      </c>
      <c r="AB57" t="inlineStr">
        <is>
          <t>46304395</t>
        </is>
      </c>
      <c r="AC57" t="inlineStr">
        <is>
          <t xml:space="preserve">Calle Jose Mariano Arce 139 – Dpto. 202 </t>
        </is>
      </c>
      <c r="AD57" t="n">
        <v>0</v>
      </c>
      <c r="AE57" t="inlineStr">
        <is>
          <t>956466496</t>
        </is>
      </c>
      <c r="AF57" t="inlineStr">
        <is>
          <t>anavarrete@nmabogados.com.pe</t>
        </is>
      </c>
      <c r="AG57" t="inlineStr">
        <is>
          <t>LIMA</t>
        </is>
      </c>
      <c r="AH57" t="inlineStr">
        <is>
          <t>PUEBLO LIBRE</t>
        </is>
      </c>
      <c r="AI57" s="116" t="n">
        <v>45961</v>
      </c>
      <c r="AJ57" s="116" t="n">
        <v>45961</v>
      </c>
      <c r="AK57" t="inlineStr">
        <is>
          <t>SALDO FINANCIAR</t>
        </is>
      </c>
      <c r="AL57" t="n">
        <v>1</v>
      </c>
      <c r="AM57" t="n">
        <v>14000</v>
      </c>
      <c r="AN57" t="n">
        <v>0</v>
      </c>
      <c r="AO57" t="n">
        <v>0</v>
      </c>
      <c r="AP57" s="39" t="n">
        <v>14000</v>
      </c>
      <c r="AQ57" s="39" t="n">
        <v>14000</v>
      </c>
      <c r="AR57" s="39" t="n">
        <v>0</v>
      </c>
      <c r="AS57" t="n">
        <v>0</v>
      </c>
      <c r="AT57" t="inlineStr">
        <is>
          <t>Crédito Directo</t>
        </is>
      </c>
      <c r="AU57" t="inlineStr">
        <is>
          <t>Scotiabank Perú</t>
        </is>
      </c>
      <c r="AV57" t="inlineStr">
        <is>
          <t>000-2768484</t>
        </is>
      </c>
      <c r="AW57" t="inlineStr">
        <is>
          <t>TRANSFERENCIA BANCARIA</t>
        </is>
      </c>
      <c r="AY57" t="inlineStr">
        <is>
          <t>009555099</t>
        </is>
      </c>
      <c r="AZ57" t="inlineStr">
        <is>
          <t>No</t>
        </is>
      </c>
      <c r="BB57" t="n">
        <v>4</v>
      </c>
      <c r="BC57" t="inlineStr">
        <is>
          <t>CANCELADO</t>
        </is>
      </c>
      <c r="BN57" t="inlineStr">
        <is>
          <t>Si</t>
        </is>
      </c>
      <c r="BO57" s="117" t="n">
        <v>45961.43263888889</v>
      </c>
      <c r="BP57" t="inlineStr">
        <is>
          <t>Magaly Guevara Perez</t>
        </is>
      </c>
      <c r="BR57" t="n">
        <v>54</v>
      </c>
      <c r="BS57" t="inlineStr">
        <is>
          <t>03/07/2026 11:16</t>
        </is>
      </c>
      <c r="BT57" t="n">
        <v>0</v>
      </c>
      <c r="BX57" t="inlineStr">
        <is>
          <t>Cobranzas_2025.csv</t>
        </is>
      </c>
      <c r="BY57" t="n">
        <v>2025</v>
      </c>
      <c r="BZ57" t="inlineStr">
        <is>
          <t>01/01/2024</t>
        </is>
      </c>
      <c r="CA57" t="inlineStr">
        <is>
          <t>30/09/2031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39" t="n">
        <v>52000</v>
      </c>
      <c r="H58" s="39" t="n">
        <v>52000</v>
      </c>
      <c r="M58" s="39" t="n"/>
      <c r="N58" s="39" t="n"/>
      <c r="S58" s="39" t="n"/>
      <c r="T58" s="39" t="n"/>
      <c r="Y58" s="39" t="n"/>
      <c r="Z58" s="39" t="n"/>
      <c r="AA58" t="inlineStr">
        <is>
          <t>Alejandro Jose Navarrete Maldonado</t>
        </is>
      </c>
      <c r="AB58" t="inlineStr">
        <is>
          <t>46304395</t>
        </is>
      </c>
      <c r="AC58" t="inlineStr">
        <is>
          <t xml:space="preserve">Calle Jose Mariano Arce 139 – Dpto. 202 </t>
        </is>
      </c>
      <c r="AD58" t="n">
        <v>0</v>
      </c>
      <c r="AE58" t="inlineStr">
        <is>
          <t>956466496</t>
        </is>
      </c>
      <c r="AF58" t="inlineStr">
        <is>
          <t>anavarrete@nmabogados.com.pe</t>
        </is>
      </c>
      <c r="AG58" t="inlineStr">
        <is>
          <t>LIMA</t>
        </is>
      </c>
      <c r="AH58" t="inlineStr">
        <is>
          <t>PUEBLO LIBRE</t>
        </is>
      </c>
      <c r="AI58" s="116" t="n">
        <v>46022</v>
      </c>
      <c r="AJ58" s="116" t="n">
        <v>46022</v>
      </c>
      <c r="AK58" t="inlineStr">
        <is>
          <t>SALDO FINANCIAR</t>
        </is>
      </c>
      <c r="AL58" t="n">
        <v>2</v>
      </c>
      <c r="AM58" t="n">
        <v>14000</v>
      </c>
      <c r="AN58" t="n">
        <v>0</v>
      </c>
      <c r="AO58" t="n">
        <v>0</v>
      </c>
      <c r="AP58" s="39" t="n">
        <v>14000</v>
      </c>
      <c r="AQ58" s="39" t="n">
        <v>14000</v>
      </c>
      <c r="AR58" s="39" t="n">
        <v>0</v>
      </c>
      <c r="AS58" t="n">
        <v>0</v>
      </c>
      <c r="AT58" t="inlineStr">
        <is>
          <t>Crédito Directo</t>
        </is>
      </c>
      <c r="AU58" t="inlineStr">
        <is>
          <t>Scotiabank Perú</t>
        </is>
      </c>
      <c r="AV58" t="inlineStr">
        <is>
          <t>000-2768484</t>
        </is>
      </c>
      <c r="AW58" t="inlineStr">
        <is>
          <t>TRANSFERENCIA BANCARIA</t>
        </is>
      </c>
      <c r="AY58" t="inlineStr">
        <is>
          <t>059881</t>
        </is>
      </c>
      <c r="AZ58" t="inlineStr">
        <is>
          <t>No</t>
        </is>
      </c>
      <c r="BB58" t="n">
        <v>4</v>
      </c>
      <c r="BC58" t="inlineStr">
        <is>
          <t>CANCELADO</t>
        </is>
      </c>
      <c r="BN58" t="inlineStr">
        <is>
          <t>Si</t>
        </is>
      </c>
      <c r="BO58" s="117" t="n">
        <v>45961.43263888889</v>
      </c>
      <c r="BP58" t="inlineStr">
        <is>
          <t>Magaly Guevara Perez</t>
        </is>
      </c>
      <c r="BR58" t="n">
        <v>54</v>
      </c>
      <c r="BS58" t="inlineStr">
        <is>
          <t>03/07/2026 11:18</t>
        </is>
      </c>
      <c r="BT58" t="n">
        <v>0</v>
      </c>
      <c r="BX58" t="inlineStr">
        <is>
          <t>Cobranzas_2025.csv</t>
        </is>
      </c>
      <c r="BY58" t="n">
        <v>2025</v>
      </c>
      <c r="BZ58" t="inlineStr">
        <is>
          <t>01/01/2024</t>
        </is>
      </c>
      <c r="CA58" t="inlineStr">
        <is>
          <t>30/09/2031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Departamento</t>
        </is>
      </c>
      <c r="F59" t="inlineStr">
        <is>
          <t>504</t>
        </is>
      </c>
      <c r="G59" s="39" t="n">
        <v>417700</v>
      </c>
      <c r="H59" s="39" t="n">
        <v>417700</v>
      </c>
      <c r="M59" s="39" t="n"/>
      <c r="N59" s="39" t="n"/>
      <c r="S59" s="39" t="n"/>
      <c r="T59" s="39" t="n"/>
      <c r="Y59" s="39" t="n"/>
      <c r="Z59" s="39" t="n"/>
      <c r="AA59" t="inlineStr">
        <is>
          <t>Alvaro Geanfranco Mendoza Jump</t>
        </is>
      </c>
      <c r="AB59" t="inlineStr">
        <is>
          <t>72112648</t>
        </is>
      </c>
      <c r="AC59" t="inlineStr">
        <is>
          <t>Urb. San Francisco Mz. B Lt. 11 Departamento de Huanuco, Provincia de Huanuco, Dsitrito Amarilis</t>
        </is>
      </c>
      <c r="AD59" t="n">
        <v>938217737</v>
      </c>
      <c r="AE59" t="inlineStr">
        <is>
          <t>938217737</t>
        </is>
      </c>
      <c r="AF59" t="inlineStr">
        <is>
          <t>alvaromej17@gmail.com</t>
        </is>
      </c>
      <c r="AG59" t="inlineStr">
        <is>
          <t>HUANUCO</t>
        </is>
      </c>
      <c r="AH59" t="inlineStr">
        <is>
          <t>AMARILIS</t>
        </is>
      </c>
      <c r="AI59" s="116" t="n">
        <v>45912</v>
      </c>
      <c r="AJ59" s="116" t="n">
        <v>45912</v>
      </c>
      <c r="AK59" t="inlineStr">
        <is>
          <t>SEPARACION</t>
        </is>
      </c>
      <c r="AL59" t="n">
        <v>1</v>
      </c>
      <c r="AM59" t="n">
        <v>3000</v>
      </c>
      <c r="AN59" t="n">
        <v>0</v>
      </c>
      <c r="AO59" t="n">
        <v>0</v>
      </c>
      <c r="AP59" s="39" t="n">
        <v>3000</v>
      </c>
      <c r="AQ59" s="39" t="n">
        <v>3000</v>
      </c>
      <c r="AR59" s="39" t="n">
        <v>0</v>
      </c>
      <c r="AS59" t="n">
        <v>0</v>
      </c>
      <c r="AT59" t="inlineStr">
        <is>
          <t>Ahorro</t>
        </is>
      </c>
      <c r="AU59" t="inlineStr">
        <is>
          <t>Scotiabank Perú</t>
        </is>
      </c>
      <c r="AV59" t="inlineStr">
        <is>
          <t>000-2768484</t>
        </is>
      </c>
      <c r="AW59" t="inlineStr">
        <is>
          <t>TRANSFERENCIA BANCARIA</t>
        </is>
      </c>
      <c r="AY59" t="inlineStr">
        <is>
          <t>00673199</t>
        </is>
      </c>
      <c r="AZ59" t="inlineStr">
        <is>
          <t>No</t>
        </is>
      </c>
      <c r="BB59" t="n">
        <v>4</v>
      </c>
      <c r="BC59" t="inlineStr">
        <is>
          <t>CANCELADO</t>
        </is>
      </c>
      <c r="BN59" t="inlineStr">
        <is>
          <t>Si</t>
        </is>
      </c>
      <c r="BO59" s="117" t="n">
        <v>45919.61597222222</v>
      </c>
      <c r="BP59" t="inlineStr">
        <is>
          <t>Kenny Salazar S</t>
        </is>
      </c>
      <c r="BR59" t="n">
        <v>36</v>
      </c>
      <c r="BS59" t="inlineStr">
        <is>
          <t>02/06/2026 17:13</t>
        </is>
      </c>
      <c r="BT59" t="n">
        <v>0</v>
      </c>
      <c r="BX59" t="inlineStr">
        <is>
          <t>Cobranzas_2025.csv</t>
        </is>
      </c>
      <c r="BY59" t="n">
        <v>2025</v>
      </c>
      <c r="BZ59" t="inlineStr">
        <is>
          <t>01/01/2024</t>
        </is>
      </c>
      <c r="CA59" t="inlineStr">
        <is>
          <t>30/09/2031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Departamento</t>
        </is>
      </c>
      <c r="F60" t="inlineStr">
        <is>
          <t>504</t>
        </is>
      </c>
      <c r="G60" s="39" t="n">
        <v>417700</v>
      </c>
      <c r="H60" s="39" t="n">
        <v>417700</v>
      </c>
      <c r="M60" s="39" t="n"/>
      <c r="N60" s="39" t="n"/>
      <c r="S60" s="39" t="n"/>
      <c r="T60" s="39" t="n"/>
      <c r="Y60" s="39" t="n"/>
      <c r="Z60" s="39" t="n"/>
      <c r="AA60" t="inlineStr">
        <is>
          <t>Alvaro Geanfranco Mendoza Jump</t>
        </is>
      </c>
      <c r="AB60" t="inlineStr">
        <is>
          <t>72112648</t>
        </is>
      </c>
      <c r="AC60" t="inlineStr">
        <is>
          <t>Urb. San Francisco Mz. B Lt. 11 Departamento de Huanuco, Provincia de Huanuco, Dsitrito Amarilis</t>
        </is>
      </c>
      <c r="AD60" t="n">
        <v>938217737</v>
      </c>
      <c r="AE60" t="inlineStr">
        <is>
          <t>938217737</t>
        </is>
      </c>
      <c r="AF60" t="inlineStr">
        <is>
          <t>alvaromej17@gmail.com</t>
        </is>
      </c>
      <c r="AG60" t="inlineStr">
        <is>
          <t>HUANUCO</t>
        </is>
      </c>
      <c r="AH60" t="inlineStr">
        <is>
          <t>AMARILIS</t>
        </is>
      </c>
      <c r="AI60" s="116" t="n">
        <v>45919</v>
      </c>
      <c r="AJ60" s="116" t="n">
        <v>45919</v>
      </c>
      <c r="AK60" t="inlineStr">
        <is>
          <t>CUOTA INICIAL</t>
        </is>
      </c>
      <c r="AL60" t="n">
        <v>1</v>
      </c>
      <c r="AM60" t="n">
        <v>10000</v>
      </c>
      <c r="AN60" t="n">
        <v>0</v>
      </c>
      <c r="AO60" t="n">
        <v>0</v>
      </c>
      <c r="AP60" s="39" t="n">
        <v>10000</v>
      </c>
      <c r="AQ60" s="39" t="n">
        <v>10000</v>
      </c>
      <c r="AR60" s="39" t="n">
        <v>0</v>
      </c>
      <c r="AS60" t="n">
        <v>0</v>
      </c>
      <c r="AT60" t="inlineStr">
        <is>
          <t>Ahorro</t>
        </is>
      </c>
      <c r="AU60" t="inlineStr">
        <is>
          <t>Scotiabank Perú</t>
        </is>
      </c>
      <c r="AV60" t="inlineStr">
        <is>
          <t>000-2768484</t>
        </is>
      </c>
      <c r="AW60" t="inlineStr">
        <is>
          <t>TRANSFERENCIA BANCARIA</t>
        </is>
      </c>
      <c r="AY60" t="inlineStr">
        <is>
          <t>02785402</t>
        </is>
      </c>
      <c r="AZ60" t="inlineStr">
        <is>
          <t>No</t>
        </is>
      </c>
      <c r="BB60" t="n">
        <v>4</v>
      </c>
      <c r="BC60" t="inlineStr">
        <is>
          <t>CANCELADO</t>
        </is>
      </c>
      <c r="BN60" t="inlineStr">
        <is>
          <t>Si</t>
        </is>
      </c>
      <c r="BO60" s="117" t="n">
        <v>45919.61597222222</v>
      </c>
      <c r="BP60" t="inlineStr">
        <is>
          <t>Kenny Salazar S</t>
        </is>
      </c>
      <c r="BR60" t="n">
        <v>36</v>
      </c>
      <c r="BS60" t="inlineStr">
        <is>
          <t>23/06/2026 15:59</t>
        </is>
      </c>
      <c r="BT60" t="n">
        <v>0</v>
      </c>
      <c r="BX60" t="inlineStr">
        <is>
          <t>Cobranzas_2025.csv</t>
        </is>
      </c>
      <c r="BY60" t="n">
        <v>2025</v>
      </c>
      <c r="BZ60" t="inlineStr">
        <is>
          <t>01/01/2024</t>
        </is>
      </c>
      <c r="CA60" t="inlineStr">
        <is>
          <t>30/09/2031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1104</t>
        </is>
      </c>
      <c r="G61" s="39" t="n">
        <v>397000</v>
      </c>
      <c r="H61" s="39" t="n">
        <v>397000</v>
      </c>
      <c r="M61" s="39" t="n"/>
      <c r="N61" s="39" t="n"/>
      <c r="S61" s="39" t="n"/>
      <c r="T61" s="39" t="n"/>
      <c r="Y61" s="39" t="n"/>
      <c r="Z61" s="39" t="n"/>
      <c r="AA61" t="inlineStr">
        <is>
          <t>Ana Fabiola Alvarez Elias</t>
        </is>
      </c>
      <c r="AB61" t="inlineStr">
        <is>
          <t>06789211</t>
        </is>
      </c>
      <c r="AC61" t="inlineStr">
        <is>
          <t>Jr. Caraveli 968 Interior 103</t>
        </is>
      </c>
      <c r="AD61" t="n">
        <v>991502978</v>
      </c>
      <c r="AE61" t="inlineStr">
        <is>
          <t>986642025</t>
        </is>
      </c>
      <c r="AF61" t="inlineStr">
        <is>
          <t>anafabiola1@hotmail.com</t>
        </is>
      </c>
      <c r="AG61" t="inlineStr">
        <is>
          <t>LIMA</t>
        </is>
      </c>
      <c r="AH61" t="inlineStr">
        <is>
          <t>BREÑA</t>
        </is>
      </c>
      <c r="AI61" s="116" t="n">
        <v>45703</v>
      </c>
      <c r="AJ61" s="116" t="n">
        <v>45703</v>
      </c>
      <c r="AK61" t="inlineStr">
        <is>
          <t>SEPARACION</t>
        </is>
      </c>
      <c r="AL61" t="n">
        <v>1</v>
      </c>
      <c r="AM61" t="n">
        <v>3000</v>
      </c>
      <c r="AN61" t="n">
        <v>0</v>
      </c>
      <c r="AO61" t="n">
        <v>0</v>
      </c>
      <c r="AP61" s="39" t="n">
        <v>3000</v>
      </c>
      <c r="AQ61" s="39" t="n">
        <v>3000</v>
      </c>
      <c r="AR61" s="39" t="n">
        <v>0</v>
      </c>
      <c r="AS61" t="n">
        <v>0</v>
      </c>
      <c r="AT61" t="inlineStr">
        <is>
          <t>Crédito Hipotecario</t>
        </is>
      </c>
      <c r="AU61" t="inlineStr">
        <is>
          <t>Scotiabank Perú</t>
        </is>
      </c>
      <c r="AV61" t="inlineStr">
        <is>
          <t>000-2768484</t>
        </is>
      </c>
      <c r="AW61" t="inlineStr">
        <is>
          <t>POS VISA</t>
        </is>
      </c>
      <c r="AX61" t="inlineStr">
        <is>
          <t>06789211</t>
        </is>
      </c>
      <c r="AY61" t="inlineStr">
        <is>
          <t>31010</t>
        </is>
      </c>
      <c r="AZ61" t="inlineStr">
        <is>
          <t>No</t>
        </is>
      </c>
      <c r="BA61" t="inlineStr">
        <is>
          <t>NO PRECISA</t>
        </is>
      </c>
      <c r="BB61" t="n">
        <v>1</v>
      </c>
      <c r="BC61" t="inlineStr">
        <is>
          <t>CANCELADO</t>
        </is>
      </c>
      <c r="BN61" t="inlineStr">
        <is>
          <t>Si</t>
        </is>
      </c>
      <c r="BO61" s="117" t="n">
        <v>45730.74097222222</v>
      </c>
      <c r="BP61" t="inlineStr">
        <is>
          <t>Carla Michue M</t>
        </is>
      </c>
      <c r="BR61" t="n">
        <v>9</v>
      </c>
      <c r="BS61" t="inlineStr">
        <is>
          <t>29/05/2026 12:21</t>
        </is>
      </c>
      <c r="BT61" t="n">
        <v>0</v>
      </c>
      <c r="BX61" t="inlineStr">
        <is>
          <t>Cobranzas_2025.csv</t>
        </is>
      </c>
      <c r="BY61" t="n">
        <v>2025</v>
      </c>
      <c r="BZ61" t="inlineStr">
        <is>
          <t>01/01/2024</t>
        </is>
      </c>
      <c r="CA61" t="inlineStr">
        <is>
          <t>30/09/2031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1104</t>
        </is>
      </c>
      <c r="G62" s="39" t="n">
        <v>397000</v>
      </c>
      <c r="H62" s="39" t="n">
        <v>397000</v>
      </c>
      <c r="M62" s="39" t="n"/>
      <c r="N62" s="39" t="n"/>
      <c r="S62" s="39" t="n"/>
      <c r="T62" s="39" t="n"/>
      <c r="Y62" s="39" t="n"/>
      <c r="Z62" s="39" t="n"/>
      <c r="AA62" t="inlineStr">
        <is>
          <t>Ana Fabiola Alvarez Elias</t>
        </is>
      </c>
      <c r="AB62" t="inlineStr">
        <is>
          <t>06789211</t>
        </is>
      </c>
      <c r="AC62" t="inlineStr">
        <is>
          <t>Jr. Caraveli 968 Interior 103</t>
        </is>
      </c>
      <c r="AD62" t="n">
        <v>991502978</v>
      </c>
      <c r="AE62" t="inlineStr">
        <is>
          <t>986642025</t>
        </is>
      </c>
      <c r="AF62" t="inlineStr">
        <is>
          <t>anafabiola1@hotmail.com</t>
        </is>
      </c>
      <c r="AG62" t="inlineStr">
        <is>
          <t>LIMA</t>
        </is>
      </c>
      <c r="AH62" t="inlineStr">
        <is>
          <t>BREÑA</t>
        </is>
      </c>
      <c r="AI62" s="116" t="n">
        <v>45730</v>
      </c>
      <c r="AJ62" s="116" t="n">
        <v>45730</v>
      </c>
      <c r="AK62" t="inlineStr">
        <is>
          <t>CUOTA INICIAL</t>
        </is>
      </c>
      <c r="AL62" t="n">
        <v>2</v>
      </c>
      <c r="AM62" t="n">
        <v>23450</v>
      </c>
      <c r="AN62" t="n">
        <v>0</v>
      </c>
      <c r="AO62" t="n">
        <v>0</v>
      </c>
      <c r="AP62" s="39" t="n">
        <v>23450</v>
      </c>
      <c r="AQ62" s="39" t="n">
        <v>23450</v>
      </c>
      <c r="AR62" s="39" t="n">
        <v>0</v>
      </c>
      <c r="AS62" t="n">
        <v>0</v>
      </c>
      <c r="AT62" t="inlineStr">
        <is>
          <t>Crédito Hipotecario</t>
        </is>
      </c>
      <c r="AU62" t="inlineStr">
        <is>
          <t>Scotiabank Perú</t>
        </is>
      </c>
      <c r="AV62" t="inlineStr">
        <is>
          <t>000-2768484</t>
        </is>
      </c>
      <c r="AW62" t="inlineStr">
        <is>
          <t>TRANSFERENCIA BANCARIA</t>
        </is>
      </c>
      <c r="AX62" t="inlineStr">
        <is>
          <t>06789211</t>
        </is>
      </c>
      <c r="AY62" t="inlineStr">
        <is>
          <t>281328</t>
        </is>
      </c>
      <c r="AZ62" t="inlineStr">
        <is>
          <t>No</t>
        </is>
      </c>
      <c r="BA62" t="inlineStr">
        <is>
          <t>NO PRECISA</t>
        </is>
      </c>
      <c r="BB62" t="n">
        <v>1</v>
      </c>
      <c r="BC62" t="inlineStr">
        <is>
          <t>CANCELADO</t>
        </is>
      </c>
      <c r="BN62" t="inlineStr">
        <is>
          <t>Si</t>
        </is>
      </c>
      <c r="BO62" s="117" t="n">
        <v>45730.74097222222</v>
      </c>
      <c r="BP62" t="inlineStr">
        <is>
          <t>Carla Michue M</t>
        </is>
      </c>
      <c r="BR62" t="n">
        <v>9</v>
      </c>
      <c r="BS62" t="inlineStr">
        <is>
          <t>29/05/2026 12:21</t>
        </is>
      </c>
      <c r="BT62" t="n">
        <v>0</v>
      </c>
      <c r="BX62" t="inlineStr">
        <is>
          <t>Cobranzas_2025.csv</t>
        </is>
      </c>
      <c r="BY62" t="n">
        <v>2025</v>
      </c>
      <c r="BZ62" t="inlineStr">
        <is>
          <t>01/01/2024</t>
        </is>
      </c>
      <c r="CA62" t="inlineStr">
        <is>
          <t>30/09/2031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39" t="n">
        <v>397000</v>
      </c>
      <c r="H63" s="39" t="n">
        <v>397000</v>
      </c>
      <c r="M63" s="39" t="n"/>
      <c r="N63" s="39" t="n"/>
      <c r="S63" s="39" t="n"/>
      <c r="T63" s="39" t="n"/>
      <c r="Y63" s="39" t="n"/>
      <c r="Z63" s="39" t="n"/>
      <c r="AA63" t="inlineStr">
        <is>
          <t>Ana Fabiola Alvarez Elias</t>
        </is>
      </c>
      <c r="AB63" t="inlineStr">
        <is>
          <t>06789211</t>
        </is>
      </c>
      <c r="AC63" t="inlineStr">
        <is>
          <t>Jr. Caraveli 968 Interior 103</t>
        </is>
      </c>
      <c r="AD63" t="n">
        <v>991502978</v>
      </c>
      <c r="AE63" t="inlineStr">
        <is>
          <t>986642025</t>
        </is>
      </c>
      <c r="AF63" t="inlineStr">
        <is>
          <t>anafabiola1@hotmail.com</t>
        </is>
      </c>
      <c r="AG63" t="inlineStr">
        <is>
          <t>LIMA</t>
        </is>
      </c>
      <c r="AH63" t="inlineStr">
        <is>
          <t>BREÑA</t>
        </is>
      </c>
      <c r="AI63" s="116" t="n">
        <v>45730</v>
      </c>
      <c r="AJ63" s="116" t="n">
        <v>45730</v>
      </c>
      <c r="AK63" t="inlineStr">
        <is>
          <t>CUOTA INICIAL</t>
        </is>
      </c>
      <c r="AL63" t="n">
        <v>3</v>
      </c>
      <c r="AM63" t="n">
        <v>78000</v>
      </c>
      <c r="AN63" t="n">
        <v>0</v>
      </c>
      <c r="AO63" t="n">
        <v>0</v>
      </c>
      <c r="AP63" s="39" t="n">
        <v>78000</v>
      </c>
      <c r="AQ63" s="39" t="n">
        <v>78000</v>
      </c>
      <c r="AR63" s="39" t="n">
        <v>0</v>
      </c>
      <c r="AS63" t="n">
        <v>0</v>
      </c>
      <c r="AT63" t="inlineStr">
        <is>
          <t>Crédito Hipotecario</t>
        </is>
      </c>
      <c r="AU63" t="inlineStr">
        <is>
          <t>Scotiabank Perú</t>
        </is>
      </c>
      <c r="AV63" t="inlineStr">
        <is>
          <t>000-2768484</t>
        </is>
      </c>
      <c r="AW63" t="inlineStr">
        <is>
          <t>TRANSFERENCIA BANCARIA</t>
        </is>
      </c>
      <c r="AX63" t="inlineStr">
        <is>
          <t>06789211</t>
        </is>
      </c>
      <c r="AY63" t="inlineStr">
        <is>
          <t>7502425</t>
        </is>
      </c>
      <c r="AZ63" t="inlineStr">
        <is>
          <t>No</t>
        </is>
      </c>
      <c r="BA63" t="inlineStr">
        <is>
          <t>NO PRECISA</t>
        </is>
      </c>
      <c r="BB63" t="n">
        <v>1</v>
      </c>
      <c r="BC63" t="inlineStr">
        <is>
          <t>CANCELADO</t>
        </is>
      </c>
      <c r="BN63" t="inlineStr">
        <is>
          <t>Si</t>
        </is>
      </c>
      <c r="BO63" s="117" t="n">
        <v>45730.74097222222</v>
      </c>
      <c r="BP63" t="inlineStr">
        <is>
          <t>Carla Michue M</t>
        </is>
      </c>
      <c r="BR63" t="n">
        <v>9</v>
      </c>
      <c r="BS63" t="inlineStr">
        <is>
          <t>29/05/2026 12:21</t>
        </is>
      </c>
      <c r="BT63" t="n">
        <v>0</v>
      </c>
      <c r="BX63" t="inlineStr">
        <is>
          <t>Cobranzas_2025.csv</t>
        </is>
      </c>
      <c r="BY63" t="n">
        <v>2025</v>
      </c>
      <c r="BZ63" t="inlineStr">
        <is>
          <t>01/01/2024</t>
        </is>
      </c>
      <c r="CA63" t="inlineStr">
        <is>
          <t>30/09/2031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39" t="n">
        <v>397000</v>
      </c>
      <c r="H64" s="39" t="n">
        <v>397000</v>
      </c>
      <c r="M64" s="39" t="n"/>
      <c r="N64" s="39" t="n"/>
      <c r="S64" s="39" t="n"/>
      <c r="T64" s="39" t="n"/>
      <c r="Y64" s="39" t="n"/>
      <c r="Z64" s="39" t="n"/>
      <c r="AA64" t="inlineStr">
        <is>
          <t>Ana Fabiola Alvarez Elias</t>
        </is>
      </c>
      <c r="AB64" t="inlineStr">
        <is>
          <t>06789211</t>
        </is>
      </c>
      <c r="AC64" t="inlineStr">
        <is>
          <t>Jr. Caraveli 968 Interior 103</t>
        </is>
      </c>
      <c r="AD64" t="n">
        <v>991502978</v>
      </c>
      <c r="AE64" t="inlineStr">
        <is>
          <t>986642025</t>
        </is>
      </c>
      <c r="AF64" t="inlineStr">
        <is>
          <t>anafabiola1@hotmail.com</t>
        </is>
      </c>
      <c r="AG64" t="inlineStr">
        <is>
          <t>LIMA</t>
        </is>
      </c>
      <c r="AH64" t="inlineStr">
        <is>
          <t>BREÑA</t>
        </is>
      </c>
      <c r="AI64" s="116" t="n">
        <v>45746</v>
      </c>
      <c r="AJ64" s="116" t="n">
        <v>45747</v>
      </c>
      <c r="AK64" t="inlineStr">
        <is>
          <t>SALDO FINANCIAR</t>
        </is>
      </c>
      <c r="AL64" t="n">
        <v>1</v>
      </c>
      <c r="AM64" t="n">
        <v>292550</v>
      </c>
      <c r="AN64" t="n">
        <v>0</v>
      </c>
      <c r="AO64" t="n">
        <v>0</v>
      </c>
      <c r="AP64" s="39" t="n">
        <v>292550</v>
      </c>
      <c r="AQ64" s="39" t="n">
        <v>34500</v>
      </c>
      <c r="AR64" s="39" t="n">
        <v>0</v>
      </c>
      <c r="AS64" t="n">
        <v>0</v>
      </c>
      <c r="AT64" t="inlineStr">
        <is>
          <t>Crédito Hipotecario</t>
        </is>
      </c>
      <c r="AU64" t="inlineStr">
        <is>
          <t>Scotiabank Perú</t>
        </is>
      </c>
      <c r="AV64" t="inlineStr">
        <is>
          <t>000-2768484</t>
        </is>
      </c>
      <c r="AW64" t="inlineStr">
        <is>
          <t>DEPOSITO EN CUENTA</t>
        </is>
      </c>
      <c r="AY64" t="inlineStr">
        <is>
          <t>23022025</t>
        </is>
      </c>
      <c r="AZ64" t="inlineStr">
        <is>
          <t>No</t>
        </is>
      </c>
      <c r="BB64" t="n">
        <v>4</v>
      </c>
      <c r="BC64" t="inlineStr">
        <is>
          <t>CANCELADO</t>
        </is>
      </c>
      <c r="BN64" t="inlineStr">
        <is>
          <t>Si</t>
        </is>
      </c>
      <c r="BO64" s="117" t="n">
        <v>45730.74097222222</v>
      </c>
      <c r="BP64" t="inlineStr">
        <is>
          <t>Carla Michue M</t>
        </is>
      </c>
      <c r="BR64" t="n">
        <v>9</v>
      </c>
      <c r="BS64" t="inlineStr">
        <is>
          <t>07/07/2026 14:22</t>
        </is>
      </c>
      <c r="BT64" t="n">
        <v>0</v>
      </c>
      <c r="BX64" t="inlineStr">
        <is>
          <t>Cobranzas_2025.csv</t>
        </is>
      </c>
      <c r="BY64" t="n">
        <v>2025</v>
      </c>
      <c r="BZ64" t="inlineStr">
        <is>
          <t>01/01/2024</t>
        </is>
      </c>
      <c r="CA64" t="inlineStr">
        <is>
          <t>30/09/2031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39" t="n">
        <v>397000</v>
      </c>
      <c r="H65" s="39" t="n">
        <v>397000</v>
      </c>
      <c r="M65" s="39" t="n"/>
      <c r="N65" s="39" t="n"/>
      <c r="S65" s="39" t="n"/>
      <c r="T65" s="39" t="n"/>
      <c r="Y65" s="39" t="n"/>
      <c r="Z65" s="39" t="n"/>
      <c r="AA65" t="inlineStr">
        <is>
          <t>Ana Fabiola Alvarez Elias</t>
        </is>
      </c>
      <c r="AB65" t="inlineStr">
        <is>
          <t>06789211</t>
        </is>
      </c>
      <c r="AC65" t="inlineStr">
        <is>
          <t>Jr. Caraveli 968 Interior 103</t>
        </is>
      </c>
      <c r="AD65" t="n">
        <v>991502978</v>
      </c>
      <c r="AE65" t="inlineStr">
        <is>
          <t>986642025</t>
        </is>
      </c>
      <c r="AF65" t="inlineStr">
        <is>
          <t>anafabiola1@hotmail.com</t>
        </is>
      </c>
      <c r="AG65" t="inlineStr">
        <is>
          <t>LIMA</t>
        </is>
      </c>
      <c r="AH65" t="inlineStr">
        <is>
          <t>BREÑA</t>
        </is>
      </c>
      <c r="AI65" s="116" t="n">
        <v>45746</v>
      </c>
      <c r="AJ65" s="116" t="n">
        <v>45747</v>
      </c>
      <c r="AK65" t="inlineStr">
        <is>
          <t>SALDO FINANCIAR</t>
        </is>
      </c>
      <c r="AL65" t="n">
        <v>1</v>
      </c>
      <c r="AM65" t="n">
        <v>0</v>
      </c>
      <c r="AN65" t="n">
        <v>0</v>
      </c>
      <c r="AO65" t="n">
        <v>0</v>
      </c>
      <c r="AP65" s="39" t="n">
        <v>0</v>
      </c>
      <c r="AQ65" s="39" t="n">
        <v>258050</v>
      </c>
      <c r="AR65" s="39" t="n">
        <v>0</v>
      </c>
      <c r="AS65" t="n">
        <v>0</v>
      </c>
      <c r="AT65" t="inlineStr">
        <is>
          <t>Crédito Hipotecario</t>
        </is>
      </c>
      <c r="AU65" t="inlineStr">
        <is>
          <t>Scotiabank Perú</t>
        </is>
      </c>
      <c r="AV65" t="inlineStr">
        <is>
          <t>000-2768484</t>
        </is>
      </c>
      <c r="AW65" t="inlineStr">
        <is>
          <t>TRANSFERENCIA BANCARIA</t>
        </is>
      </c>
      <c r="AY65" t="inlineStr">
        <is>
          <t>30032025</t>
        </is>
      </c>
      <c r="AZ65" t="inlineStr">
        <is>
          <t>No</t>
        </is>
      </c>
      <c r="BB65" t="n">
        <v>4</v>
      </c>
      <c r="BC65" t="inlineStr">
        <is>
          <t>CANCELADO</t>
        </is>
      </c>
      <c r="BN65" t="inlineStr">
        <is>
          <t>Si</t>
        </is>
      </c>
      <c r="BO65" s="117" t="n">
        <v>45730.74097222222</v>
      </c>
      <c r="BP65" t="inlineStr">
        <is>
          <t>Carla Michue M</t>
        </is>
      </c>
      <c r="BR65" t="n">
        <v>9</v>
      </c>
      <c r="BS65" t="inlineStr">
        <is>
          <t>07/07/2026 14:23</t>
        </is>
      </c>
      <c r="BT65" t="n">
        <v>0</v>
      </c>
      <c r="BX65" t="inlineStr">
        <is>
          <t>Cobranzas_2025.csv</t>
        </is>
      </c>
      <c r="BY65" t="n">
        <v>2025</v>
      </c>
      <c r="BZ65" t="inlineStr">
        <is>
          <t>01/01/2024</t>
        </is>
      </c>
      <c r="CA65" t="inlineStr">
        <is>
          <t>30/09/2031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Estacionamiento</t>
        </is>
      </c>
      <c r="F66" t="inlineStr">
        <is>
          <t>E 15</t>
        </is>
      </c>
      <c r="G66" s="39" t="n">
        <v>50500</v>
      </c>
      <c r="H66" s="39" t="n">
        <v>50500</v>
      </c>
      <c r="M66" s="39" t="n"/>
      <c r="N66" s="39" t="n"/>
      <c r="S66" s="39" t="n"/>
      <c r="T66" s="39" t="n"/>
      <c r="Y66" s="39" t="n"/>
      <c r="Z66" s="39" t="n"/>
      <c r="AA66" t="inlineStr">
        <is>
          <t>Ana Fabiola Alvarez Elias</t>
        </is>
      </c>
      <c r="AB66" t="inlineStr">
        <is>
          <t>06789211</t>
        </is>
      </c>
      <c r="AC66" t="inlineStr">
        <is>
          <t>Jr. Caraveli 968 Interior 103</t>
        </is>
      </c>
      <c r="AD66" t="n">
        <v>0</v>
      </c>
      <c r="AE66" t="inlineStr">
        <is>
          <t>986642025</t>
        </is>
      </c>
      <c r="AF66" t="inlineStr">
        <is>
          <t>anafabiola1@hotmail.com</t>
        </is>
      </c>
      <c r="AG66" t="inlineStr">
        <is>
          <t>LIMA</t>
        </is>
      </c>
      <c r="AH66" t="inlineStr">
        <is>
          <t>BREÑA</t>
        </is>
      </c>
      <c r="AI66" s="116" t="n">
        <v>45824</v>
      </c>
      <c r="AJ66" s="116" t="n">
        <v>45824</v>
      </c>
      <c r="AK66" t="inlineStr">
        <is>
          <t>SEPARACION</t>
        </is>
      </c>
      <c r="AL66" t="n">
        <v>1</v>
      </c>
      <c r="AM66" t="n">
        <v>3000</v>
      </c>
      <c r="AN66" t="n">
        <v>0</v>
      </c>
      <c r="AO66" t="n">
        <v>0</v>
      </c>
      <c r="AP66" s="39" t="n">
        <v>3000</v>
      </c>
      <c r="AQ66" s="39" t="n">
        <v>3000</v>
      </c>
      <c r="AR66" s="39" t="n">
        <v>0</v>
      </c>
      <c r="AS66" t="n">
        <v>0</v>
      </c>
      <c r="AT66" t="inlineStr">
        <is>
          <t>Crédito Directo</t>
        </is>
      </c>
      <c r="AU66" t="inlineStr">
        <is>
          <t>Scotiabank Perú</t>
        </is>
      </c>
      <c r="AV66" t="inlineStr">
        <is>
          <t>000-2768484</t>
        </is>
      </c>
      <c r="AW66" t="inlineStr">
        <is>
          <t>DEPOSITO EN CUENTA</t>
        </is>
      </c>
      <c r="AY66" t="inlineStr">
        <is>
          <t>005993292</t>
        </is>
      </c>
      <c r="AZ66" t="inlineStr">
        <is>
          <t>No</t>
        </is>
      </c>
      <c r="BB66" t="n">
        <v>4</v>
      </c>
      <c r="BC66" t="inlineStr">
        <is>
          <t>CANCELADO</t>
        </is>
      </c>
      <c r="BN66" t="inlineStr">
        <is>
          <t>Si</t>
        </is>
      </c>
      <c r="BO66" s="117" t="n">
        <v>45868.49166666667</v>
      </c>
      <c r="BP66" t="inlineStr">
        <is>
          <t>Magaly Guevara Perez</t>
        </is>
      </c>
      <c r="BR66" t="n">
        <v>62</v>
      </c>
      <c r="BS66" t="inlineStr">
        <is>
          <t>18/08/2026 11:26</t>
        </is>
      </c>
      <c r="BT66" t="n">
        <v>0</v>
      </c>
      <c r="BX66" t="inlineStr">
        <is>
          <t>Cobranzas_2025.csv</t>
        </is>
      </c>
      <c r="BY66" t="n">
        <v>2025</v>
      </c>
      <c r="BZ66" t="inlineStr">
        <is>
          <t>01/01/2024</t>
        </is>
      </c>
      <c r="CA66" t="inlineStr">
        <is>
          <t>30/09/2031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Estacionamiento</t>
        </is>
      </c>
      <c r="F67" t="inlineStr">
        <is>
          <t>E 15</t>
        </is>
      </c>
      <c r="G67" s="39" t="n">
        <v>50500</v>
      </c>
      <c r="H67" s="39" t="n">
        <v>50500</v>
      </c>
      <c r="M67" s="39" t="n"/>
      <c r="N67" s="39" t="n"/>
      <c r="S67" s="39" t="n"/>
      <c r="T67" s="39" t="n"/>
      <c r="Y67" s="39" t="n"/>
      <c r="Z67" s="39" t="n"/>
      <c r="AA67" t="inlineStr">
        <is>
          <t>Ana Fabiola Alvarez Elias</t>
        </is>
      </c>
      <c r="AB67" t="inlineStr">
        <is>
          <t>06789211</t>
        </is>
      </c>
      <c r="AC67" t="inlineStr">
        <is>
          <t>Jr. Caraveli 968 Interior 103</t>
        </is>
      </c>
      <c r="AD67" t="n">
        <v>0</v>
      </c>
      <c r="AE67" t="inlineStr">
        <is>
          <t>986642025</t>
        </is>
      </c>
      <c r="AF67" t="inlineStr">
        <is>
          <t>anafabiola1@hotmail.com</t>
        </is>
      </c>
      <c r="AG67" t="inlineStr">
        <is>
          <t>LIMA</t>
        </is>
      </c>
      <c r="AH67" t="inlineStr">
        <is>
          <t>BREÑA</t>
        </is>
      </c>
      <c r="AI67" s="116" t="n">
        <v>45824</v>
      </c>
      <c r="AJ67" s="116" t="n">
        <v>45824</v>
      </c>
      <c r="AK67" t="inlineStr">
        <is>
          <t>CUOTA INICIAL</t>
        </is>
      </c>
      <c r="AL67" t="n">
        <v>1</v>
      </c>
      <c r="AM67" t="n">
        <v>7000</v>
      </c>
      <c r="AN67" t="n">
        <v>0</v>
      </c>
      <c r="AO67" t="n">
        <v>0</v>
      </c>
      <c r="AP67" s="39" t="n">
        <v>7000</v>
      </c>
      <c r="AQ67" s="39" t="n">
        <v>7000</v>
      </c>
      <c r="AR67" s="39" t="n">
        <v>0</v>
      </c>
      <c r="AS67" t="n">
        <v>0</v>
      </c>
      <c r="AT67" t="inlineStr">
        <is>
          <t>Crédito Directo</t>
        </is>
      </c>
      <c r="AU67" t="inlineStr">
        <is>
          <t>Scotiabank Perú</t>
        </is>
      </c>
      <c r="AV67" t="inlineStr">
        <is>
          <t>000-2768484</t>
        </is>
      </c>
      <c r="AW67" t="inlineStr">
        <is>
          <t>TRANSFERENCIA BANCARIA</t>
        </is>
      </c>
      <c r="AY67" t="inlineStr">
        <is>
          <t>0005993292</t>
        </is>
      </c>
      <c r="AZ67" t="inlineStr">
        <is>
          <t>No</t>
        </is>
      </c>
      <c r="BB67" t="n">
        <v>4</v>
      </c>
      <c r="BC67" t="inlineStr">
        <is>
          <t>CANCELADO</t>
        </is>
      </c>
      <c r="BN67" t="inlineStr">
        <is>
          <t>Si</t>
        </is>
      </c>
      <c r="BO67" s="117" t="n">
        <v>45868.49166666667</v>
      </c>
      <c r="BP67" t="inlineStr">
        <is>
          <t>Magaly Guevara Perez</t>
        </is>
      </c>
      <c r="BR67" t="n">
        <v>62</v>
      </c>
      <c r="BS67" t="inlineStr">
        <is>
          <t>18/08/2026 11:27</t>
        </is>
      </c>
      <c r="BT67" t="n">
        <v>0</v>
      </c>
      <c r="BX67" t="inlineStr">
        <is>
          <t>Cobranzas_2025.csv</t>
        </is>
      </c>
      <c r="BY67" t="n">
        <v>2025</v>
      </c>
      <c r="BZ67" t="inlineStr">
        <is>
          <t>01/01/2024</t>
        </is>
      </c>
      <c r="CA67" t="inlineStr">
        <is>
          <t>30/09/2031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39" t="n">
        <v>50500</v>
      </c>
      <c r="H68" s="39" t="n">
        <v>50500</v>
      </c>
      <c r="M68" s="39" t="n"/>
      <c r="N68" s="39" t="n"/>
      <c r="S68" s="39" t="n"/>
      <c r="T68" s="39" t="n"/>
      <c r="Y68" s="39" t="n"/>
      <c r="Z68" s="39" t="n"/>
      <c r="AA68" t="inlineStr">
        <is>
          <t>Ana Fabiola Alvarez Elias</t>
        </is>
      </c>
      <c r="AB68" t="inlineStr">
        <is>
          <t>06789211</t>
        </is>
      </c>
      <c r="AC68" t="inlineStr">
        <is>
          <t>Jr. Caraveli 968 Interior 103</t>
        </is>
      </c>
      <c r="AD68" t="n">
        <v>0</v>
      </c>
      <c r="AE68" t="inlineStr">
        <is>
          <t>986642025</t>
        </is>
      </c>
      <c r="AF68" t="inlineStr">
        <is>
          <t>anafabiola1@hotmail.com</t>
        </is>
      </c>
      <c r="AG68" t="inlineStr">
        <is>
          <t>LIMA</t>
        </is>
      </c>
      <c r="AH68" t="inlineStr">
        <is>
          <t>BREÑA</t>
        </is>
      </c>
      <c r="AI68" s="116" t="n">
        <v>45868</v>
      </c>
      <c r="AJ68" s="116" t="n">
        <v>45868</v>
      </c>
      <c r="AK68" t="inlineStr">
        <is>
          <t>SALDO FINANCIAR</t>
        </is>
      </c>
      <c r="AL68" t="n">
        <v>1</v>
      </c>
      <c r="AM68" t="n">
        <v>3000</v>
      </c>
      <c r="AN68" t="n">
        <v>0</v>
      </c>
      <c r="AO68" t="n">
        <v>0</v>
      </c>
      <c r="AP68" s="39" t="n">
        <v>3000</v>
      </c>
      <c r="AQ68" s="39" t="n">
        <v>3000</v>
      </c>
      <c r="AR68" s="39" t="n">
        <v>0</v>
      </c>
      <c r="AS68" t="n">
        <v>0</v>
      </c>
      <c r="AT68" t="inlineStr">
        <is>
          <t>Crédito Directo</t>
        </is>
      </c>
      <c r="AU68" t="inlineStr">
        <is>
          <t>Scotiabank Perú</t>
        </is>
      </c>
      <c r="AV68" t="inlineStr">
        <is>
          <t>000-2768484</t>
        </is>
      </c>
      <c r="AW68" t="inlineStr">
        <is>
          <t>TRANSFERENCIA BANCARIA</t>
        </is>
      </c>
      <c r="AY68" t="inlineStr">
        <is>
          <t>009170000000276848424</t>
        </is>
      </c>
      <c r="AZ68" t="inlineStr">
        <is>
          <t>No</t>
        </is>
      </c>
      <c r="BB68" t="n">
        <v>4</v>
      </c>
      <c r="BC68" t="inlineStr">
        <is>
          <t>CANCELADO</t>
        </is>
      </c>
      <c r="BN68" t="inlineStr">
        <is>
          <t>Si</t>
        </is>
      </c>
      <c r="BO68" s="117" t="n">
        <v>45868.49166666667</v>
      </c>
      <c r="BP68" t="inlineStr">
        <is>
          <t>Magaly Guevara Perez</t>
        </is>
      </c>
      <c r="BR68" t="n">
        <v>62</v>
      </c>
      <c r="BS68" t="inlineStr">
        <is>
          <t>18/08/2026 11:28</t>
        </is>
      </c>
      <c r="BT68" t="n">
        <v>0</v>
      </c>
      <c r="BX68" t="inlineStr">
        <is>
          <t>Cobranzas_2025.csv</t>
        </is>
      </c>
      <c r="BY68" t="n">
        <v>2025</v>
      </c>
      <c r="BZ68" t="inlineStr">
        <is>
          <t>01/01/2024</t>
        </is>
      </c>
      <c r="CA68" t="inlineStr">
        <is>
          <t>30/09/2031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39" t="n">
        <v>50500</v>
      </c>
      <c r="H69" s="39" t="n">
        <v>50500</v>
      </c>
      <c r="M69" s="39" t="n"/>
      <c r="N69" s="39" t="n"/>
      <c r="S69" s="39" t="n"/>
      <c r="T69" s="39" t="n"/>
      <c r="Y69" s="39" t="n"/>
      <c r="Z69" s="39" t="n"/>
      <c r="AA69" t="inlineStr">
        <is>
          <t>Ana Fabiola Alvarez Elias</t>
        </is>
      </c>
      <c r="AB69" t="inlineStr">
        <is>
          <t>06789211</t>
        </is>
      </c>
      <c r="AC69" t="inlineStr">
        <is>
          <t>Jr. Caraveli 968 Interior 103</t>
        </is>
      </c>
      <c r="AD69" t="n">
        <v>0</v>
      </c>
      <c r="AE69" t="inlineStr">
        <is>
          <t>986642025</t>
        </is>
      </c>
      <c r="AF69" t="inlineStr">
        <is>
          <t>anafabiola1@hotmail.com</t>
        </is>
      </c>
      <c r="AG69" t="inlineStr">
        <is>
          <t>LIMA</t>
        </is>
      </c>
      <c r="AH69" t="inlineStr">
        <is>
          <t>BREÑA</t>
        </is>
      </c>
      <c r="AI69" s="116" t="n">
        <v>45901</v>
      </c>
      <c r="AJ69" s="116" t="n">
        <v>45901</v>
      </c>
      <c r="AK69" t="inlineStr">
        <is>
          <t>SALDO FINANCIAR</t>
        </is>
      </c>
      <c r="AL69" t="n">
        <v>2</v>
      </c>
      <c r="AM69" t="n">
        <v>3000</v>
      </c>
      <c r="AN69" t="n">
        <v>0</v>
      </c>
      <c r="AO69" t="n">
        <v>0</v>
      </c>
      <c r="AP69" s="39" t="n">
        <v>3000</v>
      </c>
      <c r="AQ69" s="39" t="n">
        <v>3000</v>
      </c>
      <c r="AR69" s="39" t="n">
        <v>0</v>
      </c>
      <c r="AS69" t="n">
        <v>0</v>
      </c>
      <c r="AT69" t="inlineStr">
        <is>
          <t>Crédito Directo</t>
        </is>
      </c>
      <c r="AU69" t="inlineStr">
        <is>
          <t>Scotiabank Perú</t>
        </is>
      </c>
      <c r="AV69" t="inlineStr">
        <is>
          <t>00917000000276848424</t>
        </is>
      </c>
      <c r="AW69" t="inlineStr">
        <is>
          <t>TRANSFERENCIA BANCARIA</t>
        </is>
      </c>
      <c r="AY69" t="inlineStr">
        <is>
          <t>00000031360000003138</t>
        </is>
      </c>
      <c r="AZ69" t="inlineStr">
        <is>
          <t>No</t>
        </is>
      </c>
      <c r="BB69" t="n">
        <v>4</v>
      </c>
      <c r="BC69" t="inlineStr">
        <is>
          <t>CANCELADO</t>
        </is>
      </c>
      <c r="BN69" t="inlineStr">
        <is>
          <t>Si</t>
        </is>
      </c>
      <c r="BO69" s="117" t="n">
        <v>45868.49166666667</v>
      </c>
      <c r="BP69" t="inlineStr">
        <is>
          <t>Magaly Guevara Perez</t>
        </is>
      </c>
      <c r="BR69" t="n">
        <v>62</v>
      </c>
      <c r="BS69" t="inlineStr">
        <is>
          <t>18/08/2026 11:29</t>
        </is>
      </c>
      <c r="BT69" t="n">
        <v>0</v>
      </c>
      <c r="BX69" t="inlineStr">
        <is>
          <t>Cobranzas_2025.csv</t>
        </is>
      </c>
      <c r="BY69" t="n">
        <v>2025</v>
      </c>
      <c r="BZ69" t="inlineStr">
        <is>
          <t>01/01/2024</t>
        </is>
      </c>
      <c r="CA69" t="inlineStr">
        <is>
          <t>30/09/2031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39" t="n">
        <v>50500</v>
      </c>
      <c r="H70" s="39" t="n">
        <v>50500</v>
      </c>
      <c r="M70" s="39" t="n"/>
      <c r="N70" s="39" t="n"/>
      <c r="S70" s="39" t="n"/>
      <c r="T70" s="39" t="n"/>
      <c r="Y70" s="39" t="n"/>
      <c r="Z70" s="39" t="n"/>
      <c r="AA70" t="inlineStr">
        <is>
          <t>Ana Fabiola Alvarez Elias</t>
        </is>
      </c>
      <c r="AB70" t="inlineStr">
        <is>
          <t>06789211</t>
        </is>
      </c>
      <c r="AC70" t="inlineStr">
        <is>
          <t>Jr. Caraveli 968 Interior 103</t>
        </is>
      </c>
      <c r="AD70" t="n">
        <v>0</v>
      </c>
      <c r="AE70" t="inlineStr">
        <is>
          <t>986642025</t>
        </is>
      </c>
      <c r="AF70" t="inlineStr">
        <is>
          <t>anafabiola1@hotmail.com</t>
        </is>
      </c>
      <c r="AG70" t="inlineStr">
        <is>
          <t>LIMA</t>
        </is>
      </c>
      <c r="AH70" t="inlineStr">
        <is>
          <t>BREÑA</t>
        </is>
      </c>
      <c r="AI70" s="116" t="n">
        <v>45931</v>
      </c>
      <c r="AJ70" s="116" t="n">
        <v>45931</v>
      </c>
      <c r="AK70" t="inlineStr">
        <is>
          <t>SALDO FINANCIAR</t>
        </is>
      </c>
      <c r="AL70" t="n">
        <v>3</v>
      </c>
      <c r="AM70" t="n">
        <v>3000</v>
      </c>
      <c r="AN70" t="n">
        <v>0</v>
      </c>
      <c r="AO70" t="n">
        <v>0</v>
      </c>
      <c r="AP70" s="39" t="n">
        <v>3000</v>
      </c>
      <c r="AQ70" s="39" t="n">
        <v>3000</v>
      </c>
      <c r="AR70" s="39" t="n">
        <v>0</v>
      </c>
      <c r="AS70" t="n">
        <v>0</v>
      </c>
      <c r="AT70" t="inlineStr">
        <is>
          <t>Crédito Directo</t>
        </is>
      </c>
      <c r="AU70" t="inlineStr">
        <is>
          <t>Scotiabank Perú</t>
        </is>
      </c>
      <c r="AV70" t="inlineStr">
        <is>
          <t>00917000000276848424</t>
        </is>
      </c>
      <c r="AW70" t="inlineStr">
        <is>
          <t>TRANSFERENCIA BANCARIA</t>
        </is>
      </c>
      <c r="AY70" t="inlineStr">
        <is>
          <t>0000320400003206</t>
        </is>
      </c>
      <c r="AZ70" t="inlineStr">
        <is>
          <t>No</t>
        </is>
      </c>
      <c r="BB70" t="n">
        <v>4</v>
      </c>
      <c r="BC70" t="inlineStr">
        <is>
          <t>CANCELADO</t>
        </is>
      </c>
      <c r="BN70" t="inlineStr">
        <is>
          <t>Si</t>
        </is>
      </c>
      <c r="BO70" s="117" t="n">
        <v>45868.49166666667</v>
      </c>
      <c r="BP70" t="inlineStr">
        <is>
          <t>Magaly Guevara Perez</t>
        </is>
      </c>
      <c r="BR70" t="n">
        <v>62</v>
      </c>
      <c r="BS70" t="inlineStr">
        <is>
          <t>18/08/2026 11:30</t>
        </is>
      </c>
      <c r="BT70" t="n">
        <v>0</v>
      </c>
      <c r="BX70" t="inlineStr">
        <is>
          <t>Cobranzas_2025.csv</t>
        </is>
      </c>
      <c r="BY70" t="n">
        <v>2025</v>
      </c>
      <c r="BZ70" t="inlineStr">
        <is>
          <t>01/01/2024</t>
        </is>
      </c>
      <c r="CA70" t="inlineStr">
        <is>
          <t>30/09/2031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39" t="n">
        <v>50500</v>
      </c>
      <c r="H71" s="39" t="n">
        <v>50500</v>
      </c>
      <c r="M71" s="39" t="n"/>
      <c r="N71" s="39" t="n"/>
      <c r="S71" s="39" t="n"/>
      <c r="T71" s="39" t="n"/>
      <c r="Y71" s="39" t="n"/>
      <c r="Z71" s="39" t="n"/>
      <c r="AA71" t="inlineStr">
        <is>
          <t>Ana Fabiola Alvarez Elias</t>
        </is>
      </c>
      <c r="AB71" t="inlineStr">
        <is>
          <t>06789211</t>
        </is>
      </c>
      <c r="AC71" t="inlineStr">
        <is>
          <t>Jr. Caraveli 968 Interior 103</t>
        </is>
      </c>
      <c r="AD71" t="n">
        <v>0</v>
      </c>
      <c r="AE71" t="inlineStr">
        <is>
          <t>986642025</t>
        </is>
      </c>
      <c r="AF71" t="inlineStr">
        <is>
          <t>anafabiola1@hotmail.com</t>
        </is>
      </c>
      <c r="AG71" t="inlineStr">
        <is>
          <t>LIMA</t>
        </is>
      </c>
      <c r="AH71" t="inlineStr">
        <is>
          <t>BREÑA</t>
        </is>
      </c>
      <c r="AI71" s="116" t="n">
        <v>45958</v>
      </c>
      <c r="AJ71" s="116" t="n">
        <v>45958</v>
      </c>
      <c r="AK71" t="inlineStr">
        <is>
          <t>SALDO FINANCIAR</t>
        </is>
      </c>
      <c r="AL71" t="n">
        <v>4</v>
      </c>
      <c r="AM71" t="n">
        <v>3000</v>
      </c>
      <c r="AN71" t="n">
        <v>0</v>
      </c>
      <c r="AO71" t="n">
        <v>0</v>
      </c>
      <c r="AP71" s="39" t="n">
        <v>3000</v>
      </c>
      <c r="AQ71" s="39" t="n">
        <v>3000</v>
      </c>
      <c r="AR71" s="39" t="n">
        <v>0</v>
      </c>
      <c r="AS71" t="n">
        <v>0</v>
      </c>
      <c r="AT71" t="inlineStr">
        <is>
          <t>Crédito Directo</t>
        </is>
      </c>
      <c r="AU71" t="inlineStr">
        <is>
          <t>Scotiabank Perú</t>
        </is>
      </c>
      <c r="AV71" t="inlineStr">
        <is>
          <t>000-2768484</t>
        </is>
      </c>
      <c r="AW71" t="inlineStr">
        <is>
          <t>TRANSFERENCIA BANCARIA</t>
        </is>
      </c>
      <c r="AY71" t="inlineStr">
        <is>
          <t>0000326400003266</t>
        </is>
      </c>
      <c r="AZ71" t="inlineStr">
        <is>
          <t>No</t>
        </is>
      </c>
      <c r="BB71" t="n">
        <v>4</v>
      </c>
      <c r="BC71" t="inlineStr">
        <is>
          <t>CANCELADO</t>
        </is>
      </c>
      <c r="BN71" t="inlineStr">
        <is>
          <t>Si</t>
        </is>
      </c>
      <c r="BO71" s="117" t="n">
        <v>45868.49166666667</v>
      </c>
      <c r="BP71" t="inlineStr">
        <is>
          <t>Magaly Guevara Perez</t>
        </is>
      </c>
      <c r="BR71" t="n">
        <v>62</v>
      </c>
      <c r="BS71" t="inlineStr">
        <is>
          <t>18/08/2026 11:30</t>
        </is>
      </c>
      <c r="BT71" t="n">
        <v>0</v>
      </c>
      <c r="BX71" t="inlineStr">
        <is>
          <t>Cobranzas_2025.csv</t>
        </is>
      </c>
      <c r="BY71" t="n">
        <v>2025</v>
      </c>
      <c r="BZ71" t="inlineStr">
        <is>
          <t>01/01/2024</t>
        </is>
      </c>
      <c r="CA71" t="inlineStr">
        <is>
          <t>30/09/2031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39" t="n">
        <v>50500</v>
      </c>
      <c r="H72" s="39" t="n">
        <v>50500</v>
      </c>
      <c r="M72" s="39" t="n"/>
      <c r="N72" s="39" t="n"/>
      <c r="S72" s="39" t="n"/>
      <c r="T72" s="39" t="n"/>
      <c r="Y72" s="39" t="n"/>
      <c r="Z72" s="39" t="n"/>
      <c r="AA72" t="inlineStr">
        <is>
          <t>Ana Fabiola Alvarez Elias</t>
        </is>
      </c>
      <c r="AB72" t="inlineStr">
        <is>
          <t>06789211</t>
        </is>
      </c>
      <c r="AC72" t="inlineStr">
        <is>
          <t>Jr. Caraveli 968 Interior 103</t>
        </is>
      </c>
      <c r="AD72" t="n">
        <v>0</v>
      </c>
      <c r="AE72" t="inlineStr">
        <is>
          <t>986642025</t>
        </is>
      </c>
      <c r="AF72" t="inlineStr">
        <is>
          <t>anafabiola1@hotmail.com</t>
        </is>
      </c>
      <c r="AG72" t="inlineStr">
        <is>
          <t>LIMA</t>
        </is>
      </c>
      <c r="AH72" t="inlineStr">
        <is>
          <t>BREÑA</t>
        </is>
      </c>
      <c r="AI72" s="116" t="n">
        <v>45992</v>
      </c>
      <c r="AJ72" s="116" t="n">
        <v>45992</v>
      </c>
      <c r="AK72" t="inlineStr">
        <is>
          <t>SALDO FINANCIAR</t>
        </is>
      </c>
      <c r="AL72" t="n">
        <v>5</v>
      </c>
      <c r="AM72" t="n">
        <v>3000</v>
      </c>
      <c r="AN72" t="n">
        <v>0</v>
      </c>
      <c r="AO72" t="n">
        <v>0</v>
      </c>
      <c r="AP72" s="39" t="n">
        <v>3000</v>
      </c>
      <c r="AQ72" s="39" t="n">
        <v>3000</v>
      </c>
      <c r="AR72" s="39" t="n">
        <v>0</v>
      </c>
      <c r="AS72" t="n">
        <v>0</v>
      </c>
      <c r="AT72" t="inlineStr">
        <is>
          <t>Crédito Directo</t>
        </is>
      </c>
      <c r="AU72" t="inlineStr">
        <is>
          <t>Scotiabank Perú</t>
        </is>
      </c>
      <c r="AV72" t="inlineStr">
        <is>
          <t>00917000000276848424</t>
        </is>
      </c>
      <c r="AW72" t="inlineStr">
        <is>
          <t>TRANSFERENCIA BANCARIA</t>
        </is>
      </c>
      <c r="AY72" t="inlineStr">
        <is>
          <t>00003352000003354</t>
        </is>
      </c>
      <c r="AZ72" t="inlineStr">
        <is>
          <t>No</t>
        </is>
      </c>
      <c r="BB72" t="n">
        <v>4</v>
      </c>
      <c r="BC72" t="inlineStr">
        <is>
          <t>CANCELADO</t>
        </is>
      </c>
      <c r="BN72" t="inlineStr">
        <is>
          <t>Si</t>
        </is>
      </c>
      <c r="BO72" s="117" t="n">
        <v>45868.49166666667</v>
      </c>
      <c r="BP72" t="inlineStr">
        <is>
          <t>Magaly Guevara Perez</t>
        </is>
      </c>
      <c r="BR72" t="n">
        <v>62</v>
      </c>
      <c r="BS72" t="inlineStr">
        <is>
          <t>18/08/2026 11:31</t>
        </is>
      </c>
      <c r="BT72" t="n">
        <v>0</v>
      </c>
      <c r="BX72" t="inlineStr">
        <is>
          <t>Cobranzas_2025.csv</t>
        </is>
      </c>
      <c r="BY72" t="n">
        <v>2025</v>
      </c>
      <c r="BZ72" t="inlineStr">
        <is>
          <t>01/01/2024</t>
        </is>
      </c>
      <c r="CA72" t="inlineStr">
        <is>
          <t>30/09/2031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39" t="n">
        <v>50500</v>
      </c>
      <c r="H73" s="39" t="n">
        <v>50500</v>
      </c>
      <c r="M73" s="39" t="n"/>
      <c r="N73" s="39" t="n"/>
      <c r="S73" s="39" t="n"/>
      <c r="T73" s="39" t="n"/>
      <c r="Y73" s="39" t="n"/>
      <c r="Z73" s="39" t="n"/>
      <c r="AA73" t="inlineStr">
        <is>
          <t>Ana Fabiola Alvarez Elias</t>
        </is>
      </c>
      <c r="AB73" t="inlineStr">
        <is>
          <t>06789211</t>
        </is>
      </c>
      <c r="AC73" t="inlineStr">
        <is>
          <t>Jr. Caraveli 968 Interior 103</t>
        </is>
      </c>
      <c r="AD73" t="n">
        <v>0</v>
      </c>
      <c r="AE73" t="inlineStr">
        <is>
          <t>986642025</t>
        </is>
      </c>
      <c r="AF73" t="inlineStr">
        <is>
          <t>anafabiola1@hotmail.com</t>
        </is>
      </c>
      <c r="AG73" t="inlineStr">
        <is>
          <t>LIMA</t>
        </is>
      </c>
      <c r="AH73" t="inlineStr">
        <is>
          <t>BREÑA</t>
        </is>
      </c>
      <c r="AI73" s="116" t="n">
        <v>46020</v>
      </c>
      <c r="AJ73" s="116" t="n">
        <v>46020</v>
      </c>
      <c r="AK73" t="inlineStr">
        <is>
          <t>SALDO FINANCIAR</t>
        </is>
      </c>
      <c r="AL73" t="n">
        <v>6</v>
      </c>
      <c r="AM73" t="n">
        <v>3000</v>
      </c>
      <c r="AN73" t="n">
        <v>0</v>
      </c>
      <c r="AO73" t="n">
        <v>0</v>
      </c>
      <c r="AP73" s="39" t="n">
        <v>3000</v>
      </c>
      <c r="AQ73" s="39" t="n">
        <v>3000</v>
      </c>
      <c r="AR73" s="39" t="n">
        <v>0</v>
      </c>
      <c r="AS73" t="n">
        <v>0</v>
      </c>
      <c r="AT73" t="inlineStr">
        <is>
          <t>Crédito Directo</t>
        </is>
      </c>
      <c r="AU73" t="inlineStr">
        <is>
          <t>Scotiabank Perú</t>
        </is>
      </c>
      <c r="AV73" t="inlineStr">
        <is>
          <t>00917000000407141928</t>
        </is>
      </c>
      <c r="AW73" t="inlineStr">
        <is>
          <t>TRANSFERENCIA BANCARIA</t>
        </is>
      </c>
      <c r="AY73" t="inlineStr">
        <is>
          <t>7844655577681</t>
        </is>
      </c>
      <c r="AZ73" t="inlineStr">
        <is>
          <t>No</t>
        </is>
      </c>
      <c r="BB73" t="n">
        <v>4</v>
      </c>
      <c r="BC73" t="inlineStr">
        <is>
          <t>CANCELADO</t>
        </is>
      </c>
      <c r="BN73" t="inlineStr">
        <is>
          <t>Si</t>
        </is>
      </c>
      <c r="BO73" s="117" t="n">
        <v>45868.49166666667</v>
      </c>
      <c r="BP73" t="inlineStr">
        <is>
          <t>Magaly Guevara Perez</t>
        </is>
      </c>
      <c r="BR73" t="n">
        <v>62</v>
      </c>
      <c r="BS73" t="inlineStr">
        <is>
          <t>18/08/2026 11:38</t>
        </is>
      </c>
      <c r="BT73" t="n">
        <v>0</v>
      </c>
      <c r="BX73" t="inlineStr">
        <is>
          <t>Cobranzas_2025.csv</t>
        </is>
      </c>
      <c r="BY73" t="n">
        <v>2025</v>
      </c>
      <c r="BZ73" t="inlineStr">
        <is>
          <t>01/01/2024</t>
        </is>
      </c>
      <c r="CA73" t="inlineStr">
        <is>
          <t>30/09/2031</t>
        </is>
      </c>
    </row>
    <row r="74">
      <c r="A74" t="inlineStr">
        <is>
          <t>RESIDENCIAL VENECIA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Departamento</t>
        </is>
      </c>
      <c r="F74" t="inlineStr">
        <is>
          <t>704</t>
        </is>
      </c>
      <c r="G74" s="39" t="n">
        <v>438000</v>
      </c>
      <c r="H74" s="39" t="n">
        <v>438000</v>
      </c>
      <c r="M74" s="39" t="n"/>
      <c r="N74" s="39" t="n"/>
      <c r="S74" s="39" t="n"/>
      <c r="T74" s="39" t="n"/>
      <c r="Y74" s="39" t="n"/>
      <c r="Z74" s="39" t="n"/>
      <c r="AA74" t="inlineStr">
        <is>
          <t>ANAMELVA JULIETA AQUISE TIZNADO</t>
        </is>
      </c>
      <c r="AB74" t="inlineStr">
        <is>
          <t>40917666</t>
        </is>
      </c>
      <c r="AC74" t="inlineStr">
        <is>
          <t>Urb. Aziruni Ciudad Jardin Mz. G2 Lt 04</t>
        </is>
      </c>
      <c r="AD74" t="n">
        <v>0</v>
      </c>
      <c r="AE74" t="inlineStr">
        <is>
          <t>987249596</t>
        </is>
      </c>
      <c r="AF74" t="inlineStr">
        <is>
          <t>anamelvaaquise@gmail.com</t>
        </is>
      </c>
      <c r="AG74" t="inlineStr">
        <is>
          <t>PUNO</t>
        </is>
      </c>
      <c r="AH74" t="inlineStr">
        <is>
          <t>PUNO</t>
        </is>
      </c>
      <c r="AI74" s="116" t="n">
        <v>45972</v>
      </c>
      <c r="AJ74" s="116" t="n">
        <v>45972</v>
      </c>
      <c r="AK74" t="inlineStr">
        <is>
          <t>SEPARACION</t>
        </is>
      </c>
      <c r="AL74" t="n">
        <v>1</v>
      </c>
      <c r="AM74" t="n">
        <v>3000</v>
      </c>
      <c r="AN74" t="n">
        <v>0</v>
      </c>
      <c r="AO74" t="n">
        <v>0</v>
      </c>
      <c r="AP74" s="39" t="n">
        <v>3000</v>
      </c>
      <c r="AQ74" s="39" t="n">
        <v>3000</v>
      </c>
      <c r="AR74" s="39" t="n">
        <v>0</v>
      </c>
      <c r="AS74" t="n">
        <v>0</v>
      </c>
      <c r="AT74" t="inlineStr">
        <is>
          <t>Crédito Hipotecario</t>
        </is>
      </c>
      <c r="AU74" t="inlineStr">
        <is>
          <t>Scotiabank Perú</t>
        </is>
      </c>
      <c r="AV74" t="inlineStr">
        <is>
          <t>0004071419</t>
        </is>
      </c>
      <c r="AW74" t="inlineStr">
        <is>
          <t>TRANSFERENCIA BANCARIA</t>
        </is>
      </c>
      <c r="AY74" t="inlineStr">
        <is>
          <t>5516474</t>
        </is>
      </c>
      <c r="AZ74" t="inlineStr">
        <is>
          <t>No</t>
        </is>
      </c>
      <c r="BB74" t="n">
        <v>4</v>
      </c>
      <c r="BC74" t="inlineStr">
        <is>
          <t>CANCELADO</t>
        </is>
      </c>
      <c r="BN74" t="inlineStr">
        <is>
          <t>Si</t>
        </is>
      </c>
      <c r="BO74" s="117" t="n">
        <v>46178.35069444445</v>
      </c>
      <c r="BP74" t="inlineStr">
        <is>
          <t>Magaly Guevara Perez</t>
        </is>
      </c>
      <c r="BR74" t="n">
        <v>14</v>
      </c>
      <c r="BS74" t="inlineStr">
        <is>
          <t>24/05/2026 21:14</t>
        </is>
      </c>
      <c r="BT74" t="n">
        <v>0</v>
      </c>
      <c r="BX74" t="inlineStr">
        <is>
          <t>Cobranzas_2025.csv</t>
        </is>
      </c>
      <c r="BY74" t="n">
        <v>2025</v>
      </c>
      <c r="BZ74" t="inlineStr">
        <is>
          <t>01/01/2024</t>
        </is>
      </c>
      <c r="CA74" t="inlineStr">
        <is>
          <t>30/09/2031</t>
        </is>
      </c>
    </row>
    <row r="75">
      <c r="A75" t="inlineStr">
        <is>
          <t>RESIDENCIAL VENECIA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Departamento</t>
        </is>
      </c>
      <c r="F75" t="inlineStr">
        <is>
          <t>704</t>
        </is>
      </c>
      <c r="G75" s="39" t="n">
        <v>438000</v>
      </c>
      <c r="H75" s="39" t="n">
        <v>438000</v>
      </c>
      <c r="M75" s="39" t="n"/>
      <c r="N75" s="39" t="n"/>
      <c r="S75" s="39" t="n"/>
      <c r="T75" s="39" t="n"/>
      <c r="Y75" s="39" t="n"/>
      <c r="Z75" s="39" t="n"/>
      <c r="AA75" t="inlineStr">
        <is>
          <t>ANAMELVA JULIETA AQUISE TIZNADO</t>
        </is>
      </c>
      <c r="AB75" t="inlineStr">
        <is>
          <t>40917666</t>
        </is>
      </c>
      <c r="AC75" t="inlineStr">
        <is>
          <t>Urb. Aziruni Ciudad Jardin Mz. G2 Lt 04</t>
        </is>
      </c>
      <c r="AD75" t="n">
        <v>0</v>
      </c>
      <c r="AE75" t="inlineStr">
        <is>
          <t>987249596</t>
        </is>
      </c>
      <c r="AF75" t="inlineStr">
        <is>
          <t>anamelvaaquise@gmail.com</t>
        </is>
      </c>
      <c r="AG75" t="inlineStr">
        <is>
          <t>PUNO</t>
        </is>
      </c>
      <c r="AH75" t="inlineStr">
        <is>
          <t>PUNO</t>
        </is>
      </c>
      <c r="AI75" s="116" t="n">
        <v>46004</v>
      </c>
      <c r="AJ75" s="116" t="n">
        <v>46004</v>
      </c>
      <c r="AK75" t="inlineStr">
        <is>
          <t>CUOTA INICIAL</t>
        </is>
      </c>
      <c r="AL75" t="n">
        <v>1</v>
      </c>
      <c r="AM75" t="n">
        <v>20000</v>
      </c>
      <c r="AN75" t="n">
        <v>0</v>
      </c>
      <c r="AO75" t="n">
        <v>0</v>
      </c>
      <c r="AP75" s="39" t="n">
        <v>20000</v>
      </c>
      <c r="AQ75" s="39" t="n">
        <v>20000</v>
      </c>
      <c r="AR75" s="39" t="n">
        <v>0</v>
      </c>
      <c r="AS75" t="n">
        <v>0</v>
      </c>
      <c r="AT75" t="inlineStr">
        <is>
          <t>Crédito Hipotecario</t>
        </is>
      </c>
      <c r="AU75" t="inlineStr">
        <is>
          <t>Scotiabank Perú</t>
        </is>
      </c>
      <c r="AV75" t="inlineStr">
        <is>
          <t>0004071419</t>
        </is>
      </c>
      <c r="AW75" t="inlineStr">
        <is>
          <t>TRANSFERENCIA BANCARIA</t>
        </is>
      </c>
      <c r="AY75" t="inlineStr">
        <is>
          <t>5531532</t>
        </is>
      </c>
      <c r="AZ75" t="inlineStr">
        <is>
          <t>No</t>
        </is>
      </c>
      <c r="BB75" t="n">
        <v>4</v>
      </c>
      <c r="BC75" t="inlineStr">
        <is>
          <t>CANCELADO</t>
        </is>
      </c>
      <c r="BN75" t="inlineStr">
        <is>
          <t>Si</t>
        </is>
      </c>
      <c r="BO75" s="117" t="n">
        <v>46178.35069444445</v>
      </c>
      <c r="BP75" t="inlineStr">
        <is>
          <t>Magaly Guevara Perez</t>
        </is>
      </c>
      <c r="BR75" t="n">
        <v>14</v>
      </c>
      <c r="BS75" t="inlineStr">
        <is>
          <t>24/05/2026 21:16</t>
        </is>
      </c>
      <c r="BT75" t="n">
        <v>0</v>
      </c>
      <c r="BX75" t="inlineStr">
        <is>
          <t>Cobranzas_2025.csv</t>
        </is>
      </c>
      <c r="BY75" t="n">
        <v>2025</v>
      </c>
      <c r="BZ75" t="inlineStr">
        <is>
          <t>01/01/2024</t>
        </is>
      </c>
      <c r="CA75" t="inlineStr">
        <is>
          <t>30/09/2031</t>
        </is>
      </c>
    </row>
    <row r="76">
      <c r="A76" t="inlineStr">
        <is>
          <t>RESIDENCIAL PRADA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1003</t>
        </is>
      </c>
      <c r="G76" s="39" t="n">
        <v>675000</v>
      </c>
      <c r="H76" s="39" t="n">
        <v>675000</v>
      </c>
      <c r="I76" t="inlineStr">
        <is>
          <t>Edificio</t>
        </is>
      </c>
      <c r="J76" t="inlineStr">
        <is>
          <t>A</t>
        </is>
      </c>
      <c r="K76" t="inlineStr">
        <is>
          <t>Estacionamiento</t>
        </is>
      </c>
      <c r="L76" t="inlineStr">
        <is>
          <t>E 11 - D 08</t>
        </is>
      </c>
      <c r="M76" s="39" t="n">
        <v>60400</v>
      </c>
      <c r="N76" s="39" t="n">
        <v>60400</v>
      </c>
      <c r="S76" s="39" t="n"/>
      <c r="T76" s="39" t="n"/>
      <c r="Y76" s="39" t="n"/>
      <c r="Z76" s="39" t="n"/>
      <c r="AA76" t="inlineStr">
        <is>
          <t>ANDEAN AYNI TRAVEL AGENCIA DE VIAJES Y TRANSPORTE EIRL</t>
        </is>
      </c>
      <c r="AB76" t="inlineStr">
        <is>
          <t>20610697403</t>
        </is>
      </c>
      <c r="AC76" t="inlineStr">
        <is>
          <t>JR. DANTE NAVA NRO. 310 BAR. NUEVA UNVERSIDAD</t>
        </is>
      </c>
      <c r="AD76" t="n">
        <v>0</v>
      </c>
      <c r="AE76" t="inlineStr">
        <is>
          <t>951923088</t>
        </is>
      </c>
      <c r="AF76" t="inlineStr">
        <is>
          <t>operacionesjudith@gmail.com</t>
        </is>
      </c>
      <c r="AG76" t="inlineStr">
        <is>
          <t>PUNO</t>
        </is>
      </c>
      <c r="AH76" t="inlineStr">
        <is>
          <t>PUNO</t>
        </is>
      </c>
      <c r="AI76" s="116" t="n">
        <v>45835</v>
      </c>
      <c r="AJ76" s="116" t="n">
        <v>45835</v>
      </c>
      <c r="AK76" t="inlineStr">
        <is>
          <t>SEPARACION</t>
        </is>
      </c>
      <c r="AL76" t="n">
        <v>1</v>
      </c>
      <c r="AM76" t="n">
        <v>3000</v>
      </c>
      <c r="AN76" t="n">
        <v>0</v>
      </c>
      <c r="AO76" t="n">
        <v>0</v>
      </c>
      <c r="AP76" s="39" t="n">
        <v>3000</v>
      </c>
      <c r="AQ76" s="39" t="n">
        <v>3000</v>
      </c>
      <c r="AR76" s="39" t="n">
        <v>0</v>
      </c>
      <c r="AS76" t="n">
        <v>0</v>
      </c>
      <c r="AT76" t="inlineStr">
        <is>
          <t>Crédito Directo</t>
        </is>
      </c>
      <c r="AU76" t="inlineStr">
        <is>
          <t>Scotiabank Perú</t>
        </is>
      </c>
      <c r="AV76" t="inlineStr">
        <is>
          <t>000-2768484</t>
        </is>
      </c>
      <c r="AW76" t="inlineStr">
        <is>
          <t>TRANSFERENCIA BANCARIA</t>
        </is>
      </c>
      <c r="AY76" t="inlineStr">
        <is>
          <t>06083805</t>
        </is>
      </c>
      <c r="AZ76" t="inlineStr">
        <is>
          <t>Si</t>
        </is>
      </c>
      <c r="BB76" t="n">
        <v>4</v>
      </c>
      <c r="BC76" t="inlineStr">
        <is>
          <t>CANCELADO</t>
        </is>
      </c>
      <c r="BN76" t="inlineStr">
        <is>
          <t>Si</t>
        </is>
      </c>
      <c r="BO76" s="117" t="n">
        <v>45985.73819444444</v>
      </c>
      <c r="BP76" t="inlineStr">
        <is>
          <t>Magaly Guevara Perez</t>
        </is>
      </c>
      <c r="BR76" t="n">
        <v>28</v>
      </c>
      <c r="BS76" t="inlineStr">
        <is>
          <t>09/06/2026 09:42</t>
        </is>
      </c>
      <c r="BT76" t="n">
        <v>0</v>
      </c>
      <c r="BX76" t="inlineStr">
        <is>
          <t>Cobranzas_2025.csv</t>
        </is>
      </c>
      <c r="BY76" t="n">
        <v>2025</v>
      </c>
      <c r="BZ76" t="inlineStr">
        <is>
          <t>01/01/2024</t>
        </is>
      </c>
      <c r="CA76" t="inlineStr">
        <is>
          <t>30/09/2031</t>
        </is>
      </c>
    </row>
    <row r="77">
      <c r="A77" t="inlineStr">
        <is>
          <t>RESIDENCIAL PRADA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1003</t>
        </is>
      </c>
      <c r="G77" s="39" t="n">
        <v>675000</v>
      </c>
      <c r="H77" s="39" t="n">
        <v>675000</v>
      </c>
      <c r="I77" t="inlineStr">
        <is>
          <t>Edificio</t>
        </is>
      </c>
      <c r="J77" t="inlineStr">
        <is>
          <t>A</t>
        </is>
      </c>
      <c r="K77" t="inlineStr">
        <is>
          <t>Estacionamiento</t>
        </is>
      </c>
      <c r="L77" t="inlineStr">
        <is>
          <t>E 11 - D 08</t>
        </is>
      </c>
      <c r="M77" s="39" t="n">
        <v>60400</v>
      </c>
      <c r="N77" s="39" t="n">
        <v>60400</v>
      </c>
      <c r="S77" s="39" t="n"/>
      <c r="T77" s="39" t="n"/>
      <c r="Y77" s="39" t="n"/>
      <c r="Z77" s="39" t="n"/>
      <c r="AA77" t="inlineStr">
        <is>
          <t>ANDEAN AYNI TRAVEL AGENCIA DE VIAJES Y TRANSPORTE EIRL</t>
        </is>
      </c>
      <c r="AB77" t="inlineStr">
        <is>
          <t>20610697403</t>
        </is>
      </c>
      <c r="AC77" t="inlineStr">
        <is>
          <t>JR. DANTE NAVA NRO. 310 BAR. NUEVA UNVERSIDAD</t>
        </is>
      </c>
      <c r="AD77" t="n">
        <v>0</v>
      </c>
      <c r="AE77" t="inlineStr">
        <is>
          <t>951923088</t>
        </is>
      </c>
      <c r="AF77" t="inlineStr">
        <is>
          <t>operacionesjudith@gmail.com</t>
        </is>
      </c>
      <c r="AG77" t="inlineStr">
        <is>
          <t>PUNO</t>
        </is>
      </c>
      <c r="AH77" t="inlineStr">
        <is>
          <t>PUNO</t>
        </is>
      </c>
      <c r="AI77" s="116" t="n">
        <v>45985</v>
      </c>
      <c r="AJ77" s="116" t="n">
        <v>45985</v>
      </c>
      <c r="AK77" t="inlineStr">
        <is>
          <t>CUOTA INICIAL</t>
        </is>
      </c>
      <c r="AL77" t="n">
        <v>1</v>
      </c>
      <c r="AM77" t="n">
        <v>270000</v>
      </c>
      <c r="AN77" t="n">
        <v>0</v>
      </c>
      <c r="AO77" t="n">
        <v>0</v>
      </c>
      <c r="AP77" s="39" t="n">
        <v>270000</v>
      </c>
      <c r="AQ77" s="39" t="n">
        <v>270000</v>
      </c>
      <c r="AR77" s="39" t="n">
        <v>0</v>
      </c>
      <c r="AS77" t="n">
        <v>0</v>
      </c>
      <c r="AT77" t="inlineStr">
        <is>
          <t>Crédito Directo</t>
        </is>
      </c>
      <c r="AU77" t="inlineStr">
        <is>
          <t>Scotiabank Perú</t>
        </is>
      </c>
      <c r="AV77" t="inlineStr">
        <is>
          <t>000-2768484</t>
        </is>
      </c>
      <c r="AW77" t="inlineStr">
        <is>
          <t>TRANSFERENCIA BANCARIA</t>
        </is>
      </c>
      <c r="AY77" t="inlineStr">
        <is>
          <t>0349568</t>
        </is>
      </c>
      <c r="AZ77" t="inlineStr">
        <is>
          <t>Si</t>
        </is>
      </c>
      <c r="BB77" t="n">
        <v>3.38</v>
      </c>
      <c r="BC77" t="inlineStr">
        <is>
          <t>CANCELADO</t>
        </is>
      </c>
      <c r="BN77" t="inlineStr">
        <is>
          <t>Si</t>
        </is>
      </c>
      <c r="BO77" s="117" t="n">
        <v>45985.73819444444</v>
      </c>
      <c r="BP77" t="inlineStr">
        <is>
          <t>Magaly Guevara Perez</t>
        </is>
      </c>
      <c r="BR77" t="n">
        <v>28</v>
      </c>
      <c r="BS77" t="inlineStr">
        <is>
          <t>09/06/2026 09:45</t>
        </is>
      </c>
      <c r="BT77" t="n">
        <v>0</v>
      </c>
      <c r="BX77" t="inlineStr">
        <is>
          <t>Cobranzas_2025.csv</t>
        </is>
      </c>
      <c r="BY77" t="n">
        <v>2025</v>
      </c>
      <c r="BZ77" t="inlineStr">
        <is>
          <t>01/01/2024</t>
        </is>
      </c>
      <c r="CA77" t="inlineStr">
        <is>
          <t>30/09/2031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39" t="n">
        <v>675000</v>
      </c>
      <c r="H78" s="39" t="n">
        <v>675000</v>
      </c>
      <c r="I78" t="inlineStr">
        <is>
          <t>Edificio</t>
        </is>
      </c>
      <c r="J78" t="inlineStr">
        <is>
          <t>A</t>
        </is>
      </c>
      <c r="K78" t="inlineStr">
        <is>
          <t>Estacionamiento</t>
        </is>
      </c>
      <c r="L78" t="inlineStr">
        <is>
          <t>E 11 - D 08</t>
        </is>
      </c>
      <c r="M78" s="39" t="n">
        <v>60400</v>
      </c>
      <c r="N78" s="39" t="n">
        <v>60400</v>
      </c>
      <c r="S78" s="39" t="n"/>
      <c r="T78" s="39" t="n"/>
      <c r="Y78" s="39" t="n"/>
      <c r="Z78" s="39" t="n"/>
      <c r="AA78" t="inlineStr">
        <is>
          <t>ANDEAN AYNI TRAVEL AGENCIA DE VIAJES Y TRANSPORTE EIRL</t>
        </is>
      </c>
      <c r="AB78" t="inlineStr">
        <is>
          <t>20610697403</t>
        </is>
      </c>
      <c r="AC78" t="inlineStr">
        <is>
          <t>JR. DANTE NAVA NRO. 310 BAR. NUEVA UNVERSIDAD</t>
        </is>
      </c>
      <c r="AD78" t="n">
        <v>0</v>
      </c>
      <c r="AE78" t="inlineStr">
        <is>
          <t>951923088</t>
        </is>
      </c>
      <c r="AF78" t="inlineStr">
        <is>
          <t>operacionesjudith@gmail.com</t>
        </is>
      </c>
      <c r="AG78" t="inlineStr">
        <is>
          <t>PUNO</t>
        </is>
      </c>
      <c r="AH78" t="inlineStr">
        <is>
          <t>PUNO</t>
        </is>
      </c>
      <c r="AI78" s="116" t="n">
        <v>46008</v>
      </c>
      <c r="AJ78" s="116" t="n">
        <v>46010</v>
      </c>
      <c r="AK78" t="inlineStr">
        <is>
          <t>SALDO FINANCIAR</t>
        </is>
      </c>
      <c r="AL78" t="n">
        <v>1</v>
      </c>
      <c r="AM78" t="n">
        <v>66057.14</v>
      </c>
      <c r="AN78" t="n">
        <v>0</v>
      </c>
      <c r="AO78" t="n">
        <v>0</v>
      </c>
      <c r="AP78" s="39" t="n">
        <v>66057.14</v>
      </c>
      <c r="AQ78" s="39" t="n">
        <v>66057.14</v>
      </c>
      <c r="AR78" s="39" t="n">
        <v>0</v>
      </c>
      <c r="AS78" t="n">
        <v>0</v>
      </c>
      <c r="AT78" t="inlineStr">
        <is>
          <t>Crédito Directo</t>
        </is>
      </c>
      <c r="AU78" t="inlineStr">
        <is>
          <t>Scotiabank Perú</t>
        </is>
      </c>
      <c r="AV78" t="inlineStr">
        <is>
          <t>000-2768484</t>
        </is>
      </c>
      <c r="AW78" t="inlineStr">
        <is>
          <t>TRANSFERENCIA BANCARIA</t>
        </is>
      </c>
      <c r="AY78" t="inlineStr">
        <is>
          <t>0780435</t>
        </is>
      </c>
      <c r="AZ78" t="inlineStr">
        <is>
          <t>Si</t>
        </is>
      </c>
      <c r="BB78" t="n">
        <v>3.38</v>
      </c>
      <c r="BC78" t="inlineStr">
        <is>
          <t>CANCELADO</t>
        </is>
      </c>
      <c r="BN78" t="inlineStr">
        <is>
          <t>Si</t>
        </is>
      </c>
      <c r="BO78" s="117" t="n">
        <v>45985.73819444444</v>
      </c>
      <c r="BP78" t="inlineStr">
        <is>
          <t>Magaly Guevara Perez</t>
        </is>
      </c>
      <c r="BR78" t="n">
        <v>28</v>
      </c>
      <c r="BS78" t="inlineStr">
        <is>
          <t>09/06/2026 09:47</t>
        </is>
      </c>
      <c r="BT78" t="n">
        <v>0</v>
      </c>
      <c r="BX78" t="inlineStr">
        <is>
          <t>Cobranzas_2025.csv</t>
        </is>
      </c>
      <c r="BY78" t="n">
        <v>2025</v>
      </c>
      <c r="BZ78" t="inlineStr">
        <is>
          <t>01/01/2024</t>
        </is>
      </c>
      <c r="CA78" t="inlineStr">
        <is>
          <t>30/09/2031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Estacionamiento</t>
        </is>
      </c>
      <c r="F79" t="inlineStr">
        <is>
          <t>E 14 - D 11</t>
        </is>
      </c>
      <c r="G79" s="39" t="n">
        <v>56300</v>
      </c>
      <c r="H79" s="39" t="n">
        <v>56300</v>
      </c>
      <c r="M79" s="39" t="n"/>
      <c r="N79" s="39" t="n"/>
      <c r="S79" s="39" t="n"/>
      <c r="T79" s="39" t="n"/>
      <c r="Y79" s="39" t="n"/>
      <c r="Z79" s="39" t="n"/>
      <c r="AA79" t="inlineStr">
        <is>
          <t>Ayleen Katia Messarina Rios</t>
        </is>
      </c>
      <c r="AB79" t="inlineStr">
        <is>
          <t>70512701</t>
        </is>
      </c>
      <c r="AC79" t="inlineStr">
        <is>
          <t>Departamento 101 Urbanización Santa Rosa de Surco etapa 2 Mz D Lt 23</t>
        </is>
      </c>
      <c r="AD79" t="n">
        <v>978722675</v>
      </c>
      <c r="AE79" t="inlineStr">
        <is>
          <t>978722675</t>
        </is>
      </c>
      <c r="AF79" t="inlineStr">
        <is>
          <t>ayleen30mr@gmail.com</t>
        </is>
      </c>
      <c r="AG79" t="inlineStr">
        <is>
          <t>LIMA</t>
        </is>
      </c>
      <c r="AH79" t="inlineStr">
        <is>
          <t>SANTIAGO DE SURCO</t>
        </is>
      </c>
      <c r="AI79" s="116" t="n">
        <v>45748</v>
      </c>
      <c r="AJ79" s="116" t="n">
        <v>45748</v>
      </c>
      <c r="AK79" t="inlineStr">
        <is>
          <t>SALDO FINANCIAR</t>
        </is>
      </c>
      <c r="AL79" t="n">
        <v>1</v>
      </c>
      <c r="AM79" t="n">
        <v>3800</v>
      </c>
      <c r="AN79" t="n">
        <v>0</v>
      </c>
      <c r="AO79" t="n">
        <v>0</v>
      </c>
      <c r="AP79" s="39" t="n">
        <v>3800</v>
      </c>
      <c r="AQ79" s="39" t="n">
        <v>3800</v>
      </c>
      <c r="AR79" s="39" t="n">
        <v>0</v>
      </c>
      <c r="AS79" t="n">
        <v>0</v>
      </c>
      <c r="AT79" t="inlineStr">
        <is>
          <t>Crédito Directo</t>
        </is>
      </c>
      <c r="AU79" t="inlineStr">
        <is>
          <t>Scotiabank Perú</t>
        </is>
      </c>
      <c r="AV79" t="inlineStr">
        <is>
          <t>000-2768484</t>
        </is>
      </c>
      <c r="AW79" t="inlineStr">
        <is>
          <t>TRANSFERENCIA BANCARIA</t>
        </is>
      </c>
      <c r="AY79" t="inlineStr">
        <is>
          <t>01459586</t>
        </is>
      </c>
      <c r="AZ79" t="inlineStr">
        <is>
          <t>Si</t>
        </is>
      </c>
      <c r="BB79" t="n">
        <v>4</v>
      </c>
      <c r="BC79" t="inlineStr">
        <is>
          <t>CANCELADO</t>
        </is>
      </c>
      <c r="BN79" t="inlineStr">
        <is>
          <t>Si</t>
        </is>
      </c>
      <c r="BO79" s="117" t="n">
        <v>45748.62986111111</v>
      </c>
      <c r="BP79" t="inlineStr">
        <is>
          <t>Magaly Guevara Perez</t>
        </is>
      </c>
      <c r="BR79" t="n">
        <v>56</v>
      </c>
      <c r="BS79" t="inlineStr">
        <is>
          <t>28/06/2026 21:23</t>
        </is>
      </c>
      <c r="BT79" t="n">
        <v>0</v>
      </c>
      <c r="BX79" t="inlineStr">
        <is>
          <t>Cobranzas_2025.csv</t>
        </is>
      </c>
      <c r="BY79" t="n">
        <v>2025</v>
      </c>
      <c r="BZ79" t="inlineStr">
        <is>
          <t>01/01/2024</t>
        </is>
      </c>
      <c r="CA79" t="inlineStr">
        <is>
          <t>30/09/2031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Estacionamiento</t>
        </is>
      </c>
      <c r="F80" t="inlineStr">
        <is>
          <t>E 14 - D 11</t>
        </is>
      </c>
      <c r="G80" s="39" t="n">
        <v>56300</v>
      </c>
      <c r="H80" s="39" t="n">
        <v>56300</v>
      </c>
      <c r="M80" s="39" t="n"/>
      <c r="N80" s="39" t="n"/>
      <c r="S80" s="39" t="n"/>
      <c r="T80" s="39" t="n"/>
      <c r="Y80" s="39" t="n"/>
      <c r="Z80" s="39" t="n"/>
      <c r="AA80" t="inlineStr">
        <is>
          <t>Ayleen Katia Messarina Rios</t>
        </is>
      </c>
      <c r="AB80" t="inlineStr">
        <is>
          <t>70512701</t>
        </is>
      </c>
      <c r="AC80" t="inlineStr">
        <is>
          <t>Departamento 101 Urbanización Santa Rosa de Surco etapa 2 Mz D Lt 23</t>
        </is>
      </c>
      <c r="AD80" t="n">
        <v>978722675</v>
      </c>
      <c r="AE80" t="inlineStr">
        <is>
          <t>978722675</t>
        </is>
      </c>
      <c r="AF80" t="inlineStr">
        <is>
          <t>ayleen30mr@gmail.com</t>
        </is>
      </c>
      <c r="AG80" t="inlineStr">
        <is>
          <t>LIMA</t>
        </is>
      </c>
      <c r="AH80" t="inlineStr">
        <is>
          <t>SANTIAGO DE SURCO</t>
        </is>
      </c>
      <c r="AI80" s="116" t="n">
        <v>45778</v>
      </c>
      <c r="AJ80" s="116" t="n">
        <v>45796</v>
      </c>
      <c r="AK80" t="inlineStr">
        <is>
          <t>SALDO FINANCIAR</t>
        </is>
      </c>
      <c r="AL80" t="n">
        <v>2</v>
      </c>
      <c r="AM80" t="n">
        <v>3800</v>
      </c>
      <c r="AN80" t="n">
        <v>0</v>
      </c>
      <c r="AO80" t="n">
        <v>0</v>
      </c>
      <c r="AP80" s="39" t="n">
        <v>3800</v>
      </c>
      <c r="AQ80" s="39" t="n">
        <v>3800</v>
      </c>
      <c r="AR80" s="39" t="n">
        <v>0</v>
      </c>
      <c r="AS80" t="n">
        <v>0</v>
      </c>
      <c r="AT80" t="inlineStr">
        <is>
          <t>Crédito Directo</t>
        </is>
      </c>
      <c r="AU80" t="inlineStr">
        <is>
          <t>Scotiabank Perú</t>
        </is>
      </c>
      <c r="AV80" t="inlineStr">
        <is>
          <t>000-2768484</t>
        </is>
      </c>
      <c r="AW80" t="inlineStr">
        <is>
          <t>TRANSFERENCIA BANCARIA</t>
        </is>
      </c>
      <c r="AY80" t="inlineStr">
        <is>
          <t>03388134</t>
        </is>
      </c>
      <c r="AZ80" t="inlineStr">
        <is>
          <t>Si</t>
        </is>
      </c>
      <c r="BB80" t="n">
        <v>4</v>
      </c>
      <c r="BC80" t="inlineStr">
        <is>
          <t>CANCELADO</t>
        </is>
      </c>
      <c r="BN80" t="inlineStr">
        <is>
          <t>Si</t>
        </is>
      </c>
      <c r="BO80" s="117" t="n">
        <v>45748.62986111111</v>
      </c>
      <c r="BP80" t="inlineStr">
        <is>
          <t>Magaly Guevara Perez</t>
        </is>
      </c>
      <c r="BR80" t="n">
        <v>56</v>
      </c>
      <c r="BS80" t="inlineStr">
        <is>
          <t>28/06/2026 21:24</t>
        </is>
      </c>
      <c r="BT80" t="n">
        <v>0</v>
      </c>
      <c r="BX80" t="inlineStr">
        <is>
          <t>Cobranzas_2025.csv</t>
        </is>
      </c>
      <c r="BY80" t="n">
        <v>2025</v>
      </c>
      <c r="BZ80" t="inlineStr">
        <is>
          <t>01/01/2024</t>
        </is>
      </c>
      <c r="CA80" t="inlineStr">
        <is>
          <t>30/09/2031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Estacionamiento</t>
        </is>
      </c>
      <c r="F81" t="inlineStr">
        <is>
          <t>E 14 - D 11</t>
        </is>
      </c>
      <c r="G81" s="39" t="n">
        <v>56300</v>
      </c>
      <c r="H81" s="39" t="n">
        <v>56300</v>
      </c>
      <c r="M81" s="39" t="n"/>
      <c r="N81" s="39" t="n"/>
      <c r="S81" s="39" t="n"/>
      <c r="T81" s="39" t="n"/>
      <c r="Y81" s="39" t="n"/>
      <c r="Z81" s="39" t="n"/>
      <c r="AA81" t="inlineStr">
        <is>
          <t>Ayleen Katia Messarina Rios</t>
        </is>
      </c>
      <c r="AB81" t="inlineStr">
        <is>
          <t>70512701</t>
        </is>
      </c>
      <c r="AC81" t="inlineStr">
        <is>
          <t>Departamento 101 Urbanización Santa Rosa de Surco etapa 2 Mz D Lt 23</t>
        </is>
      </c>
      <c r="AD81" t="n">
        <v>978722675</v>
      </c>
      <c r="AE81" t="inlineStr">
        <is>
          <t>978722675</t>
        </is>
      </c>
      <c r="AF81" t="inlineStr">
        <is>
          <t>ayleen30mr@gmail.com</t>
        </is>
      </c>
      <c r="AG81" t="inlineStr">
        <is>
          <t>LIMA</t>
        </is>
      </c>
      <c r="AH81" t="inlineStr">
        <is>
          <t>SANTIAGO DE SURCO</t>
        </is>
      </c>
      <c r="AI81" s="116" t="n">
        <v>45809</v>
      </c>
      <c r="AJ81" s="116" t="n">
        <v>45810</v>
      </c>
      <c r="AK81" t="inlineStr">
        <is>
          <t>SALDO FINANCIAR</t>
        </is>
      </c>
      <c r="AL81" t="n">
        <v>3</v>
      </c>
      <c r="AM81" t="n">
        <v>3800</v>
      </c>
      <c r="AN81" t="n">
        <v>0</v>
      </c>
      <c r="AO81" t="n">
        <v>0</v>
      </c>
      <c r="AP81" s="39" t="n">
        <v>3800</v>
      </c>
      <c r="AQ81" s="39" t="n">
        <v>3800</v>
      </c>
      <c r="AR81" s="39" t="n">
        <v>0</v>
      </c>
      <c r="AS81" t="n">
        <v>0</v>
      </c>
      <c r="AT81" t="inlineStr">
        <is>
          <t>Crédito Directo</t>
        </is>
      </c>
      <c r="AU81" t="inlineStr">
        <is>
          <t>Scotiabank Perú</t>
        </is>
      </c>
      <c r="AV81" t="inlineStr">
        <is>
          <t>000-2768484</t>
        </is>
      </c>
      <c r="AW81" t="inlineStr">
        <is>
          <t>TRANSFERENCIA BANCARIA</t>
        </is>
      </c>
      <c r="AY81" t="inlineStr">
        <is>
          <t>03577668</t>
        </is>
      </c>
      <c r="AZ81" t="inlineStr">
        <is>
          <t>Si</t>
        </is>
      </c>
      <c r="BB81" t="n">
        <v>4</v>
      </c>
      <c r="BC81" t="inlineStr">
        <is>
          <t>CANCELADO</t>
        </is>
      </c>
      <c r="BN81" t="inlineStr">
        <is>
          <t>Si</t>
        </is>
      </c>
      <c r="BO81" s="117" t="n">
        <v>45748.62986111111</v>
      </c>
      <c r="BP81" t="inlineStr">
        <is>
          <t>Magaly Guevara Perez</t>
        </is>
      </c>
      <c r="BR81" t="n">
        <v>56</v>
      </c>
      <c r="BS81" t="inlineStr">
        <is>
          <t>28/06/2026 21:25</t>
        </is>
      </c>
      <c r="BT81" t="n">
        <v>0</v>
      </c>
      <c r="BX81" t="inlineStr">
        <is>
          <t>Cobranzas_2025.csv</t>
        </is>
      </c>
      <c r="BY81" t="n">
        <v>2025</v>
      </c>
      <c r="BZ81" t="inlineStr">
        <is>
          <t>01/01/2024</t>
        </is>
      </c>
      <c r="CA81" t="inlineStr">
        <is>
          <t>30/09/2031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Estacionamiento</t>
        </is>
      </c>
      <c r="F82" t="inlineStr">
        <is>
          <t>E 14 - D 11</t>
        </is>
      </c>
      <c r="G82" s="39" t="n">
        <v>56300</v>
      </c>
      <c r="H82" s="39" t="n">
        <v>56300</v>
      </c>
      <c r="M82" s="39" t="n"/>
      <c r="N82" s="39" t="n"/>
      <c r="S82" s="39" t="n"/>
      <c r="T82" s="39" t="n"/>
      <c r="Y82" s="39" t="n"/>
      <c r="Z82" s="39" t="n"/>
      <c r="AA82" t="inlineStr">
        <is>
          <t>Ayleen Katia Messarina Rios</t>
        </is>
      </c>
      <c r="AB82" t="inlineStr">
        <is>
          <t>70512701</t>
        </is>
      </c>
      <c r="AC82" t="inlineStr">
        <is>
          <t>Departamento 101 Urbanización Santa Rosa de Surco etapa 2 Mz D Lt 23</t>
        </is>
      </c>
      <c r="AD82" t="n">
        <v>978722675</v>
      </c>
      <c r="AE82" t="inlineStr">
        <is>
          <t>978722675</t>
        </is>
      </c>
      <c r="AF82" t="inlineStr">
        <is>
          <t>ayleen30mr@gmail.com</t>
        </is>
      </c>
      <c r="AG82" t="inlineStr">
        <is>
          <t>LIMA</t>
        </is>
      </c>
      <c r="AH82" t="inlineStr">
        <is>
          <t>SANTIAGO DE SURCO</t>
        </is>
      </c>
      <c r="AI82" s="116" t="n">
        <v>45839</v>
      </c>
      <c r="AJ82" s="116" t="n">
        <v>45838</v>
      </c>
      <c r="AK82" t="inlineStr">
        <is>
          <t>SALDO FINANCIAR</t>
        </is>
      </c>
      <c r="AL82" t="n">
        <v>4</v>
      </c>
      <c r="AM82" t="n">
        <v>3800</v>
      </c>
      <c r="AN82" t="n">
        <v>0</v>
      </c>
      <c r="AO82" t="n">
        <v>0</v>
      </c>
      <c r="AP82" s="39" t="n">
        <v>3800</v>
      </c>
      <c r="AQ82" s="39" t="n">
        <v>3800</v>
      </c>
      <c r="AR82" s="39" t="n">
        <v>0</v>
      </c>
      <c r="AS82" t="n">
        <v>0</v>
      </c>
      <c r="AT82" t="inlineStr">
        <is>
          <t>Crédito Directo</t>
        </is>
      </c>
      <c r="AU82" t="inlineStr">
        <is>
          <t>Scotiabank Perú</t>
        </is>
      </c>
      <c r="AV82" t="inlineStr">
        <is>
          <t>000-2768484</t>
        </is>
      </c>
      <c r="AW82" t="inlineStr">
        <is>
          <t>TRANSFERENCIA BANCARIA</t>
        </is>
      </c>
      <c r="AY82" t="inlineStr">
        <is>
          <t>04294427</t>
        </is>
      </c>
      <c r="AZ82" t="inlineStr">
        <is>
          <t>Si</t>
        </is>
      </c>
      <c r="BB82" t="n">
        <v>4</v>
      </c>
      <c r="BC82" t="inlineStr">
        <is>
          <t>CANCELADO</t>
        </is>
      </c>
      <c r="BN82" t="inlineStr">
        <is>
          <t>Si</t>
        </is>
      </c>
      <c r="BO82" s="117" t="n">
        <v>45748.62986111111</v>
      </c>
      <c r="BP82" t="inlineStr">
        <is>
          <t>Magaly Guevara Perez</t>
        </is>
      </c>
      <c r="BR82" t="n">
        <v>56</v>
      </c>
      <c r="BS82" t="inlineStr">
        <is>
          <t>28/06/2026 21:26</t>
        </is>
      </c>
      <c r="BT82" t="n">
        <v>0</v>
      </c>
      <c r="BX82" t="inlineStr">
        <is>
          <t>Cobranzas_2025.csv</t>
        </is>
      </c>
      <c r="BY82" t="n">
        <v>2025</v>
      </c>
      <c r="BZ82" t="inlineStr">
        <is>
          <t>01/01/2024</t>
        </is>
      </c>
      <c r="CA82" t="inlineStr">
        <is>
          <t>30/09/2031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39" t="n">
        <v>56300</v>
      </c>
      <c r="H83" s="39" t="n">
        <v>56300</v>
      </c>
      <c r="M83" s="39" t="n"/>
      <c r="N83" s="39" t="n"/>
      <c r="S83" s="39" t="n"/>
      <c r="T83" s="39" t="n"/>
      <c r="Y83" s="39" t="n"/>
      <c r="Z83" s="39" t="n"/>
      <c r="AA83" t="inlineStr">
        <is>
          <t>Ayleen Katia Messarina Rios</t>
        </is>
      </c>
      <c r="AB83" t="inlineStr">
        <is>
          <t>70512701</t>
        </is>
      </c>
      <c r="AC83" t="inlineStr">
        <is>
          <t>Departamento 101 Urbanización Santa Rosa de Surco etapa 2 Mz D Lt 23</t>
        </is>
      </c>
      <c r="AD83" t="n">
        <v>978722675</v>
      </c>
      <c r="AE83" t="inlineStr">
        <is>
          <t>978722675</t>
        </is>
      </c>
      <c r="AF83" t="inlineStr">
        <is>
          <t>ayleen30mr@gmail.com</t>
        </is>
      </c>
      <c r="AG83" t="inlineStr">
        <is>
          <t>LIMA</t>
        </is>
      </c>
      <c r="AH83" t="inlineStr">
        <is>
          <t>SANTIAGO DE SURCO</t>
        </is>
      </c>
      <c r="AI83" s="116" t="n">
        <v>45870</v>
      </c>
      <c r="AJ83" s="116" t="n">
        <v>45868</v>
      </c>
      <c r="AK83" t="inlineStr">
        <is>
          <t>SALDO FINANCIAR</t>
        </is>
      </c>
      <c r="AL83" t="n">
        <v>5</v>
      </c>
      <c r="AM83" t="n">
        <v>3800</v>
      </c>
      <c r="AN83" t="n">
        <v>0</v>
      </c>
      <c r="AO83" t="n">
        <v>0</v>
      </c>
      <c r="AP83" s="39" t="n">
        <v>3800</v>
      </c>
      <c r="AQ83" s="39" t="n">
        <v>3800</v>
      </c>
      <c r="AR83" s="39" t="n">
        <v>0</v>
      </c>
      <c r="AS83" t="n">
        <v>0</v>
      </c>
      <c r="AT83" t="inlineStr">
        <is>
          <t>Crédito Directo</t>
        </is>
      </c>
      <c r="AU83" t="inlineStr">
        <is>
          <t>Scotiabank Perú</t>
        </is>
      </c>
      <c r="AV83" t="inlineStr">
        <is>
          <t>000-2768484</t>
        </is>
      </c>
      <c r="AW83" t="inlineStr">
        <is>
          <t>TRANSFERENCIA BANCARIA</t>
        </is>
      </c>
      <c r="AY83" t="inlineStr">
        <is>
          <t>05185364</t>
        </is>
      </c>
      <c r="AZ83" t="inlineStr">
        <is>
          <t>Si</t>
        </is>
      </c>
      <c r="BB83" t="n">
        <v>4</v>
      </c>
      <c r="BC83" t="inlineStr">
        <is>
          <t>CANCELADO</t>
        </is>
      </c>
      <c r="BN83" t="inlineStr">
        <is>
          <t>Si</t>
        </is>
      </c>
      <c r="BO83" s="117" t="n">
        <v>45748.62986111111</v>
      </c>
      <c r="BP83" t="inlineStr">
        <is>
          <t>Magaly Guevara Perez</t>
        </is>
      </c>
      <c r="BR83" t="n">
        <v>56</v>
      </c>
      <c r="BS83" t="inlineStr">
        <is>
          <t>28/06/2026 21:30</t>
        </is>
      </c>
      <c r="BT83" t="n">
        <v>0</v>
      </c>
      <c r="BX83" t="inlineStr">
        <is>
          <t>Cobranzas_2025.csv</t>
        </is>
      </c>
      <c r="BY83" t="n">
        <v>2025</v>
      </c>
      <c r="BZ83" t="inlineStr">
        <is>
          <t>01/01/2024</t>
        </is>
      </c>
      <c r="CA83" t="inlineStr">
        <is>
          <t>30/09/2031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39" t="n">
        <v>56300</v>
      </c>
      <c r="H84" s="39" t="n">
        <v>56300</v>
      </c>
      <c r="M84" s="39" t="n"/>
      <c r="N84" s="39" t="n"/>
      <c r="S84" s="39" t="n"/>
      <c r="T84" s="39" t="n"/>
      <c r="Y84" s="39" t="n"/>
      <c r="Z84" s="39" t="n"/>
      <c r="AA84" t="inlineStr">
        <is>
          <t>Ayleen Katia Messarina Rios</t>
        </is>
      </c>
      <c r="AB84" t="inlineStr">
        <is>
          <t>70512701</t>
        </is>
      </c>
      <c r="AC84" t="inlineStr">
        <is>
          <t>Departamento 101 Urbanización Santa Rosa de Surco etapa 2 Mz D Lt 23</t>
        </is>
      </c>
      <c r="AD84" t="n">
        <v>978722675</v>
      </c>
      <c r="AE84" t="inlineStr">
        <is>
          <t>978722675</t>
        </is>
      </c>
      <c r="AF84" t="inlineStr">
        <is>
          <t>ayleen30mr@gmail.com</t>
        </is>
      </c>
      <c r="AG84" t="inlineStr">
        <is>
          <t>LIMA</t>
        </is>
      </c>
      <c r="AH84" t="inlineStr">
        <is>
          <t>SANTIAGO DE SURCO</t>
        </is>
      </c>
      <c r="AI84" s="116" t="n">
        <v>45901</v>
      </c>
      <c r="AJ84" s="116" t="n">
        <v>45902</v>
      </c>
      <c r="AK84" t="inlineStr">
        <is>
          <t>SALDO FINANCIAR</t>
        </is>
      </c>
      <c r="AL84" t="n">
        <v>6</v>
      </c>
      <c r="AM84" t="n">
        <v>3800</v>
      </c>
      <c r="AN84" t="n">
        <v>0</v>
      </c>
      <c r="AO84" t="n">
        <v>0</v>
      </c>
      <c r="AP84" s="39" t="n">
        <v>3800</v>
      </c>
      <c r="AQ84" s="39" t="n">
        <v>3800</v>
      </c>
      <c r="AR84" s="39" t="n">
        <v>0</v>
      </c>
      <c r="AS84" t="n">
        <v>0</v>
      </c>
      <c r="AT84" t="inlineStr">
        <is>
          <t>Crédito Directo</t>
        </is>
      </c>
      <c r="AU84" t="inlineStr">
        <is>
          <t>Scotiabank Perú</t>
        </is>
      </c>
      <c r="AV84" t="inlineStr">
        <is>
          <t>000-2768484</t>
        </is>
      </c>
      <c r="AW84" t="inlineStr">
        <is>
          <t>TRANSFERENCIA BANCARIA</t>
        </is>
      </c>
      <c r="AY84" t="inlineStr">
        <is>
          <t>00510042</t>
        </is>
      </c>
      <c r="AZ84" t="inlineStr">
        <is>
          <t>Si</t>
        </is>
      </c>
      <c r="BB84" t="n">
        <v>4</v>
      </c>
      <c r="BC84" t="inlineStr">
        <is>
          <t>CANCELADO</t>
        </is>
      </c>
      <c r="BN84" t="inlineStr">
        <is>
          <t>Si</t>
        </is>
      </c>
      <c r="BO84" s="117" t="n">
        <v>45748.62986111111</v>
      </c>
      <c r="BP84" t="inlineStr">
        <is>
          <t>Magaly Guevara Perez</t>
        </is>
      </c>
      <c r="BR84" t="n">
        <v>56</v>
      </c>
      <c r="BS84" t="inlineStr">
        <is>
          <t>28/06/2026 21:31</t>
        </is>
      </c>
      <c r="BT84" t="n">
        <v>0</v>
      </c>
      <c r="BX84" t="inlineStr">
        <is>
          <t>Cobranzas_2025.csv</t>
        </is>
      </c>
      <c r="BY84" t="n">
        <v>2025</v>
      </c>
      <c r="BZ84" t="inlineStr">
        <is>
          <t>01/01/2024</t>
        </is>
      </c>
      <c r="CA84" t="inlineStr">
        <is>
          <t>30/09/2031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39" t="n">
        <v>56300</v>
      </c>
      <c r="H85" s="39" t="n">
        <v>56300</v>
      </c>
      <c r="M85" s="39" t="n"/>
      <c r="N85" s="39" t="n"/>
      <c r="S85" s="39" t="n"/>
      <c r="T85" s="39" t="n"/>
      <c r="Y85" s="39" t="n"/>
      <c r="Z85" s="39" t="n"/>
      <c r="AA85" t="inlineStr">
        <is>
          <t>Ayleen Katia Messarina Rios</t>
        </is>
      </c>
      <c r="AB85" t="inlineStr">
        <is>
          <t>70512701</t>
        </is>
      </c>
      <c r="AC85" t="inlineStr">
        <is>
          <t>Departamento 101 Urbanización Santa Rosa de Surco etapa 2 Mz D Lt 23</t>
        </is>
      </c>
      <c r="AD85" t="n">
        <v>978722675</v>
      </c>
      <c r="AE85" t="inlineStr">
        <is>
          <t>978722675</t>
        </is>
      </c>
      <c r="AF85" t="inlineStr">
        <is>
          <t>ayleen30mr@gmail.com</t>
        </is>
      </c>
      <c r="AG85" t="inlineStr">
        <is>
          <t>LIMA</t>
        </is>
      </c>
      <c r="AH85" t="inlineStr">
        <is>
          <t>SANTIAGO DE SURCO</t>
        </is>
      </c>
      <c r="AI85" s="116" t="n">
        <v>45931</v>
      </c>
      <c r="AJ85" s="116" t="n">
        <v>45942</v>
      </c>
      <c r="AK85" t="inlineStr">
        <is>
          <t>SALDO FINANCIAR</t>
        </is>
      </c>
      <c r="AL85" t="n">
        <v>7</v>
      </c>
      <c r="AM85" t="n">
        <v>3800</v>
      </c>
      <c r="AN85" t="n">
        <v>0</v>
      </c>
      <c r="AO85" t="n">
        <v>0</v>
      </c>
      <c r="AP85" s="39" t="n">
        <v>3800</v>
      </c>
      <c r="AQ85" s="39" t="n">
        <v>3800</v>
      </c>
      <c r="AR85" s="39" t="n">
        <v>0</v>
      </c>
      <c r="AS85" t="n">
        <v>0</v>
      </c>
      <c r="AT85" t="inlineStr">
        <is>
          <t>Crédito Directo</t>
        </is>
      </c>
      <c r="AU85" t="inlineStr">
        <is>
          <t>Scotiabank Perú</t>
        </is>
      </c>
      <c r="AV85" t="inlineStr">
        <is>
          <t>000-2768484</t>
        </is>
      </c>
      <c r="AW85" t="inlineStr">
        <is>
          <t>TRANSFERENCIA BANCARIA</t>
        </is>
      </c>
      <c r="AY85" t="inlineStr">
        <is>
          <t>02106124</t>
        </is>
      </c>
      <c r="AZ85" t="inlineStr">
        <is>
          <t>Si</t>
        </is>
      </c>
      <c r="BB85" t="n">
        <v>4</v>
      </c>
      <c r="BC85" t="inlineStr">
        <is>
          <t>CANCELADO</t>
        </is>
      </c>
      <c r="BN85" t="inlineStr">
        <is>
          <t>Si</t>
        </is>
      </c>
      <c r="BO85" s="117" t="n">
        <v>45748.62986111111</v>
      </c>
      <c r="BP85" t="inlineStr">
        <is>
          <t>Magaly Guevara Perez</t>
        </is>
      </c>
      <c r="BR85" t="n">
        <v>56</v>
      </c>
      <c r="BS85" t="inlineStr">
        <is>
          <t>28/06/2026 21:31</t>
        </is>
      </c>
      <c r="BT85" t="n">
        <v>0</v>
      </c>
      <c r="BX85" t="inlineStr">
        <is>
          <t>Cobranzas_2025.csv</t>
        </is>
      </c>
      <c r="BY85" t="n">
        <v>2025</v>
      </c>
      <c r="BZ85" t="inlineStr">
        <is>
          <t>01/01/2024</t>
        </is>
      </c>
      <c r="CA85" t="inlineStr">
        <is>
          <t>30/09/2031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39" t="n">
        <v>56300</v>
      </c>
      <c r="H86" s="39" t="n">
        <v>56300</v>
      </c>
      <c r="M86" s="39" t="n"/>
      <c r="N86" s="39" t="n"/>
      <c r="S86" s="39" t="n"/>
      <c r="T86" s="39" t="n"/>
      <c r="Y86" s="39" t="n"/>
      <c r="Z86" s="39" t="n"/>
      <c r="AA86" t="inlineStr">
        <is>
          <t>Ayleen Katia Messarina Rios</t>
        </is>
      </c>
      <c r="AB86" t="inlineStr">
        <is>
          <t>70512701</t>
        </is>
      </c>
      <c r="AC86" t="inlineStr">
        <is>
          <t>Departamento 101 Urbanización Santa Rosa de Surco etapa 2 Mz D Lt 23</t>
        </is>
      </c>
      <c r="AD86" t="n">
        <v>978722675</v>
      </c>
      <c r="AE86" t="inlineStr">
        <is>
          <t>978722675</t>
        </is>
      </c>
      <c r="AF86" t="inlineStr">
        <is>
          <t>ayleen30mr@gmail.com</t>
        </is>
      </c>
      <c r="AG86" t="inlineStr">
        <is>
          <t>LIMA</t>
        </is>
      </c>
      <c r="AH86" t="inlineStr">
        <is>
          <t>SANTIAGO DE SURCO</t>
        </is>
      </c>
      <c r="AI86" s="116" t="n">
        <v>45962</v>
      </c>
      <c r="AJ86" s="116" t="n">
        <v>45980</v>
      </c>
      <c r="AK86" t="inlineStr">
        <is>
          <t>SALDO FINANCIAR</t>
        </is>
      </c>
      <c r="AL86" t="n">
        <v>8</v>
      </c>
      <c r="AM86" t="n">
        <v>3800</v>
      </c>
      <c r="AN86" t="n">
        <v>0</v>
      </c>
      <c r="AO86" t="n">
        <v>0</v>
      </c>
      <c r="AP86" s="39" t="n">
        <v>3800</v>
      </c>
      <c r="AQ86" s="39" t="n">
        <v>3800</v>
      </c>
      <c r="AR86" s="39" t="n">
        <v>0</v>
      </c>
      <c r="AS86" t="n">
        <v>0</v>
      </c>
      <c r="AT86" t="inlineStr">
        <is>
          <t>Crédito Directo</t>
        </is>
      </c>
      <c r="AU86" t="inlineStr">
        <is>
          <t>Scotiabank Perú</t>
        </is>
      </c>
      <c r="AV86" t="inlineStr">
        <is>
          <t>000-2768484</t>
        </is>
      </c>
      <c r="AW86" t="inlineStr">
        <is>
          <t>TRANSFERENCIA BANCARIA</t>
        </is>
      </c>
      <c r="AY86" t="inlineStr">
        <is>
          <t>00374413</t>
        </is>
      </c>
      <c r="AZ86" t="inlineStr">
        <is>
          <t>Si</t>
        </is>
      </c>
      <c r="BB86" t="n">
        <v>4</v>
      </c>
      <c r="BC86" t="inlineStr">
        <is>
          <t>CANCELADO</t>
        </is>
      </c>
      <c r="BN86" t="inlineStr">
        <is>
          <t>Si</t>
        </is>
      </c>
      <c r="BO86" s="117" t="n">
        <v>45748.62986111111</v>
      </c>
      <c r="BP86" t="inlineStr">
        <is>
          <t>Magaly Guevara Perez</t>
        </is>
      </c>
      <c r="BR86" t="n">
        <v>56</v>
      </c>
      <c r="BS86" t="inlineStr">
        <is>
          <t>28/06/2026 21:32</t>
        </is>
      </c>
      <c r="BT86" t="n">
        <v>0</v>
      </c>
      <c r="BX86" t="inlineStr">
        <is>
          <t>Cobranzas_2025.csv</t>
        </is>
      </c>
      <c r="BY86" t="n">
        <v>2025</v>
      </c>
      <c r="BZ86" t="inlineStr">
        <is>
          <t>01/01/2024</t>
        </is>
      </c>
      <c r="CA86" t="inlineStr">
        <is>
          <t>30/09/2031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39" t="n">
        <v>56300</v>
      </c>
      <c r="H87" s="39" t="n">
        <v>56300</v>
      </c>
      <c r="M87" s="39" t="n"/>
      <c r="N87" s="39" t="n"/>
      <c r="S87" s="39" t="n"/>
      <c r="T87" s="39" t="n"/>
      <c r="Y87" s="39" t="n"/>
      <c r="Z87" s="39" t="n"/>
      <c r="AA87" t="inlineStr">
        <is>
          <t>Ayleen Katia Messarina Rios</t>
        </is>
      </c>
      <c r="AB87" t="inlineStr">
        <is>
          <t>70512701</t>
        </is>
      </c>
      <c r="AC87" t="inlineStr">
        <is>
          <t>Departamento 101 Urbanización Santa Rosa de Surco etapa 2 Mz D Lt 23</t>
        </is>
      </c>
      <c r="AD87" t="n">
        <v>978722675</v>
      </c>
      <c r="AE87" t="inlineStr">
        <is>
          <t>978722675</t>
        </is>
      </c>
      <c r="AF87" t="inlineStr">
        <is>
          <t>ayleen30mr@gmail.com</t>
        </is>
      </c>
      <c r="AG87" t="inlineStr">
        <is>
          <t>LIMA</t>
        </is>
      </c>
      <c r="AH87" t="inlineStr">
        <is>
          <t>SANTIAGO DE SURCO</t>
        </is>
      </c>
      <c r="AI87" s="116" t="n">
        <v>45992</v>
      </c>
      <c r="AJ87" s="116" t="n">
        <v>46033</v>
      </c>
      <c r="AK87" t="inlineStr">
        <is>
          <t>SALDO FINANCIAR</t>
        </is>
      </c>
      <c r="AL87" t="n">
        <v>9</v>
      </c>
      <c r="AM87" t="n">
        <v>3800</v>
      </c>
      <c r="AN87" t="n">
        <v>0</v>
      </c>
      <c r="AO87" t="n">
        <v>0</v>
      </c>
      <c r="AP87" s="39" t="n">
        <v>3800</v>
      </c>
      <c r="AQ87" s="39" t="n">
        <v>3800</v>
      </c>
      <c r="AR87" s="39" t="n">
        <v>0</v>
      </c>
      <c r="AS87" t="n">
        <v>0</v>
      </c>
      <c r="AT87" t="inlineStr">
        <is>
          <t>Crédito Directo</t>
        </is>
      </c>
      <c r="AU87" t="inlineStr">
        <is>
          <t>Scotiabank Perú</t>
        </is>
      </c>
      <c r="AV87" t="inlineStr">
        <is>
          <t>000-2768484</t>
        </is>
      </c>
      <c r="AW87" t="inlineStr">
        <is>
          <t>TRANSFERENCIA BANCARIA</t>
        </is>
      </c>
      <c r="AY87" t="inlineStr">
        <is>
          <t>01802980</t>
        </is>
      </c>
      <c r="AZ87" t="inlineStr">
        <is>
          <t>Si</t>
        </is>
      </c>
      <c r="BB87" t="n">
        <v>4</v>
      </c>
      <c r="BC87" t="inlineStr">
        <is>
          <t>CANCELADO</t>
        </is>
      </c>
      <c r="BN87" t="inlineStr">
        <is>
          <t>Si</t>
        </is>
      </c>
      <c r="BO87" s="117" t="n">
        <v>45748.62986111111</v>
      </c>
      <c r="BP87" t="inlineStr">
        <is>
          <t>Magaly Guevara Perez</t>
        </is>
      </c>
      <c r="BR87" t="n">
        <v>56</v>
      </c>
      <c r="BS87" t="inlineStr">
        <is>
          <t>28/06/2026 21:33</t>
        </is>
      </c>
      <c r="BT87" t="n">
        <v>0</v>
      </c>
      <c r="BX87" t="inlineStr">
        <is>
          <t>Cobranzas_2025.csv</t>
        </is>
      </c>
      <c r="BY87" t="n">
        <v>2025</v>
      </c>
      <c r="BZ87" t="inlineStr">
        <is>
          <t>01/01/2024</t>
        </is>
      </c>
      <c r="CA87" t="inlineStr">
        <is>
          <t>30/09/2031</t>
        </is>
      </c>
    </row>
    <row r="88">
      <c r="A88" t="inlineStr">
        <is>
          <t>RESIDENCIAL VENECIA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Departamento</t>
        </is>
      </c>
      <c r="F88" t="inlineStr">
        <is>
          <t>204</t>
        </is>
      </c>
      <c r="G88" s="39" t="n">
        <v>483000</v>
      </c>
      <c r="H88" s="39" t="n">
        <v>443000</v>
      </c>
      <c r="I88" t="inlineStr">
        <is>
          <t>Edificio</t>
        </is>
      </c>
      <c r="J88" t="inlineStr">
        <is>
          <t>A</t>
        </is>
      </c>
      <c r="K88" t="inlineStr">
        <is>
          <t>Estacionamiento</t>
        </is>
      </c>
      <c r="L88" t="inlineStr">
        <is>
          <t>E 14 - D 4</t>
        </is>
      </c>
      <c r="M88" s="39" t="n">
        <v>42800</v>
      </c>
      <c r="N88" s="39" t="n">
        <v>42800</v>
      </c>
      <c r="S88" s="39" t="n"/>
      <c r="T88" s="39" t="n"/>
      <c r="Y88" s="39" t="n"/>
      <c r="Z88" s="39" t="n"/>
      <c r="AA88" t="inlineStr">
        <is>
          <t>Carlos La Cruz Crespo</t>
        </is>
      </c>
      <c r="AB88" t="inlineStr">
        <is>
          <t>09022488</t>
        </is>
      </c>
      <c r="AC88" t="inlineStr">
        <is>
          <t>comas</t>
        </is>
      </c>
      <c r="AD88" t="n">
        <v>0</v>
      </c>
      <c r="AE88" t="inlineStr">
        <is>
          <t>997009340</t>
        </is>
      </c>
      <c r="AF88" t="inlineStr">
        <is>
          <t>carlos.14lacruz@gmail.com</t>
        </is>
      </c>
      <c r="AG88" t="inlineStr">
        <is>
          <t>LIMA</t>
        </is>
      </c>
      <c r="AH88" t="inlineStr">
        <is>
          <t>COMAS</t>
        </is>
      </c>
      <c r="AI88" s="116" t="n">
        <v>45795</v>
      </c>
      <c r="AJ88" s="116" t="n">
        <v>45795</v>
      </c>
      <c r="AK88" t="inlineStr">
        <is>
          <t>SEPARACION</t>
        </is>
      </c>
      <c r="AL88" t="n">
        <v>1</v>
      </c>
      <c r="AM88" t="n">
        <v>3000</v>
      </c>
      <c r="AN88" t="n">
        <v>0</v>
      </c>
      <c r="AO88" t="n">
        <v>0</v>
      </c>
      <c r="AP88" s="39" t="n">
        <v>3000</v>
      </c>
      <c r="AQ88" s="39" t="n">
        <v>1000</v>
      </c>
      <c r="AR88" s="39" t="n">
        <v>0</v>
      </c>
      <c r="AS88" t="n">
        <v>0</v>
      </c>
      <c r="AT88" t="inlineStr">
        <is>
          <t>Crédito Directo</t>
        </is>
      </c>
      <c r="AU88" t="inlineStr">
        <is>
          <t>Scotiabank Perú</t>
        </is>
      </c>
      <c r="AV88" t="inlineStr">
        <is>
          <t>0004071419</t>
        </is>
      </c>
      <c r="AW88" t="inlineStr">
        <is>
          <t>TRANSFERENCIA BANCARIA</t>
        </is>
      </c>
      <c r="AY88" t="inlineStr">
        <is>
          <t>473500004737</t>
        </is>
      </c>
      <c r="AZ88" t="inlineStr">
        <is>
          <t>No</t>
        </is>
      </c>
      <c r="BB88" t="n">
        <v>4</v>
      </c>
      <c r="BC88" t="inlineStr">
        <is>
          <t>CANCELADO</t>
        </is>
      </c>
      <c r="BN88" t="inlineStr">
        <is>
          <t>Si</t>
        </is>
      </c>
      <c r="BO88" s="117" t="n">
        <v>45839.33541666667</v>
      </c>
      <c r="BP88" t="inlineStr">
        <is>
          <t>Magaly Guevara Perez</t>
        </is>
      </c>
      <c r="BR88" t="n">
        <v>2</v>
      </c>
      <c r="BS88" t="inlineStr">
        <is>
          <t>18/08/2026 13:41</t>
        </is>
      </c>
      <c r="BT88" t="n">
        <v>0</v>
      </c>
      <c r="BX88" t="inlineStr">
        <is>
          <t>Cobranzas_2025.csv</t>
        </is>
      </c>
      <c r="BY88" t="n">
        <v>2025</v>
      </c>
      <c r="BZ88" t="inlineStr">
        <is>
          <t>01/01/2024</t>
        </is>
      </c>
      <c r="CA88" t="inlineStr">
        <is>
          <t>30/09/2031</t>
        </is>
      </c>
    </row>
    <row r="89">
      <c r="A89" t="inlineStr">
        <is>
          <t>RESIDENCIAL VENECIA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Departamento</t>
        </is>
      </c>
      <c r="F89" t="inlineStr">
        <is>
          <t>204</t>
        </is>
      </c>
      <c r="G89" s="39" t="n">
        <v>483000</v>
      </c>
      <c r="H89" s="39" t="n">
        <v>443000</v>
      </c>
      <c r="I89" t="inlineStr">
        <is>
          <t>Edificio</t>
        </is>
      </c>
      <c r="J89" t="inlineStr">
        <is>
          <t>A</t>
        </is>
      </c>
      <c r="K89" t="inlineStr">
        <is>
          <t>Estacionamiento</t>
        </is>
      </c>
      <c r="L89" t="inlineStr">
        <is>
          <t>E 14 - D 4</t>
        </is>
      </c>
      <c r="M89" s="39" t="n">
        <v>42800</v>
      </c>
      <c r="N89" s="39" t="n">
        <v>42800</v>
      </c>
      <c r="S89" s="39" t="n"/>
      <c r="T89" s="39" t="n"/>
      <c r="Y89" s="39" t="n"/>
      <c r="Z89" s="39" t="n"/>
      <c r="AA89" t="inlineStr">
        <is>
          <t>Carlos La Cruz Crespo</t>
        </is>
      </c>
      <c r="AB89" t="inlineStr">
        <is>
          <t>09022488</t>
        </is>
      </c>
      <c r="AC89" t="inlineStr">
        <is>
          <t>comas</t>
        </is>
      </c>
      <c r="AD89" t="n">
        <v>0</v>
      </c>
      <c r="AE89" t="inlineStr">
        <is>
          <t>997009340</t>
        </is>
      </c>
      <c r="AF89" t="inlineStr">
        <is>
          <t>carlos.14lacruz@gmail.com</t>
        </is>
      </c>
      <c r="AG89" t="inlineStr">
        <is>
          <t>LIMA</t>
        </is>
      </c>
      <c r="AH89" t="inlineStr">
        <is>
          <t>COMAS</t>
        </is>
      </c>
      <c r="AI89" s="116" t="n">
        <v>45795</v>
      </c>
      <c r="AJ89" s="116" t="n">
        <v>45797</v>
      </c>
      <c r="AK89" t="inlineStr">
        <is>
          <t>SEPARACION</t>
        </is>
      </c>
      <c r="AL89" t="n">
        <v>1</v>
      </c>
      <c r="AM89" t="n">
        <v>0</v>
      </c>
      <c r="AN89" t="n">
        <v>0</v>
      </c>
      <c r="AO89" t="n">
        <v>0</v>
      </c>
      <c r="AP89" s="39" t="n">
        <v>0</v>
      </c>
      <c r="AQ89" s="39" t="n">
        <v>2000</v>
      </c>
      <c r="AR89" s="39" t="n">
        <v>0</v>
      </c>
      <c r="AS89" t="n">
        <v>0</v>
      </c>
      <c r="AT89" t="inlineStr">
        <is>
          <t>Crédito Directo</t>
        </is>
      </c>
      <c r="AU89" t="inlineStr">
        <is>
          <t>Scotiabank Perú</t>
        </is>
      </c>
      <c r="AV89" t="inlineStr">
        <is>
          <t>0004071419</t>
        </is>
      </c>
      <c r="AW89" t="inlineStr">
        <is>
          <t>TRANSFERENCIA BANCARIA</t>
        </is>
      </c>
      <c r="AY89" t="inlineStr">
        <is>
          <t>474400004746</t>
        </is>
      </c>
      <c r="AZ89" t="inlineStr">
        <is>
          <t>No</t>
        </is>
      </c>
      <c r="BB89" t="n">
        <v>4</v>
      </c>
      <c r="BC89" t="inlineStr">
        <is>
          <t>CANCELADO</t>
        </is>
      </c>
      <c r="BN89" t="inlineStr">
        <is>
          <t>Si</t>
        </is>
      </c>
      <c r="BO89" s="117" t="n">
        <v>45839.33541666667</v>
      </c>
      <c r="BP89" t="inlineStr">
        <is>
          <t>Magaly Guevara Perez</t>
        </is>
      </c>
      <c r="BR89" t="n">
        <v>2</v>
      </c>
      <c r="BS89" t="inlineStr">
        <is>
          <t>18/08/2026 13:41</t>
        </is>
      </c>
      <c r="BT89" t="n">
        <v>0</v>
      </c>
      <c r="BX89" t="inlineStr">
        <is>
          <t>Cobranzas_2025.csv</t>
        </is>
      </c>
      <c r="BY89" t="n">
        <v>2025</v>
      </c>
      <c r="BZ89" t="inlineStr">
        <is>
          <t>01/01/2024</t>
        </is>
      </c>
      <c r="CA89" t="inlineStr">
        <is>
          <t>30/09/2031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Departamento</t>
        </is>
      </c>
      <c r="F90" t="inlineStr">
        <is>
          <t>601</t>
        </is>
      </c>
      <c r="G90" s="39" t="n">
        <v>630000</v>
      </c>
      <c r="H90" s="39" t="n">
        <v>630000</v>
      </c>
      <c r="I90" t="inlineStr">
        <is>
          <t>Edificio</t>
        </is>
      </c>
      <c r="J90" t="inlineStr">
        <is>
          <t>A</t>
        </is>
      </c>
      <c r="K90" t="inlineStr">
        <is>
          <t>Estacionamiento</t>
        </is>
      </c>
      <c r="L90" t="inlineStr">
        <is>
          <t>E 28 - D 22</t>
        </is>
      </c>
      <c r="M90" s="39" t="n">
        <v>60000</v>
      </c>
      <c r="N90" s="39" t="n">
        <v>60000</v>
      </c>
      <c r="S90" s="39" t="n"/>
      <c r="T90" s="39" t="n"/>
      <c r="Y90" s="39" t="n"/>
      <c r="Z90" s="39" t="n"/>
      <c r="AA90" t="inlineStr">
        <is>
          <t>Chistopher Omar Peña Camargo</t>
        </is>
      </c>
      <c r="AB90" t="inlineStr">
        <is>
          <t>44062837</t>
        </is>
      </c>
      <c r="AC90" t="inlineStr">
        <is>
          <t>Av. San Felipe 351</t>
        </is>
      </c>
      <c r="AE90" t="inlineStr">
        <is>
          <t>964328569</t>
        </is>
      </c>
      <c r="AF90" t="inlineStr">
        <is>
          <t>ciruvision@gmail.com</t>
        </is>
      </c>
      <c r="AG90" t="inlineStr">
        <is>
          <t>LIMA</t>
        </is>
      </c>
      <c r="AH90" t="inlineStr">
        <is>
          <t>JESUS MARIA</t>
        </is>
      </c>
      <c r="AI90" s="116" t="n">
        <v>45804</v>
      </c>
      <c r="AJ90" s="116" t="n">
        <v>45804</v>
      </c>
      <c r="AK90" t="inlineStr">
        <is>
          <t>SEPARACION</t>
        </is>
      </c>
      <c r="AL90" t="n">
        <v>1</v>
      </c>
      <c r="AM90" t="n">
        <v>3000</v>
      </c>
      <c r="AN90" t="n">
        <v>0</v>
      </c>
      <c r="AO90" t="n">
        <v>0</v>
      </c>
      <c r="AP90" s="39" t="n">
        <v>3000</v>
      </c>
      <c r="AQ90" s="39" t="n">
        <v>3000</v>
      </c>
      <c r="AR90" s="39" t="n">
        <v>0</v>
      </c>
      <c r="AS90" t="n">
        <v>0</v>
      </c>
      <c r="AT90" t="inlineStr">
        <is>
          <t>Crédito Hipotecario</t>
        </is>
      </c>
      <c r="AU90" t="inlineStr">
        <is>
          <t>Scotiabank Perú</t>
        </is>
      </c>
      <c r="AV90" t="inlineStr">
        <is>
          <t>000-2768484</t>
        </is>
      </c>
      <c r="AW90" t="inlineStr">
        <is>
          <t>TRANSFERENCIA BANCARIA</t>
        </is>
      </c>
      <c r="AY90" t="inlineStr">
        <is>
          <t>00002220000000002222</t>
        </is>
      </c>
      <c r="AZ90" t="inlineStr">
        <is>
          <t>No</t>
        </is>
      </c>
      <c r="BB90" t="n">
        <v>4</v>
      </c>
      <c r="BC90" t="inlineStr">
        <is>
          <t>CANCELADO</t>
        </is>
      </c>
      <c r="BN90" t="inlineStr">
        <is>
          <t>Si</t>
        </is>
      </c>
      <c r="BO90" s="117" t="n">
        <v>45831.69236111111</v>
      </c>
      <c r="BP90" t="inlineStr">
        <is>
          <t>Carla Michue M</t>
        </is>
      </c>
      <c r="BR90" t="n">
        <v>12</v>
      </c>
      <c r="BS90" t="inlineStr">
        <is>
          <t>03/07/2026 14:39</t>
        </is>
      </c>
      <c r="BT90" t="n">
        <v>0</v>
      </c>
      <c r="BX90" t="inlineStr">
        <is>
          <t>Cobranzas_2025.csv</t>
        </is>
      </c>
      <c r="BY90" t="n">
        <v>2025</v>
      </c>
      <c r="BZ90" t="inlineStr">
        <is>
          <t>01/01/2024</t>
        </is>
      </c>
      <c r="CA90" t="inlineStr">
        <is>
          <t>30/09/2031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Departamento</t>
        </is>
      </c>
      <c r="F91" t="inlineStr">
        <is>
          <t>601</t>
        </is>
      </c>
      <c r="G91" s="39" t="n">
        <v>630000</v>
      </c>
      <c r="H91" s="39" t="n">
        <v>630000</v>
      </c>
      <c r="I91" t="inlineStr">
        <is>
          <t>Edificio</t>
        </is>
      </c>
      <c r="J91" t="inlineStr">
        <is>
          <t>A</t>
        </is>
      </c>
      <c r="K91" t="inlineStr">
        <is>
          <t>Estacionamiento</t>
        </is>
      </c>
      <c r="L91" t="inlineStr">
        <is>
          <t>E 28 - D 22</t>
        </is>
      </c>
      <c r="M91" s="39" t="n">
        <v>60000</v>
      </c>
      <c r="N91" s="39" t="n">
        <v>60000</v>
      </c>
      <c r="S91" s="39" t="n"/>
      <c r="T91" s="39" t="n"/>
      <c r="Y91" s="39" t="n"/>
      <c r="Z91" s="39" t="n"/>
      <c r="AA91" t="inlineStr">
        <is>
          <t>Chistopher Omar Peña Camargo</t>
        </is>
      </c>
      <c r="AB91" t="inlineStr">
        <is>
          <t>44062837</t>
        </is>
      </c>
      <c r="AC91" t="inlineStr">
        <is>
          <t>Av. San Felipe 351</t>
        </is>
      </c>
      <c r="AE91" t="inlineStr">
        <is>
          <t>964328569</t>
        </is>
      </c>
      <c r="AF91" t="inlineStr">
        <is>
          <t>ciruvision@gmail.com</t>
        </is>
      </c>
      <c r="AG91" t="inlineStr">
        <is>
          <t>LIMA</t>
        </is>
      </c>
      <c r="AH91" t="inlineStr">
        <is>
          <t>JESUS MARIA</t>
        </is>
      </c>
      <c r="AI91" s="116" t="n">
        <v>45831</v>
      </c>
      <c r="AJ91" s="116" t="n">
        <v>45831</v>
      </c>
      <c r="AK91" t="inlineStr">
        <is>
          <t>CUOTA INICIAL</t>
        </is>
      </c>
      <c r="AL91" t="n">
        <v>2</v>
      </c>
      <c r="AM91" t="n">
        <v>107000</v>
      </c>
      <c r="AN91" t="n">
        <v>0</v>
      </c>
      <c r="AO91" t="n">
        <v>0</v>
      </c>
      <c r="AP91" s="39" t="n">
        <v>107000</v>
      </c>
      <c r="AQ91" s="39" t="n">
        <v>107000</v>
      </c>
      <c r="AR91" s="39" t="n">
        <v>0</v>
      </c>
      <c r="AS91" t="n">
        <v>0</v>
      </c>
      <c r="AT91" t="inlineStr">
        <is>
          <t>Crédito Hipotecario</t>
        </is>
      </c>
      <c r="AU91" t="inlineStr">
        <is>
          <t>Scotiabank Perú</t>
        </is>
      </c>
      <c r="AV91" t="inlineStr">
        <is>
          <t>000-2768484</t>
        </is>
      </c>
      <c r="AW91" t="inlineStr">
        <is>
          <t>TRANSFERENCIA BANCARIA</t>
        </is>
      </c>
      <c r="AX91" t="inlineStr">
        <is>
          <t>44062837</t>
        </is>
      </c>
      <c r="AY91" t="inlineStr">
        <is>
          <t>006128332</t>
        </is>
      </c>
      <c r="AZ91" t="inlineStr">
        <is>
          <t>No</t>
        </is>
      </c>
      <c r="BA91" t="inlineStr">
        <is>
          <t>NO PRECISA</t>
        </is>
      </c>
      <c r="BB91" t="n">
        <v>1</v>
      </c>
      <c r="BC91" t="inlineStr">
        <is>
          <t>CANCELADO</t>
        </is>
      </c>
      <c r="BN91" t="inlineStr">
        <is>
          <t>Si</t>
        </is>
      </c>
      <c r="BO91" s="117" t="n">
        <v>45831.69236111111</v>
      </c>
      <c r="BP91" t="inlineStr">
        <is>
          <t>Carla Michue M</t>
        </is>
      </c>
      <c r="BR91" t="n">
        <v>12</v>
      </c>
      <c r="BS91" t="inlineStr">
        <is>
          <t>29/05/2026 12:21</t>
        </is>
      </c>
      <c r="BT91" t="n">
        <v>0</v>
      </c>
      <c r="BX91" t="inlineStr">
        <is>
          <t>Cobranzas_2025.csv</t>
        </is>
      </c>
      <c r="BY91" t="n">
        <v>2025</v>
      </c>
      <c r="BZ91" t="inlineStr">
        <is>
          <t>01/01/2024</t>
        </is>
      </c>
      <c r="CA91" t="inlineStr">
        <is>
          <t>30/09/2031</t>
        </is>
      </c>
    </row>
    <row r="92">
      <c r="A92" t="inlineStr">
        <is>
          <t>RESIDENCIAL PRADA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601</t>
        </is>
      </c>
      <c r="G92" s="39" t="n">
        <v>630000</v>
      </c>
      <c r="H92" s="39" t="n">
        <v>630000</v>
      </c>
      <c r="I92" t="inlineStr">
        <is>
          <t>Edificio</t>
        </is>
      </c>
      <c r="J92" t="inlineStr">
        <is>
          <t>A</t>
        </is>
      </c>
      <c r="K92" t="inlineStr">
        <is>
          <t>Estacionamiento</t>
        </is>
      </c>
      <c r="L92" t="inlineStr">
        <is>
          <t>E 28 - D 22</t>
        </is>
      </c>
      <c r="M92" s="39" t="n">
        <v>60000</v>
      </c>
      <c r="N92" s="39" t="n">
        <v>60000</v>
      </c>
      <c r="S92" s="39" t="n"/>
      <c r="T92" s="39" t="n"/>
      <c r="Y92" s="39" t="n"/>
      <c r="Z92" s="39" t="n"/>
      <c r="AA92" t="inlineStr">
        <is>
          <t>Chistopher Omar Peña Camargo</t>
        </is>
      </c>
      <c r="AB92" t="inlineStr">
        <is>
          <t>44062837</t>
        </is>
      </c>
      <c r="AC92" t="inlineStr">
        <is>
          <t>Av. San Felipe 351</t>
        </is>
      </c>
      <c r="AE92" t="inlineStr">
        <is>
          <t>964328569</t>
        </is>
      </c>
      <c r="AF92" t="inlineStr">
        <is>
          <t>ciruvision@gmail.com</t>
        </is>
      </c>
      <c r="AG92" t="inlineStr">
        <is>
          <t>LIMA</t>
        </is>
      </c>
      <c r="AH92" t="inlineStr">
        <is>
          <t>JESUS MARIA</t>
        </is>
      </c>
      <c r="AI92" s="116" t="n">
        <v>45868</v>
      </c>
      <c r="AJ92" s="116" t="n">
        <v>45936</v>
      </c>
      <c r="AK92" t="inlineStr">
        <is>
          <t>SALDO FINANCIAR</t>
        </is>
      </c>
      <c r="AL92" t="n">
        <v>1</v>
      </c>
      <c r="AM92" t="n">
        <v>580000</v>
      </c>
      <c r="AN92" t="n">
        <v>0</v>
      </c>
      <c r="AO92" t="n">
        <v>0</v>
      </c>
      <c r="AP92" s="39" t="n">
        <v>580000</v>
      </c>
      <c r="AQ92" s="39" t="n">
        <v>580000</v>
      </c>
      <c r="AR92" s="39" t="n">
        <v>0</v>
      </c>
      <c r="AS92" t="n">
        <v>0</v>
      </c>
      <c r="AT92" t="inlineStr">
        <is>
          <t>Crédito Hipotecario</t>
        </is>
      </c>
      <c r="AU92" t="inlineStr">
        <is>
          <t>Scotiabank Perú</t>
        </is>
      </c>
      <c r="AV92" t="inlineStr">
        <is>
          <t>000-2768484</t>
        </is>
      </c>
      <c r="AW92" t="inlineStr">
        <is>
          <t>TRANSFERENCIA BANCARIA</t>
        </is>
      </c>
      <c r="AY92" t="inlineStr">
        <is>
          <t>EB01-137</t>
        </is>
      </c>
      <c r="AZ92" t="inlineStr">
        <is>
          <t>No</t>
        </is>
      </c>
      <c r="BB92" t="n">
        <v>4</v>
      </c>
      <c r="BC92" t="inlineStr">
        <is>
          <t>CANCELADO</t>
        </is>
      </c>
      <c r="BN92" t="inlineStr">
        <is>
          <t>Si</t>
        </is>
      </c>
      <c r="BO92" s="117" t="n">
        <v>45831.69236111111</v>
      </c>
      <c r="BP92" t="inlineStr">
        <is>
          <t>Carla Michue M</t>
        </is>
      </c>
      <c r="BR92" t="n">
        <v>12</v>
      </c>
      <c r="BS92" t="inlineStr">
        <is>
          <t>14/08/2026 11:43</t>
        </is>
      </c>
      <c r="BT92" t="n">
        <v>0</v>
      </c>
      <c r="BX92" t="inlineStr">
        <is>
          <t>Cobranzas_2025.csv</t>
        </is>
      </c>
      <c r="BY92" t="n">
        <v>2025</v>
      </c>
      <c r="BZ92" t="inlineStr">
        <is>
          <t>01/01/2024</t>
        </is>
      </c>
      <c r="CA92" t="inlineStr">
        <is>
          <t>30/09/2031</t>
        </is>
      </c>
    </row>
    <row r="93">
      <c r="A93" t="inlineStr">
        <is>
          <t>RESIDENCIAL PRADA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302</t>
        </is>
      </c>
      <c r="G93" s="39" t="n">
        <v>435500</v>
      </c>
      <c r="H93" s="39" t="n">
        <v>435500</v>
      </c>
      <c r="M93" s="39" t="n"/>
      <c r="N93" s="39" t="n"/>
      <c r="S93" s="39" t="n"/>
      <c r="T93" s="39" t="n"/>
      <c r="Y93" s="39" t="n"/>
      <c r="Z93" s="39" t="n"/>
      <c r="AA93" t="inlineStr">
        <is>
          <t>Cristhiam Ortiz Angeles</t>
        </is>
      </c>
      <c r="AB93" t="inlineStr">
        <is>
          <t>45110882</t>
        </is>
      </c>
      <c r="AC93" t="inlineStr">
        <is>
          <t>Av. Olavegoya 1879 departamento 301</t>
        </is>
      </c>
      <c r="AD93" t="n">
        <v>992532732</v>
      </c>
      <c r="AE93" t="inlineStr">
        <is>
          <t>992532732</t>
        </is>
      </c>
      <c r="AF93" t="inlineStr">
        <is>
          <t>Cristhian4520@gmail.com</t>
        </is>
      </c>
      <c r="AG93" t="inlineStr">
        <is>
          <t>LIMA</t>
        </is>
      </c>
      <c r="AH93" t="inlineStr">
        <is>
          <t>JESUS MARIA</t>
        </is>
      </c>
      <c r="AI93" s="116" t="n">
        <v>45688</v>
      </c>
      <c r="AJ93" s="116" t="n">
        <v>45838</v>
      </c>
      <c r="AK93" t="inlineStr">
        <is>
          <t>SALDO FINANCIAR</t>
        </is>
      </c>
      <c r="AL93" t="n">
        <v>1</v>
      </c>
      <c r="AM93" t="n">
        <v>370950</v>
      </c>
      <c r="AN93" t="n">
        <v>0</v>
      </c>
      <c r="AO93" t="n">
        <v>0</v>
      </c>
      <c r="AP93" s="39" t="n">
        <v>370950</v>
      </c>
      <c r="AQ93" s="39" t="n">
        <v>370950</v>
      </c>
      <c r="AR93" s="39" t="n">
        <v>0</v>
      </c>
      <c r="AS93" t="n">
        <v>0</v>
      </c>
      <c r="AT93" t="inlineStr">
        <is>
          <t>Crédito Hipotecario</t>
        </is>
      </c>
      <c r="AU93" t="inlineStr">
        <is>
          <t>Scotiabank Perú</t>
        </is>
      </c>
      <c r="AV93" t="inlineStr">
        <is>
          <t>000-2768484</t>
        </is>
      </c>
      <c r="AW93" t="inlineStr">
        <is>
          <t>TRANSFERENCIA BANCARIA</t>
        </is>
      </c>
      <c r="AY93" t="inlineStr">
        <is>
          <t>EB01-76</t>
        </is>
      </c>
      <c r="AZ93" t="inlineStr">
        <is>
          <t>No</t>
        </is>
      </c>
      <c r="BB93" t="n">
        <v>4</v>
      </c>
      <c r="BC93" t="inlineStr">
        <is>
          <t>CANCELADO</t>
        </is>
      </c>
      <c r="BN93" t="inlineStr">
        <is>
          <t>Si</t>
        </is>
      </c>
      <c r="BO93" s="117" t="n">
        <v>45499.61319444444</v>
      </c>
      <c r="BP93" t="inlineStr">
        <is>
          <t>Kenny Salazar S</t>
        </is>
      </c>
      <c r="BR93" t="n">
        <v>34</v>
      </c>
      <c r="BS93" t="inlineStr">
        <is>
          <t>07/07/2026 08:58</t>
        </is>
      </c>
      <c r="BT93" t="n">
        <v>0</v>
      </c>
      <c r="BX93" t="inlineStr">
        <is>
          <t>Cobranzas_2025.csv</t>
        </is>
      </c>
      <c r="BY93" t="n">
        <v>2025</v>
      </c>
      <c r="BZ93" t="inlineStr">
        <is>
          <t>01/01/2024</t>
        </is>
      </c>
      <c r="CA93" t="inlineStr">
        <is>
          <t>30/09/2031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902</t>
        </is>
      </c>
      <c r="G94" s="39" t="n">
        <v>433500</v>
      </c>
      <c r="H94" s="39" t="n">
        <v>433500</v>
      </c>
      <c r="I94" t="inlineStr">
        <is>
          <t>Edificio</t>
        </is>
      </c>
      <c r="J94" t="inlineStr">
        <is>
          <t>A</t>
        </is>
      </c>
      <c r="K94" t="inlineStr">
        <is>
          <t>Estacionamiento</t>
        </is>
      </c>
      <c r="L94" t="inlineStr">
        <is>
          <t>E 43</t>
        </is>
      </c>
      <c r="M94" s="39" t="n">
        <v>50500</v>
      </c>
      <c r="N94" s="39" t="n">
        <v>50500</v>
      </c>
      <c r="S94" s="39" t="n"/>
      <c r="T94" s="39" t="n"/>
      <c r="Y94" s="39" t="n"/>
      <c r="Z94" s="39" t="n"/>
      <c r="AA94" t="inlineStr">
        <is>
          <t>Daniel Alejandro Aguayo Vera</t>
        </is>
      </c>
      <c r="AB94" t="inlineStr">
        <is>
          <t>76121899</t>
        </is>
      </c>
      <c r="AC94" t="inlineStr">
        <is>
          <t>Calle los Rosales 743 Lima- Chaclacayo.</t>
        </is>
      </c>
      <c r="AD94" t="n">
        <v>943151339</v>
      </c>
      <c r="AE94" t="inlineStr">
        <is>
          <t>943151339</t>
        </is>
      </c>
      <c r="AF94" t="inlineStr">
        <is>
          <t>daniel_aguayo25@hotmail.com</t>
        </is>
      </c>
      <c r="AG94" t="inlineStr">
        <is>
          <t>LIMA</t>
        </is>
      </c>
      <c r="AH94" t="inlineStr">
        <is>
          <t>SAN ISIDRO</t>
        </is>
      </c>
      <c r="AI94" s="116" t="n">
        <v>45985</v>
      </c>
      <c r="AJ94" s="116" t="n">
        <v>45985</v>
      </c>
      <c r="AK94" t="inlineStr">
        <is>
          <t>SEPARACION</t>
        </is>
      </c>
      <c r="AL94" t="n">
        <v>1</v>
      </c>
      <c r="AM94" t="n">
        <v>3000</v>
      </c>
      <c r="AN94" t="n">
        <v>0</v>
      </c>
      <c r="AO94" t="n">
        <v>0</v>
      </c>
      <c r="AP94" s="39" t="n">
        <v>3000</v>
      </c>
      <c r="AQ94" s="39" t="n">
        <v>3000</v>
      </c>
      <c r="AR94" s="39" t="n">
        <v>0</v>
      </c>
      <c r="AS94" t="n">
        <v>0</v>
      </c>
      <c r="AT94" t="inlineStr">
        <is>
          <t>Crédito Hipotecario</t>
        </is>
      </c>
      <c r="AU94" t="inlineStr">
        <is>
          <t>Scotiabank Perú</t>
        </is>
      </c>
      <c r="AV94" t="inlineStr">
        <is>
          <t>000-2768484</t>
        </is>
      </c>
      <c r="AW94" t="inlineStr">
        <is>
          <t>TRANSFERENCIA BANCARIA</t>
        </is>
      </c>
      <c r="AY94" t="inlineStr">
        <is>
          <t>05149943</t>
        </is>
      </c>
      <c r="AZ94" t="inlineStr">
        <is>
          <t>No</t>
        </is>
      </c>
      <c r="BB94" t="n">
        <v>4</v>
      </c>
      <c r="BC94" t="inlineStr">
        <is>
          <t>CANCELADO</t>
        </is>
      </c>
      <c r="BN94" t="inlineStr">
        <is>
          <t>Si</t>
        </is>
      </c>
      <c r="BO94" s="117" t="n">
        <v>46008.74444444444</v>
      </c>
      <c r="BP94" t="inlineStr">
        <is>
          <t>Kenny Salazar S</t>
        </is>
      </c>
      <c r="BR94" t="n">
        <v>41</v>
      </c>
      <c r="BS94" t="inlineStr">
        <is>
          <t>03/06/2026 09:48</t>
        </is>
      </c>
      <c r="BT94" t="n">
        <v>0</v>
      </c>
      <c r="BX94" t="inlineStr">
        <is>
          <t>Cobranzas_2025.csv</t>
        </is>
      </c>
      <c r="BY94" t="n">
        <v>2025</v>
      </c>
      <c r="BZ94" t="inlineStr">
        <is>
          <t>01/01/2024</t>
        </is>
      </c>
      <c r="CA94" t="inlineStr">
        <is>
          <t>30/09/2031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902</t>
        </is>
      </c>
      <c r="G95" s="39" t="n">
        <v>433500</v>
      </c>
      <c r="H95" s="39" t="n">
        <v>433500</v>
      </c>
      <c r="I95" t="inlineStr">
        <is>
          <t>Edificio</t>
        </is>
      </c>
      <c r="J95" t="inlineStr">
        <is>
          <t>A</t>
        </is>
      </c>
      <c r="K95" t="inlineStr">
        <is>
          <t>Estacionamiento</t>
        </is>
      </c>
      <c r="L95" t="inlineStr">
        <is>
          <t>E 43</t>
        </is>
      </c>
      <c r="M95" s="39" t="n">
        <v>50500</v>
      </c>
      <c r="N95" s="39" t="n">
        <v>50500</v>
      </c>
      <c r="S95" s="39" t="n"/>
      <c r="T95" s="39" t="n"/>
      <c r="Y95" s="39" t="n"/>
      <c r="Z95" s="39" t="n"/>
      <c r="AA95" t="inlineStr">
        <is>
          <t>Daniel Alejandro Aguayo Vera</t>
        </is>
      </c>
      <c r="AB95" t="inlineStr">
        <is>
          <t>76121899</t>
        </is>
      </c>
      <c r="AC95" t="inlineStr">
        <is>
          <t>Calle los Rosales 743 Lima- Chaclacayo.</t>
        </is>
      </c>
      <c r="AD95" t="n">
        <v>943151339</v>
      </c>
      <c r="AE95" t="inlineStr">
        <is>
          <t>943151339</t>
        </is>
      </c>
      <c r="AF95" t="inlineStr">
        <is>
          <t>daniel_aguayo25@hotmail.com</t>
        </is>
      </c>
      <c r="AG95" t="inlineStr">
        <is>
          <t>LIMA</t>
        </is>
      </c>
      <c r="AH95" t="inlineStr">
        <is>
          <t>SAN ISIDRO</t>
        </is>
      </c>
      <c r="AI95" s="116" t="n">
        <v>46008</v>
      </c>
      <c r="AJ95" s="116" t="n">
        <v>46008</v>
      </c>
      <c r="AK95" t="inlineStr">
        <is>
          <t>CUOTA INICIAL</t>
        </is>
      </c>
      <c r="AL95" t="n">
        <v>1</v>
      </c>
      <c r="AM95" t="n">
        <v>45400</v>
      </c>
      <c r="AN95" t="n">
        <v>0</v>
      </c>
      <c r="AO95" t="n">
        <v>0</v>
      </c>
      <c r="AP95" s="39" t="n">
        <v>45400</v>
      </c>
      <c r="AQ95" s="39" t="n">
        <v>45400</v>
      </c>
      <c r="AR95" s="39" t="n">
        <v>0</v>
      </c>
      <c r="AS95" t="n">
        <v>0</v>
      </c>
      <c r="AT95" t="inlineStr">
        <is>
          <t>Crédito Hipotecario</t>
        </is>
      </c>
      <c r="AU95" t="inlineStr">
        <is>
          <t>Scotiabank Perú</t>
        </is>
      </c>
      <c r="AV95" t="inlineStr">
        <is>
          <t>00917000000276848424</t>
        </is>
      </c>
      <c r="AW95" t="inlineStr">
        <is>
          <t>TRANSFERENCIA BANCARIA</t>
        </is>
      </c>
      <c r="AX95" t="inlineStr">
        <is>
          <t>76121899</t>
        </is>
      </c>
      <c r="AY95" t="inlineStr">
        <is>
          <t>0797612</t>
        </is>
      </c>
      <c r="AZ95" t="inlineStr">
        <is>
          <t>No</t>
        </is>
      </c>
      <c r="BB95" t="n">
        <v>4</v>
      </c>
      <c r="BC95" t="inlineStr">
        <is>
          <t>CANCELADO</t>
        </is>
      </c>
      <c r="BN95" t="inlineStr">
        <is>
          <t>Si</t>
        </is>
      </c>
      <c r="BO95" s="117" t="n">
        <v>46008.74444444444</v>
      </c>
      <c r="BP95" t="inlineStr">
        <is>
          <t>Kenny Salazar S</t>
        </is>
      </c>
      <c r="BR95" t="n">
        <v>41</v>
      </c>
      <c r="BS95" t="inlineStr">
        <is>
          <t>05/06/2026 13:42</t>
        </is>
      </c>
      <c r="BT95" t="n">
        <v>0</v>
      </c>
      <c r="BX95" t="inlineStr">
        <is>
          <t>Cobranzas_2025.csv</t>
        </is>
      </c>
      <c r="BY95" t="n">
        <v>2025</v>
      </c>
      <c r="BZ95" t="inlineStr">
        <is>
          <t>01/01/2024</t>
        </is>
      </c>
      <c r="CA95" t="inlineStr">
        <is>
          <t>30/09/2031</t>
        </is>
      </c>
    </row>
    <row r="96">
      <c r="A96" t="inlineStr">
        <is>
          <t>RESIDENCIAL BEYOND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302</t>
        </is>
      </c>
      <c r="G96" s="39" t="n">
        <v>430000</v>
      </c>
      <c r="H96" s="39" t="n">
        <v>381000</v>
      </c>
      <c r="M96" s="39" t="n"/>
      <c r="N96" s="39" t="n"/>
      <c r="S96" s="39" t="n"/>
      <c r="T96" s="39" t="n"/>
      <c r="Y96" s="39" t="n"/>
      <c r="Z96" s="39" t="n"/>
      <c r="AA96" t="inlineStr">
        <is>
          <t>Danixa Thalia Manosalva Ameri</t>
        </is>
      </c>
      <c r="AB96" t="inlineStr">
        <is>
          <t>48569476</t>
        </is>
      </c>
      <c r="AC96" t="inlineStr">
        <is>
          <t>Jr. Huáscar 1825 dpto.101</t>
        </is>
      </c>
      <c r="AD96" t="n">
        <v>0</v>
      </c>
      <c r="AE96" t="inlineStr">
        <is>
          <t>992382005</t>
        </is>
      </c>
      <c r="AF96" t="inlineStr">
        <is>
          <t>danixamanosalva94@gmail.com</t>
        </is>
      </c>
      <c r="AG96" t="inlineStr">
        <is>
          <t>LIMA</t>
        </is>
      </c>
      <c r="AH96" t="inlineStr">
        <is>
          <t>JESUS MARIA</t>
        </is>
      </c>
      <c r="AI96" s="116" t="n">
        <v>45932</v>
      </c>
      <c r="AJ96" s="116" t="n">
        <v>45932</v>
      </c>
      <c r="AK96" t="inlineStr">
        <is>
          <t>SEPARACION</t>
        </is>
      </c>
      <c r="AL96" t="n">
        <v>1</v>
      </c>
      <c r="AM96" t="n">
        <v>3000</v>
      </c>
      <c r="AN96" t="n">
        <v>0</v>
      </c>
      <c r="AO96" t="n">
        <v>0</v>
      </c>
      <c r="AP96" s="39" t="n">
        <v>3000</v>
      </c>
      <c r="AQ96" s="39" t="n">
        <v>3000</v>
      </c>
      <c r="AR96" s="39" t="n">
        <v>0</v>
      </c>
      <c r="AS96" t="n">
        <v>0</v>
      </c>
      <c r="AT96" t="inlineStr">
        <is>
          <t>Ahorro</t>
        </is>
      </c>
      <c r="AU96" t="inlineStr">
        <is>
          <t>Banco de Credito del Perú</t>
        </is>
      </c>
      <c r="AV96" t="inlineStr">
        <is>
          <t>194-7325779-0-65</t>
        </is>
      </c>
      <c r="AW96" t="inlineStr">
        <is>
          <t>TRANSFERENCIA BANCARIA</t>
        </is>
      </c>
      <c r="AY96" t="inlineStr">
        <is>
          <t>04998185</t>
        </is>
      </c>
      <c r="AZ96" t="inlineStr">
        <is>
          <t>No</t>
        </is>
      </c>
      <c r="BB96" t="n">
        <v>4</v>
      </c>
      <c r="BC96" t="inlineStr">
        <is>
          <t>CANCELADO</t>
        </is>
      </c>
      <c r="BN96" t="inlineStr">
        <is>
          <t>Si</t>
        </is>
      </c>
      <c r="BO96" s="117" t="n">
        <v>45940.41875</v>
      </c>
      <c r="BP96" t="inlineStr">
        <is>
          <t>Magaly Guevara Perez</t>
        </is>
      </c>
      <c r="BR96" t="n">
        <v>6</v>
      </c>
      <c r="BS96" t="inlineStr">
        <is>
          <t>01/05/2026 11:35</t>
        </is>
      </c>
      <c r="BT96" t="n">
        <v>0</v>
      </c>
      <c r="BX96" t="inlineStr">
        <is>
          <t>Cobranzas_2025.csv</t>
        </is>
      </c>
      <c r="BY96" t="n">
        <v>2025</v>
      </c>
      <c r="BZ96" t="inlineStr">
        <is>
          <t>01/01/2024</t>
        </is>
      </c>
      <c r="CA96" t="inlineStr">
        <is>
          <t>30/09/2031</t>
        </is>
      </c>
    </row>
    <row r="97">
      <c r="A97" t="inlineStr">
        <is>
          <t>RESIDENCIAL BEYOND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39" t="n">
        <v>430000</v>
      </c>
      <c r="H97" s="39" t="n">
        <v>381000</v>
      </c>
      <c r="M97" s="39" t="n"/>
      <c r="N97" s="39" t="n"/>
      <c r="S97" s="39" t="n"/>
      <c r="T97" s="39" t="n"/>
      <c r="Y97" s="39" t="n"/>
      <c r="Z97" s="39" t="n"/>
      <c r="AA97" t="inlineStr">
        <is>
          <t>Danixa Thalia Manosalva Ameri</t>
        </is>
      </c>
      <c r="AB97" t="inlineStr">
        <is>
          <t>48569476</t>
        </is>
      </c>
      <c r="AC97" t="inlineStr">
        <is>
          <t>Jr. Huáscar 1825 dpto.101</t>
        </is>
      </c>
      <c r="AD97" t="n">
        <v>0</v>
      </c>
      <c r="AE97" t="inlineStr">
        <is>
          <t>992382005</t>
        </is>
      </c>
      <c r="AF97" t="inlineStr">
        <is>
          <t>danixamanosalva94@gmail.com</t>
        </is>
      </c>
      <c r="AG97" t="inlineStr">
        <is>
          <t>LIMA</t>
        </is>
      </c>
      <c r="AH97" t="inlineStr">
        <is>
          <t>JESUS MARIA</t>
        </is>
      </c>
      <c r="AI97" s="116" t="n">
        <v>45940</v>
      </c>
      <c r="AJ97" s="116" t="n">
        <v>45940</v>
      </c>
      <c r="AK97" t="inlineStr">
        <is>
          <t>CUOTA INICIAL</t>
        </is>
      </c>
      <c r="AL97" t="n">
        <v>1</v>
      </c>
      <c r="AM97" t="n">
        <v>17000</v>
      </c>
      <c r="AN97" t="n">
        <v>0</v>
      </c>
      <c r="AO97" t="n">
        <v>0</v>
      </c>
      <c r="AP97" s="39" t="n">
        <v>17000</v>
      </c>
      <c r="AQ97" s="39" t="n">
        <v>17000</v>
      </c>
      <c r="AR97" s="39" t="n">
        <v>0</v>
      </c>
      <c r="AS97" t="n">
        <v>0</v>
      </c>
      <c r="AT97" t="inlineStr">
        <is>
          <t>Ahorro</t>
        </is>
      </c>
      <c r="AU97" t="inlineStr">
        <is>
          <t>Banco de Credito del Perú</t>
        </is>
      </c>
      <c r="AV97" t="inlineStr">
        <is>
          <t>194-7325779-0-65</t>
        </is>
      </c>
      <c r="AW97" t="inlineStr">
        <is>
          <t>TRANSFERENCIA BANCARIA</t>
        </is>
      </c>
      <c r="AY97" t="inlineStr">
        <is>
          <t>04077899</t>
        </is>
      </c>
      <c r="AZ97" t="inlineStr">
        <is>
          <t>No</t>
        </is>
      </c>
      <c r="BB97" t="n">
        <v>4</v>
      </c>
      <c r="BC97" t="inlineStr">
        <is>
          <t>CANCELADO</t>
        </is>
      </c>
      <c r="BN97" t="inlineStr">
        <is>
          <t>Si</t>
        </is>
      </c>
      <c r="BO97" s="117" t="n">
        <v>45940.41875</v>
      </c>
      <c r="BP97" t="inlineStr">
        <is>
          <t>Magaly Guevara Perez</t>
        </is>
      </c>
      <c r="BR97" t="n">
        <v>6</v>
      </c>
      <c r="BS97" t="inlineStr">
        <is>
          <t>12/08/2026 17:43</t>
        </is>
      </c>
      <c r="BT97" t="n">
        <v>0</v>
      </c>
      <c r="BX97" t="inlineStr">
        <is>
          <t>Cobranzas_2025.csv</t>
        </is>
      </c>
      <c r="BY97" t="n">
        <v>2025</v>
      </c>
      <c r="BZ97" t="inlineStr">
        <is>
          <t>01/01/2024</t>
        </is>
      </c>
      <c r="CA97" t="inlineStr">
        <is>
          <t>30/09/2031</t>
        </is>
      </c>
    </row>
    <row r="98">
      <c r="A98" t="inlineStr">
        <is>
          <t>RESIDENCIAL BEYOND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302</t>
        </is>
      </c>
      <c r="G98" s="39" t="n">
        <v>430000</v>
      </c>
      <c r="H98" s="39" t="n">
        <v>381000</v>
      </c>
      <c r="M98" s="39" t="n"/>
      <c r="N98" s="39" t="n"/>
      <c r="S98" s="39" t="n"/>
      <c r="T98" s="39" t="n"/>
      <c r="Y98" s="39" t="n"/>
      <c r="Z98" s="39" t="n"/>
      <c r="AA98" t="inlineStr">
        <is>
          <t>Danixa Thalia Manosalva Ameri</t>
        </is>
      </c>
      <c r="AB98" t="inlineStr">
        <is>
          <t>48569476</t>
        </is>
      </c>
      <c r="AC98" t="inlineStr">
        <is>
          <t>Jr. Huáscar 1825 dpto.101</t>
        </is>
      </c>
      <c r="AD98" t="n">
        <v>0</v>
      </c>
      <c r="AE98" t="inlineStr">
        <is>
          <t>992382005</t>
        </is>
      </c>
      <c r="AF98" t="inlineStr">
        <is>
          <t>danixamanosalva94@gmail.com</t>
        </is>
      </c>
      <c r="AG98" t="inlineStr">
        <is>
          <t>LIMA</t>
        </is>
      </c>
      <c r="AH98" t="inlineStr">
        <is>
          <t>JESUS MARIA</t>
        </is>
      </c>
      <c r="AI98" s="116" t="n">
        <v>45965</v>
      </c>
      <c r="AJ98" s="116" t="n">
        <v>45965</v>
      </c>
      <c r="AK98" t="inlineStr">
        <is>
          <t>CUOTA INICIAL</t>
        </is>
      </c>
      <c r="AL98" t="n">
        <v>2</v>
      </c>
      <c r="AM98" t="n">
        <v>44000</v>
      </c>
      <c r="AN98" t="n">
        <v>0</v>
      </c>
      <c r="AO98" t="n">
        <v>0</v>
      </c>
      <c r="AP98" s="39" t="n">
        <v>44000</v>
      </c>
      <c r="AQ98" s="39" t="n">
        <v>22000</v>
      </c>
      <c r="AR98" s="39" t="n">
        <v>0</v>
      </c>
      <c r="AS98" t="n">
        <v>0</v>
      </c>
      <c r="AT98" t="inlineStr">
        <is>
          <t>Ahorro</t>
        </is>
      </c>
      <c r="AU98" t="inlineStr">
        <is>
          <t>Banco de Credito del Perú</t>
        </is>
      </c>
      <c r="AV98" t="inlineStr">
        <is>
          <t>194-7325779-0-65</t>
        </is>
      </c>
      <c r="AW98" t="inlineStr">
        <is>
          <t>TRANSFERENCIA BANCARIA</t>
        </is>
      </c>
      <c r="AY98" t="inlineStr">
        <is>
          <t>04571213</t>
        </is>
      </c>
      <c r="AZ98" t="inlineStr">
        <is>
          <t>No</t>
        </is>
      </c>
      <c r="BB98" t="n">
        <v>4</v>
      </c>
      <c r="BC98" t="inlineStr">
        <is>
          <t>CANCELADO</t>
        </is>
      </c>
      <c r="BN98" t="inlineStr">
        <is>
          <t>Si</t>
        </is>
      </c>
      <c r="BO98" s="117" t="n">
        <v>45940.41875</v>
      </c>
      <c r="BP98" t="inlineStr">
        <is>
          <t>Magaly Guevara Perez</t>
        </is>
      </c>
      <c r="BR98" t="n">
        <v>6</v>
      </c>
      <c r="BS98" t="inlineStr">
        <is>
          <t>12/08/2026 17:46</t>
        </is>
      </c>
      <c r="BT98" t="n">
        <v>0</v>
      </c>
      <c r="BX98" t="inlineStr">
        <is>
          <t>Cobranzas_2025.csv</t>
        </is>
      </c>
      <c r="BY98" t="n">
        <v>2025</v>
      </c>
      <c r="BZ98" t="inlineStr">
        <is>
          <t>01/01/2024</t>
        </is>
      </c>
      <c r="CA98" t="inlineStr">
        <is>
          <t>30/09/2031</t>
        </is>
      </c>
    </row>
    <row r="99">
      <c r="A99" t="inlineStr">
        <is>
          <t>RESIDENCIAL BEYOND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302</t>
        </is>
      </c>
      <c r="G99" s="39" t="n">
        <v>430000</v>
      </c>
      <c r="H99" s="39" t="n">
        <v>381000</v>
      </c>
      <c r="M99" s="39" t="n"/>
      <c r="N99" s="39" t="n"/>
      <c r="S99" s="39" t="n"/>
      <c r="T99" s="39" t="n"/>
      <c r="Y99" s="39" t="n"/>
      <c r="Z99" s="39" t="n"/>
      <c r="AA99" t="inlineStr">
        <is>
          <t>Danixa Thalia Manosalva Ameri</t>
        </is>
      </c>
      <c r="AB99" t="inlineStr">
        <is>
          <t>48569476</t>
        </is>
      </c>
      <c r="AC99" t="inlineStr">
        <is>
          <t>Jr. Huáscar 1825 dpto.101</t>
        </is>
      </c>
      <c r="AD99" t="n">
        <v>0</v>
      </c>
      <c r="AE99" t="inlineStr">
        <is>
          <t>992382005</t>
        </is>
      </c>
      <c r="AF99" t="inlineStr">
        <is>
          <t>danixamanosalva94@gmail.com</t>
        </is>
      </c>
      <c r="AG99" t="inlineStr">
        <is>
          <t>LIMA</t>
        </is>
      </c>
      <c r="AH99" t="inlineStr">
        <is>
          <t>JESUS MARIA</t>
        </is>
      </c>
      <c r="AI99" s="116" t="n">
        <v>45965</v>
      </c>
      <c r="AJ99" s="116" t="n">
        <v>45965</v>
      </c>
      <c r="AK99" t="inlineStr">
        <is>
          <t>CUOTA INICIAL</t>
        </is>
      </c>
      <c r="AL99" t="n">
        <v>2</v>
      </c>
      <c r="AM99" t="n">
        <v>0</v>
      </c>
      <c r="AN99" t="n">
        <v>0</v>
      </c>
      <c r="AO99" t="n">
        <v>0</v>
      </c>
      <c r="AP99" s="39" t="n">
        <v>0</v>
      </c>
      <c r="AQ99" s="39" t="n">
        <v>22000</v>
      </c>
      <c r="AR99" s="39" t="n">
        <v>0</v>
      </c>
      <c r="AS99" t="n">
        <v>0</v>
      </c>
      <c r="AT99" t="inlineStr">
        <is>
          <t>Ahorro</t>
        </is>
      </c>
      <c r="AU99" t="inlineStr">
        <is>
          <t>Banco de Credito del Perú</t>
        </is>
      </c>
      <c r="AV99" t="inlineStr">
        <is>
          <t>194-7325779-0-65</t>
        </is>
      </c>
      <c r="AW99" t="inlineStr">
        <is>
          <t>TRANSFERENCIA BANCARIA</t>
        </is>
      </c>
      <c r="AY99" t="inlineStr">
        <is>
          <t>04576779</t>
        </is>
      </c>
      <c r="AZ99" t="inlineStr">
        <is>
          <t>No</t>
        </is>
      </c>
      <c r="BB99" t="n">
        <v>4</v>
      </c>
      <c r="BC99" t="inlineStr">
        <is>
          <t>CANCELADO</t>
        </is>
      </c>
      <c r="BN99" t="inlineStr">
        <is>
          <t>Si</t>
        </is>
      </c>
      <c r="BO99" s="117" t="n">
        <v>45940.41875</v>
      </c>
      <c r="BP99" t="inlineStr">
        <is>
          <t>Magaly Guevara Perez</t>
        </is>
      </c>
      <c r="BR99" t="n">
        <v>6</v>
      </c>
      <c r="BS99" t="inlineStr">
        <is>
          <t>12/08/2026 17:46</t>
        </is>
      </c>
      <c r="BT99" t="n">
        <v>0</v>
      </c>
      <c r="BX99" t="inlineStr">
        <is>
          <t>Cobranzas_2025.csv</t>
        </is>
      </c>
      <c r="BY99" t="n">
        <v>2025</v>
      </c>
      <c r="BZ99" t="inlineStr">
        <is>
          <t>01/01/2024</t>
        </is>
      </c>
      <c r="CA99" t="inlineStr">
        <is>
          <t>30/09/2031</t>
        </is>
      </c>
    </row>
    <row r="100">
      <c r="A100" t="inlineStr">
        <is>
          <t>RESIDENCIAL PRADA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1001</t>
        </is>
      </c>
      <c r="G100" s="39" t="n">
        <v>615000</v>
      </c>
      <c r="H100" s="39" t="n">
        <v>615000</v>
      </c>
      <c r="M100" s="39" t="n"/>
      <c r="N100" s="39" t="n"/>
      <c r="S100" s="39" t="n"/>
      <c r="T100" s="39" t="n"/>
      <c r="Y100" s="39" t="n"/>
      <c r="Z100" s="39" t="n"/>
      <c r="AA100" t="inlineStr">
        <is>
          <t>Danny Romel Ore Guerreros</t>
        </is>
      </c>
      <c r="AB100" t="inlineStr">
        <is>
          <t>47474967</t>
        </is>
      </c>
      <c r="AC100" t="inlineStr">
        <is>
          <t>Psj. Ollantay 7 Barrio Vista Alegre</t>
        </is>
      </c>
      <c r="AD100" t="n">
        <v>966327809</v>
      </c>
      <c r="AE100" t="inlineStr">
        <is>
          <t>966327809</t>
        </is>
      </c>
      <c r="AF100" t="inlineStr">
        <is>
          <t>romelore67@gmail.com</t>
        </is>
      </c>
      <c r="AG100" t="inlineStr">
        <is>
          <t>HUAMANGA</t>
        </is>
      </c>
      <c r="AH100" t="inlineStr">
        <is>
          <t>CARMEN ALTO</t>
        </is>
      </c>
      <c r="AI100" s="116" t="n">
        <v>45867</v>
      </c>
      <c r="AJ100" s="116" t="n">
        <v>45867</v>
      </c>
      <c r="AK100" t="inlineStr">
        <is>
          <t>SEPARACION</t>
        </is>
      </c>
      <c r="AL100" t="n">
        <v>1</v>
      </c>
      <c r="AM100" t="n">
        <v>3000</v>
      </c>
      <c r="AN100" t="n">
        <v>0</v>
      </c>
      <c r="AO100" t="n">
        <v>0</v>
      </c>
      <c r="AP100" s="39" t="n">
        <v>3000</v>
      </c>
      <c r="AQ100" s="39" t="n">
        <v>3000</v>
      </c>
      <c r="AR100" s="39" t="n">
        <v>0</v>
      </c>
      <c r="AS100" t="n">
        <v>0</v>
      </c>
      <c r="AT100" t="inlineStr">
        <is>
          <t>Crédito Hipotecario</t>
        </is>
      </c>
      <c r="AU100" t="inlineStr">
        <is>
          <t>Scotiabank Perú</t>
        </is>
      </c>
      <c r="AV100" t="inlineStr">
        <is>
          <t>000-2768484</t>
        </is>
      </c>
      <c r="AW100" t="inlineStr">
        <is>
          <t>TRANSFERENCIA BANCARIA</t>
        </is>
      </c>
      <c r="AX100" t="inlineStr">
        <is>
          <t>47474967</t>
        </is>
      </c>
      <c r="AY100" t="inlineStr">
        <is>
          <t>01135502</t>
        </is>
      </c>
      <c r="AZ100" t="inlineStr">
        <is>
          <t>No</t>
        </is>
      </c>
      <c r="BA100" t="inlineStr">
        <is>
          <t>NO PRECISA</t>
        </is>
      </c>
      <c r="BB100" t="n">
        <v>4</v>
      </c>
      <c r="BC100" t="inlineStr">
        <is>
          <t>CANCELADO</t>
        </is>
      </c>
      <c r="BN100" t="inlineStr">
        <is>
          <t>Si</t>
        </is>
      </c>
      <c r="BO100" s="117" t="n">
        <v>45885.58680555555</v>
      </c>
      <c r="BP100" t="inlineStr">
        <is>
          <t>Kenny Salazar S</t>
        </is>
      </c>
      <c r="BR100" t="n">
        <v>47</v>
      </c>
      <c r="BS100" t="inlineStr">
        <is>
          <t>03/06/2026 15:03</t>
        </is>
      </c>
      <c r="BT100" t="n">
        <v>0</v>
      </c>
      <c r="BX100" t="inlineStr">
        <is>
          <t>Cobranzas_2025.csv</t>
        </is>
      </c>
      <c r="BY100" t="n">
        <v>2025</v>
      </c>
      <c r="BZ100" t="inlineStr">
        <is>
          <t>01/01/2024</t>
        </is>
      </c>
      <c r="CA100" t="inlineStr">
        <is>
          <t>30/09/2031</t>
        </is>
      </c>
    </row>
    <row r="101">
      <c r="A101" t="inlineStr">
        <is>
          <t>RESIDENCIAL PRADA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1001</t>
        </is>
      </c>
      <c r="G101" s="39" t="n">
        <v>615000</v>
      </c>
      <c r="H101" s="39" t="n">
        <v>615000</v>
      </c>
      <c r="M101" s="39" t="n"/>
      <c r="N101" s="39" t="n"/>
      <c r="S101" s="39" t="n"/>
      <c r="T101" s="39" t="n"/>
      <c r="Y101" s="39" t="n"/>
      <c r="Z101" s="39" t="n"/>
      <c r="AA101" t="inlineStr">
        <is>
          <t>Danny Romel Ore Guerreros</t>
        </is>
      </c>
      <c r="AB101" t="inlineStr">
        <is>
          <t>47474967</t>
        </is>
      </c>
      <c r="AC101" t="inlineStr">
        <is>
          <t>Psj. Ollantay 7 Barrio Vista Alegre</t>
        </is>
      </c>
      <c r="AD101" t="n">
        <v>966327809</v>
      </c>
      <c r="AE101" t="inlineStr">
        <is>
          <t>966327809</t>
        </is>
      </c>
      <c r="AF101" t="inlineStr">
        <is>
          <t>romelore67@gmail.com</t>
        </is>
      </c>
      <c r="AG101" t="inlineStr">
        <is>
          <t>HUAMANGA</t>
        </is>
      </c>
      <c r="AH101" t="inlineStr">
        <is>
          <t>CARMEN ALTO</t>
        </is>
      </c>
      <c r="AI101" s="116" t="n">
        <v>45885</v>
      </c>
      <c r="AJ101" s="116" t="n">
        <v>45885</v>
      </c>
      <c r="AK101" t="inlineStr">
        <is>
          <t>CUOTA INICIAL</t>
        </is>
      </c>
      <c r="AL101" t="n">
        <v>1</v>
      </c>
      <c r="AM101" t="n">
        <v>10000</v>
      </c>
      <c r="AN101" t="n">
        <v>0</v>
      </c>
      <c r="AO101" t="n">
        <v>0</v>
      </c>
      <c r="AP101" s="39" t="n">
        <v>10000</v>
      </c>
      <c r="AQ101" s="39" t="n">
        <v>10000</v>
      </c>
      <c r="AR101" s="39" t="n">
        <v>0</v>
      </c>
      <c r="AS101" t="n">
        <v>0</v>
      </c>
      <c r="AT101" t="inlineStr">
        <is>
          <t>Crédito Hipotecario</t>
        </is>
      </c>
      <c r="AU101" t="inlineStr">
        <is>
          <t>Scotiabank Perú</t>
        </is>
      </c>
      <c r="AV101" t="inlineStr">
        <is>
          <t>000-2768484</t>
        </is>
      </c>
      <c r="AW101" t="inlineStr">
        <is>
          <t>TRANSFERENCIA BANCARIA</t>
        </is>
      </c>
      <c r="AX101" t="inlineStr">
        <is>
          <t>47474967</t>
        </is>
      </c>
      <c r="AY101" t="inlineStr">
        <is>
          <t>202508169074890301303</t>
        </is>
      </c>
      <c r="AZ101" t="inlineStr">
        <is>
          <t>No</t>
        </is>
      </c>
      <c r="BA101" t="inlineStr">
        <is>
          <t>NO PRECISA</t>
        </is>
      </c>
      <c r="BB101" t="n">
        <v>4</v>
      </c>
      <c r="BC101" t="inlineStr">
        <is>
          <t>CANCELADO</t>
        </is>
      </c>
      <c r="BN101" t="inlineStr">
        <is>
          <t>Si</t>
        </is>
      </c>
      <c r="BO101" s="117" t="n">
        <v>45885.58680555555</v>
      </c>
      <c r="BP101" t="inlineStr">
        <is>
          <t>Kenny Salazar S</t>
        </is>
      </c>
      <c r="BR101" t="n">
        <v>47</v>
      </c>
      <c r="BS101" t="inlineStr">
        <is>
          <t>05/06/2026 14:08</t>
        </is>
      </c>
      <c r="BT101" t="n">
        <v>0</v>
      </c>
      <c r="BX101" t="inlineStr">
        <is>
          <t>Cobranzas_2025.csv</t>
        </is>
      </c>
      <c r="BY101" t="n">
        <v>2025</v>
      </c>
      <c r="BZ101" t="inlineStr">
        <is>
          <t>01/01/2024</t>
        </is>
      </c>
      <c r="CA101" t="inlineStr">
        <is>
          <t>30/09/2031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505</t>
        </is>
      </c>
      <c r="G102" s="39" t="n">
        <v>532100</v>
      </c>
      <c r="H102" s="39" t="n">
        <v>500000</v>
      </c>
      <c r="I102" t="inlineStr">
        <is>
          <t>Edificio</t>
        </is>
      </c>
      <c r="J102" t="inlineStr">
        <is>
          <t>A</t>
        </is>
      </c>
      <c r="K102" t="inlineStr">
        <is>
          <t>Estacionamiento</t>
        </is>
      </c>
      <c r="L102" t="inlineStr">
        <is>
          <t>E 05</t>
        </is>
      </c>
      <c r="M102" s="39" t="n">
        <v>45600</v>
      </c>
      <c r="N102" s="39" t="n">
        <v>45600</v>
      </c>
      <c r="O102" t="inlineStr">
        <is>
          <t>Edificio</t>
        </is>
      </c>
      <c r="P102" t="inlineStr">
        <is>
          <t>A</t>
        </is>
      </c>
      <c r="Q102" t="inlineStr">
        <is>
          <t>Depósito</t>
        </is>
      </c>
      <c r="R102" t="inlineStr">
        <is>
          <t>D 05</t>
        </is>
      </c>
      <c r="S102" s="39" t="n">
        <v>15900</v>
      </c>
      <c r="T102" s="39" t="n">
        <v>15900</v>
      </c>
      <c r="Y102" s="39" t="n"/>
      <c r="Z102" s="39" t="n"/>
      <c r="AA102" t="inlineStr">
        <is>
          <t>Dante Enrique Segura Florian</t>
        </is>
      </c>
      <c r="AB102" t="inlineStr">
        <is>
          <t xml:space="preserve">45587286		</t>
        </is>
      </c>
      <c r="AC102" t="inlineStr">
        <is>
          <t xml:space="preserve">1845 San Andres Dr Pitsburg CA 94565 - San Francisco </t>
        </is>
      </c>
      <c r="AD102" t="n">
        <v>0</v>
      </c>
      <c r="AE102" t="inlineStr">
        <is>
          <t>+15103330517</t>
        </is>
      </c>
      <c r="AF102" t="inlineStr">
        <is>
          <t xml:space="preserve">d.segura@uaa.edu		</t>
        </is>
      </c>
      <c r="AI102" s="116" t="n">
        <v>45743</v>
      </c>
      <c r="AJ102" s="116" t="n">
        <v>45743</v>
      </c>
      <c r="AK102" t="inlineStr">
        <is>
          <t>CUOTA INICIAL</t>
        </is>
      </c>
      <c r="AL102" t="n">
        <v>1</v>
      </c>
      <c r="AM102" t="n">
        <v>217040</v>
      </c>
      <c r="AN102" t="n">
        <v>0</v>
      </c>
      <c r="AO102" t="n">
        <v>0</v>
      </c>
      <c r="AP102" s="39" t="n">
        <v>217040</v>
      </c>
      <c r="AQ102" s="39" t="n">
        <v>215537.5</v>
      </c>
      <c r="AR102" s="39" t="n">
        <v>1502.5</v>
      </c>
      <c r="AS102" t="n">
        <v>0</v>
      </c>
      <c r="AT102" t="inlineStr">
        <is>
          <t>Crédito Directo</t>
        </is>
      </c>
      <c r="AU102" t="inlineStr">
        <is>
          <t>Banco de Credito del Perú</t>
        </is>
      </c>
      <c r="AV102" t="inlineStr">
        <is>
          <t>194-7325779-0-65</t>
        </is>
      </c>
      <c r="AW102" t="inlineStr">
        <is>
          <t>TRANSFERENCIA BANCARIA</t>
        </is>
      </c>
      <c r="AY102" t="inlineStr">
        <is>
          <t>0650070207</t>
        </is>
      </c>
      <c r="AZ102" t="inlineStr">
        <is>
          <t>No</t>
        </is>
      </c>
      <c r="BB102" t="n">
        <v>3.64</v>
      </c>
      <c r="BC102" t="inlineStr">
        <is>
          <t>VENCIDO - PARC. CANCELADO</t>
        </is>
      </c>
      <c r="BN102" t="inlineStr">
        <is>
          <t>Si</t>
        </is>
      </c>
      <c r="BO102" s="117" t="n">
        <v>45386.40347222222</v>
      </c>
      <c r="BP102" t="inlineStr">
        <is>
          <t>Carla Michue M</t>
        </is>
      </c>
      <c r="BR102" t="n">
        <v>35</v>
      </c>
      <c r="BS102" t="inlineStr">
        <is>
          <t>24/08/2026 14:30</t>
        </is>
      </c>
      <c r="BT102" t="n">
        <v>0</v>
      </c>
      <c r="BX102" t="inlineStr">
        <is>
          <t>Cobranzas_2025.csv</t>
        </is>
      </c>
      <c r="BY102" t="n">
        <v>2025</v>
      </c>
      <c r="BZ102" t="inlineStr">
        <is>
          <t>01/01/2024</t>
        </is>
      </c>
      <c r="CA102" t="inlineStr">
        <is>
          <t>30/09/2031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505</t>
        </is>
      </c>
      <c r="G103" s="39" t="n">
        <v>532100</v>
      </c>
      <c r="H103" s="39" t="n">
        <v>500000</v>
      </c>
      <c r="I103" t="inlineStr">
        <is>
          <t>Edificio</t>
        </is>
      </c>
      <c r="J103" t="inlineStr">
        <is>
          <t>A</t>
        </is>
      </c>
      <c r="K103" t="inlineStr">
        <is>
          <t>Estacionamiento</t>
        </is>
      </c>
      <c r="L103" t="inlineStr">
        <is>
          <t>E 05</t>
        </is>
      </c>
      <c r="M103" s="39" t="n">
        <v>45600</v>
      </c>
      <c r="N103" s="39" t="n">
        <v>45600</v>
      </c>
      <c r="O103" t="inlineStr">
        <is>
          <t>Edificio</t>
        </is>
      </c>
      <c r="P103" t="inlineStr">
        <is>
          <t>A</t>
        </is>
      </c>
      <c r="Q103" t="inlineStr">
        <is>
          <t>Depósito</t>
        </is>
      </c>
      <c r="R103" t="inlineStr">
        <is>
          <t>D 05</t>
        </is>
      </c>
      <c r="S103" s="39" t="n">
        <v>15900</v>
      </c>
      <c r="T103" s="39" t="n">
        <v>15900</v>
      </c>
      <c r="Y103" s="39" t="n"/>
      <c r="Z103" s="39" t="n"/>
      <c r="AA103" t="inlineStr">
        <is>
          <t>Dante Enrique Segura Florian</t>
        </is>
      </c>
      <c r="AB103" t="inlineStr">
        <is>
          <t xml:space="preserve">45587286		</t>
        </is>
      </c>
      <c r="AC103" t="inlineStr">
        <is>
          <t xml:space="preserve">1845 San Andres Dr Pitsburg CA 94565 - San Francisco </t>
        </is>
      </c>
      <c r="AD103" t="n">
        <v>0</v>
      </c>
      <c r="AE103" t="inlineStr">
        <is>
          <t>+15103330517</t>
        </is>
      </c>
      <c r="AF103" t="inlineStr">
        <is>
          <t xml:space="preserve">d.segura@uaa.edu		</t>
        </is>
      </c>
      <c r="AI103" s="116" t="n">
        <v>45772</v>
      </c>
      <c r="AJ103" s="116" t="n">
        <v>45772</v>
      </c>
      <c r="AK103" t="inlineStr">
        <is>
          <t>SALDO FINANCIAR</t>
        </is>
      </c>
      <c r="AL103" t="n">
        <v>1</v>
      </c>
      <c r="AM103" t="n">
        <v>21341.25</v>
      </c>
      <c r="AN103" t="n">
        <v>0</v>
      </c>
      <c r="AO103" t="n">
        <v>0</v>
      </c>
      <c r="AP103" s="39" t="n">
        <v>21341.25</v>
      </c>
      <c r="AQ103" s="39" t="n">
        <v>21152.83</v>
      </c>
      <c r="AR103" s="39" t="n">
        <v>188.42</v>
      </c>
      <c r="AS103" t="n">
        <v>0</v>
      </c>
      <c r="AT103" t="inlineStr">
        <is>
          <t>Crédito Directo</t>
        </is>
      </c>
      <c r="AU103" t="inlineStr">
        <is>
          <t>Banco de Credito del Perú</t>
        </is>
      </c>
      <c r="AV103" t="inlineStr">
        <is>
          <t>194-7325779-0-65</t>
        </is>
      </c>
      <c r="AW103" t="inlineStr">
        <is>
          <t>TRANSFERENCIA BANCARIA</t>
        </is>
      </c>
      <c r="AY103" t="inlineStr">
        <is>
          <t>0989600306</t>
        </is>
      </c>
      <c r="AZ103" t="inlineStr">
        <is>
          <t>No</t>
        </is>
      </c>
      <c r="BB103" t="n">
        <v>3.64</v>
      </c>
      <c r="BC103" t="inlineStr">
        <is>
          <t>VENCIDO - PARC. CANCELADO</t>
        </is>
      </c>
      <c r="BN103" t="inlineStr">
        <is>
          <t>Si</t>
        </is>
      </c>
      <c r="BO103" s="117" t="n">
        <v>45386.40347222222</v>
      </c>
      <c r="BP103" t="inlineStr">
        <is>
          <t>Carla Michue M</t>
        </is>
      </c>
      <c r="BR103" t="n">
        <v>35</v>
      </c>
      <c r="BS103" t="inlineStr">
        <is>
          <t>24/08/2026 14:32</t>
        </is>
      </c>
      <c r="BT103" t="n">
        <v>0</v>
      </c>
      <c r="BX103" t="inlineStr">
        <is>
          <t>Cobranzas_2025.csv</t>
        </is>
      </c>
      <c r="BY103" t="n">
        <v>2025</v>
      </c>
      <c r="BZ103" t="inlineStr">
        <is>
          <t>01/01/2024</t>
        </is>
      </c>
      <c r="CA103" t="inlineStr">
        <is>
          <t>30/09/2031</t>
        </is>
      </c>
    </row>
    <row r="104">
      <c r="A104" t="inlineStr">
        <is>
          <t>RESIDENCIAL BEYOND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505</t>
        </is>
      </c>
      <c r="G104" s="39" t="n">
        <v>532100</v>
      </c>
      <c r="H104" s="39" t="n">
        <v>500000</v>
      </c>
      <c r="I104" t="inlineStr">
        <is>
          <t>Edificio</t>
        </is>
      </c>
      <c r="J104" t="inlineStr">
        <is>
          <t>A</t>
        </is>
      </c>
      <c r="K104" t="inlineStr">
        <is>
          <t>Estacionamiento</t>
        </is>
      </c>
      <c r="L104" t="inlineStr">
        <is>
          <t>E 05</t>
        </is>
      </c>
      <c r="M104" s="39" t="n">
        <v>45600</v>
      </c>
      <c r="N104" s="39" t="n">
        <v>45600</v>
      </c>
      <c r="O104" t="inlineStr">
        <is>
          <t>Edificio</t>
        </is>
      </c>
      <c r="P104" t="inlineStr">
        <is>
          <t>A</t>
        </is>
      </c>
      <c r="Q104" t="inlineStr">
        <is>
          <t>Depósito</t>
        </is>
      </c>
      <c r="R104" t="inlineStr">
        <is>
          <t>D 05</t>
        </is>
      </c>
      <c r="S104" s="39" t="n">
        <v>15900</v>
      </c>
      <c r="T104" s="39" t="n">
        <v>15900</v>
      </c>
      <c r="Y104" s="39" t="n"/>
      <c r="Z104" s="39" t="n"/>
      <c r="AA104" t="inlineStr">
        <is>
          <t>Dante Enrique Segura Florian</t>
        </is>
      </c>
      <c r="AB104" t="inlineStr">
        <is>
          <t xml:space="preserve">45587286		</t>
        </is>
      </c>
      <c r="AC104" t="inlineStr">
        <is>
          <t xml:space="preserve">1845 San Andres Dr Pitsburg CA 94565 - San Francisco </t>
        </is>
      </c>
      <c r="AD104" t="n">
        <v>0</v>
      </c>
      <c r="AE104" t="inlineStr">
        <is>
          <t>+15103330517</t>
        </is>
      </c>
      <c r="AF104" t="inlineStr">
        <is>
          <t xml:space="preserve">d.segura@uaa.edu		</t>
        </is>
      </c>
      <c r="AI104" s="116" t="n">
        <v>45802</v>
      </c>
      <c r="AJ104" s="116" t="n">
        <v>45804</v>
      </c>
      <c r="AK104" t="inlineStr">
        <is>
          <t>SALDO FINANCIAR</t>
        </is>
      </c>
      <c r="AL104" t="n">
        <v>2</v>
      </c>
      <c r="AM104" t="n">
        <v>21341.25</v>
      </c>
      <c r="AN104" t="n">
        <v>0</v>
      </c>
      <c r="AO104" t="n">
        <v>0</v>
      </c>
      <c r="AP104" s="39" t="n">
        <v>21341.25</v>
      </c>
      <c r="AQ104" s="39" t="n">
        <v>21152.79</v>
      </c>
      <c r="AR104" s="39" t="n">
        <v>188.46</v>
      </c>
      <c r="AS104" t="n">
        <v>0</v>
      </c>
      <c r="AT104" t="inlineStr">
        <is>
          <t>Crédito Directo</t>
        </is>
      </c>
      <c r="AU104" t="inlineStr">
        <is>
          <t>Banco de Credito del Perú</t>
        </is>
      </c>
      <c r="AV104" t="inlineStr">
        <is>
          <t>194-7325779-0-65</t>
        </is>
      </c>
      <c r="AW104" t="inlineStr">
        <is>
          <t>TRANSFERENCIA BANCARIA</t>
        </is>
      </c>
      <c r="AY104" t="inlineStr">
        <is>
          <t>0989600574</t>
        </is>
      </c>
      <c r="AZ104" t="inlineStr">
        <is>
          <t>No</t>
        </is>
      </c>
      <c r="BB104" t="n">
        <v>3.64</v>
      </c>
      <c r="BC104" t="inlineStr">
        <is>
          <t>VENCIDO - PARC. CANCELADO</t>
        </is>
      </c>
      <c r="BN104" t="inlineStr">
        <is>
          <t>Si</t>
        </is>
      </c>
      <c r="BO104" s="117" t="n">
        <v>45386.40347222222</v>
      </c>
      <c r="BP104" t="inlineStr">
        <is>
          <t>Carla Michue M</t>
        </is>
      </c>
      <c r="BR104" t="n">
        <v>35</v>
      </c>
      <c r="BS104" t="inlineStr">
        <is>
          <t>24/08/2026 14:34</t>
        </is>
      </c>
      <c r="BT104" t="n">
        <v>0</v>
      </c>
      <c r="BX104" t="inlineStr">
        <is>
          <t>Cobranzas_2025.csv</t>
        </is>
      </c>
      <c r="BY104" t="n">
        <v>2025</v>
      </c>
      <c r="BZ104" t="inlineStr">
        <is>
          <t>01/01/2024</t>
        </is>
      </c>
      <c r="CA104" t="inlineStr">
        <is>
          <t>30/09/2031</t>
        </is>
      </c>
    </row>
    <row r="105">
      <c r="A105" t="inlineStr">
        <is>
          <t>RESIDENCIAL BEYOND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505</t>
        </is>
      </c>
      <c r="G105" s="39" t="n">
        <v>532100</v>
      </c>
      <c r="H105" s="39" t="n">
        <v>500000</v>
      </c>
      <c r="I105" t="inlineStr">
        <is>
          <t>Edificio</t>
        </is>
      </c>
      <c r="J105" t="inlineStr">
        <is>
          <t>A</t>
        </is>
      </c>
      <c r="K105" t="inlineStr">
        <is>
          <t>Estacionamiento</t>
        </is>
      </c>
      <c r="L105" t="inlineStr">
        <is>
          <t>E 05</t>
        </is>
      </c>
      <c r="M105" s="39" t="n">
        <v>45600</v>
      </c>
      <c r="N105" s="39" t="n">
        <v>45600</v>
      </c>
      <c r="O105" t="inlineStr">
        <is>
          <t>Edificio</t>
        </is>
      </c>
      <c r="P105" t="inlineStr">
        <is>
          <t>A</t>
        </is>
      </c>
      <c r="Q105" t="inlineStr">
        <is>
          <t>Depósito</t>
        </is>
      </c>
      <c r="R105" t="inlineStr">
        <is>
          <t>D 05</t>
        </is>
      </c>
      <c r="S105" s="39" t="n">
        <v>15900</v>
      </c>
      <c r="T105" s="39" t="n">
        <v>15900</v>
      </c>
      <c r="Y105" s="39" t="n"/>
      <c r="Z105" s="39" t="n"/>
      <c r="AA105" t="inlineStr">
        <is>
          <t>Dante Enrique Segura Florian</t>
        </is>
      </c>
      <c r="AB105" t="inlineStr">
        <is>
          <t xml:space="preserve">45587286		</t>
        </is>
      </c>
      <c r="AC105" t="inlineStr">
        <is>
          <t xml:space="preserve">1845 San Andres Dr Pitsburg CA 94565 - San Francisco </t>
        </is>
      </c>
      <c r="AD105" t="n">
        <v>0</v>
      </c>
      <c r="AE105" t="inlineStr">
        <is>
          <t>+15103330517</t>
        </is>
      </c>
      <c r="AF105" t="inlineStr">
        <is>
          <t xml:space="preserve">d.segura@uaa.edu		</t>
        </is>
      </c>
      <c r="AI105" s="116" t="n">
        <v>45833</v>
      </c>
      <c r="AJ105" s="116" t="n">
        <v>45834</v>
      </c>
      <c r="AK105" t="inlineStr">
        <is>
          <t>SALDO FINANCIAR</t>
        </is>
      </c>
      <c r="AL105" t="n">
        <v>3</v>
      </c>
      <c r="AM105" t="n">
        <v>21341.25</v>
      </c>
      <c r="AN105" t="n">
        <v>0</v>
      </c>
      <c r="AO105" t="n">
        <v>0</v>
      </c>
      <c r="AP105" s="39" t="n">
        <v>21341.25</v>
      </c>
      <c r="AQ105" s="39" t="n">
        <v>21152.65</v>
      </c>
      <c r="AR105" s="39" t="n">
        <v>188.6</v>
      </c>
      <c r="AS105" t="n">
        <v>0</v>
      </c>
      <c r="AT105" t="inlineStr">
        <is>
          <t>Crédito Directo</t>
        </is>
      </c>
      <c r="AU105" t="inlineStr">
        <is>
          <t>Banco de Credito del Perú</t>
        </is>
      </c>
      <c r="AV105" t="inlineStr">
        <is>
          <t>194-7325779-0-65</t>
        </is>
      </c>
      <c r="AW105" t="inlineStr">
        <is>
          <t>TRANSFERENCIA BANCARIA</t>
        </is>
      </c>
      <c r="AY105" t="inlineStr">
        <is>
          <t>0989600451</t>
        </is>
      </c>
      <c r="AZ105" t="inlineStr">
        <is>
          <t>No</t>
        </is>
      </c>
      <c r="BB105" t="n">
        <v>3.64</v>
      </c>
      <c r="BC105" t="inlineStr">
        <is>
          <t>VENCIDO - PARC. CANCELADO</t>
        </is>
      </c>
      <c r="BN105" t="inlineStr">
        <is>
          <t>Si</t>
        </is>
      </c>
      <c r="BO105" s="117" t="n">
        <v>45386.40347222222</v>
      </c>
      <c r="BP105" t="inlineStr">
        <is>
          <t>Carla Michue M</t>
        </is>
      </c>
      <c r="BR105" t="n">
        <v>35</v>
      </c>
      <c r="BS105" t="inlineStr">
        <is>
          <t>24/08/2026 14:35</t>
        </is>
      </c>
      <c r="BT105" t="n">
        <v>0</v>
      </c>
      <c r="BX105" t="inlineStr">
        <is>
          <t>Cobranzas_2025.csv</t>
        </is>
      </c>
      <c r="BY105" t="n">
        <v>2025</v>
      </c>
      <c r="BZ105" t="inlineStr">
        <is>
          <t>01/01/2024</t>
        </is>
      </c>
      <c r="CA105" t="inlineStr">
        <is>
          <t>30/09/2031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39" t="n">
        <v>532100</v>
      </c>
      <c r="H106" s="39" t="n">
        <v>500000</v>
      </c>
      <c r="I106" t="inlineStr">
        <is>
          <t>Edificio</t>
        </is>
      </c>
      <c r="J106" t="inlineStr">
        <is>
          <t>A</t>
        </is>
      </c>
      <c r="K106" t="inlineStr">
        <is>
          <t>Estacionamiento</t>
        </is>
      </c>
      <c r="L106" t="inlineStr">
        <is>
          <t>E 05</t>
        </is>
      </c>
      <c r="M106" s="39" t="n">
        <v>45600</v>
      </c>
      <c r="N106" s="39" t="n">
        <v>45600</v>
      </c>
      <c r="O106" t="inlineStr">
        <is>
          <t>Edificio</t>
        </is>
      </c>
      <c r="P106" t="inlineStr">
        <is>
          <t>A</t>
        </is>
      </c>
      <c r="Q106" t="inlineStr">
        <is>
          <t>Depósito</t>
        </is>
      </c>
      <c r="R106" t="inlineStr">
        <is>
          <t>D 05</t>
        </is>
      </c>
      <c r="S106" s="39" t="n">
        <v>15900</v>
      </c>
      <c r="T106" s="39" t="n">
        <v>15900</v>
      </c>
      <c r="Y106" s="39" t="n"/>
      <c r="Z106" s="39" t="n"/>
      <c r="AA106" t="inlineStr">
        <is>
          <t>Dante Enrique Segura Florian</t>
        </is>
      </c>
      <c r="AB106" t="inlineStr">
        <is>
          <t xml:space="preserve">45587286		</t>
        </is>
      </c>
      <c r="AC106" t="inlineStr">
        <is>
          <t xml:space="preserve">1845 San Andres Dr Pitsburg CA 94565 - San Francisco </t>
        </is>
      </c>
      <c r="AD106" t="n">
        <v>0</v>
      </c>
      <c r="AE106" t="inlineStr">
        <is>
          <t>+15103330517</t>
        </is>
      </c>
      <c r="AF106" t="inlineStr">
        <is>
          <t xml:space="preserve">d.segura@uaa.edu		</t>
        </is>
      </c>
      <c r="AI106" s="116" t="n">
        <v>45863</v>
      </c>
      <c r="AJ106" s="116" t="n">
        <v>45862</v>
      </c>
      <c r="AK106" t="inlineStr">
        <is>
          <t>SALDO FINANCIAR</t>
        </is>
      </c>
      <c r="AL106" t="n">
        <v>4</v>
      </c>
      <c r="AM106" t="n">
        <v>21341.25</v>
      </c>
      <c r="AN106" t="n">
        <v>0</v>
      </c>
      <c r="AO106" t="n">
        <v>0</v>
      </c>
      <c r="AP106" s="39" t="n">
        <v>21341.25</v>
      </c>
      <c r="AQ106" s="39" t="n">
        <v>21152.61</v>
      </c>
      <c r="AR106" s="39" t="n">
        <v>188.64</v>
      </c>
      <c r="AS106" t="n">
        <v>0</v>
      </c>
      <c r="AT106" t="inlineStr">
        <is>
          <t>Crédito Directo</t>
        </is>
      </c>
      <c r="AU106" t="inlineStr">
        <is>
          <t>Banco de Credito del Perú</t>
        </is>
      </c>
      <c r="AV106" t="inlineStr">
        <is>
          <t>194-7325779-0-65</t>
        </is>
      </c>
      <c r="AW106" t="inlineStr">
        <is>
          <t>TRANSFERENCIA BANCARIA</t>
        </is>
      </c>
      <c r="AY106" t="inlineStr">
        <is>
          <t>0989600596</t>
        </is>
      </c>
      <c r="AZ106" t="inlineStr">
        <is>
          <t>No</t>
        </is>
      </c>
      <c r="BB106" t="n">
        <v>3.64</v>
      </c>
      <c r="BC106" t="inlineStr">
        <is>
          <t>VENCIDO - PARC. CANCELADO</t>
        </is>
      </c>
      <c r="BN106" t="inlineStr">
        <is>
          <t>Si</t>
        </is>
      </c>
      <c r="BO106" s="117" t="n">
        <v>45386.40347222222</v>
      </c>
      <c r="BP106" t="inlineStr">
        <is>
          <t>Carla Michue M</t>
        </is>
      </c>
      <c r="BR106" t="n">
        <v>35</v>
      </c>
      <c r="BS106" t="inlineStr">
        <is>
          <t>24/08/2026 14:37</t>
        </is>
      </c>
      <c r="BT106" t="n">
        <v>0</v>
      </c>
      <c r="BX106" t="inlineStr">
        <is>
          <t>Cobranzas_2025.csv</t>
        </is>
      </c>
      <c r="BY106" t="n">
        <v>2025</v>
      </c>
      <c r="BZ106" t="inlineStr">
        <is>
          <t>01/01/2024</t>
        </is>
      </c>
      <c r="CA106" t="inlineStr">
        <is>
          <t>30/09/2031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39" t="n">
        <v>532100</v>
      </c>
      <c r="H107" s="39" t="n">
        <v>500000</v>
      </c>
      <c r="I107" t="inlineStr">
        <is>
          <t>Edificio</t>
        </is>
      </c>
      <c r="J107" t="inlineStr">
        <is>
          <t>A</t>
        </is>
      </c>
      <c r="K107" t="inlineStr">
        <is>
          <t>Estacionamiento</t>
        </is>
      </c>
      <c r="L107" t="inlineStr">
        <is>
          <t>E 05</t>
        </is>
      </c>
      <c r="M107" s="39" t="n">
        <v>45600</v>
      </c>
      <c r="N107" s="39" t="n">
        <v>45600</v>
      </c>
      <c r="O107" t="inlineStr">
        <is>
          <t>Edificio</t>
        </is>
      </c>
      <c r="P107" t="inlineStr">
        <is>
          <t>A</t>
        </is>
      </c>
      <c r="Q107" t="inlineStr">
        <is>
          <t>Depósito</t>
        </is>
      </c>
      <c r="R107" t="inlineStr">
        <is>
          <t>D 05</t>
        </is>
      </c>
      <c r="S107" s="39" t="n">
        <v>15900</v>
      </c>
      <c r="T107" s="39" t="n">
        <v>15900</v>
      </c>
      <c r="Y107" s="39" t="n"/>
      <c r="Z107" s="39" t="n"/>
      <c r="AA107" t="inlineStr">
        <is>
          <t>Dante Enrique Segura Florian</t>
        </is>
      </c>
      <c r="AB107" t="inlineStr">
        <is>
          <t xml:space="preserve">45587286		</t>
        </is>
      </c>
      <c r="AC107" t="inlineStr">
        <is>
          <t xml:space="preserve">1845 San Andres Dr Pitsburg CA 94565 - San Francisco </t>
        </is>
      </c>
      <c r="AD107" t="n">
        <v>0</v>
      </c>
      <c r="AE107" t="inlineStr">
        <is>
          <t>+15103330517</t>
        </is>
      </c>
      <c r="AF107" t="inlineStr">
        <is>
          <t xml:space="preserve">d.segura@uaa.edu		</t>
        </is>
      </c>
      <c r="AI107" s="116" t="n">
        <v>45894</v>
      </c>
      <c r="AJ107" s="116" t="n">
        <v>45895</v>
      </c>
      <c r="AK107" t="inlineStr">
        <is>
          <t>SALDO FINANCIAR</t>
        </is>
      </c>
      <c r="AL107" t="n">
        <v>5</v>
      </c>
      <c r="AM107" t="n">
        <v>21341.25</v>
      </c>
      <c r="AN107" t="n">
        <v>0</v>
      </c>
      <c r="AO107" t="n">
        <v>0</v>
      </c>
      <c r="AP107" s="39" t="n">
        <v>21341.25</v>
      </c>
      <c r="AQ107" s="39" t="n">
        <v>21152.57</v>
      </c>
      <c r="AR107" s="39" t="n">
        <v>188.68</v>
      </c>
      <c r="AS107" t="n">
        <v>0</v>
      </c>
      <c r="AT107" t="inlineStr">
        <is>
          <t>Crédito Directo</t>
        </is>
      </c>
      <c r="AU107" t="inlineStr">
        <is>
          <t>Banco de Credito del Perú</t>
        </is>
      </c>
      <c r="AV107" t="inlineStr">
        <is>
          <t>194-7325779-0-65</t>
        </is>
      </c>
      <c r="AW107" t="inlineStr">
        <is>
          <t>TRANSFERENCIA BANCARIA</t>
        </is>
      </c>
      <c r="AY107" t="inlineStr">
        <is>
          <t>0989600340</t>
        </is>
      </c>
      <c r="AZ107" t="inlineStr">
        <is>
          <t>No</t>
        </is>
      </c>
      <c r="BB107" t="n">
        <v>3.64</v>
      </c>
      <c r="BC107" t="inlineStr">
        <is>
          <t>VENCIDO - PARC. CANCELADO</t>
        </is>
      </c>
      <c r="BN107" t="inlineStr">
        <is>
          <t>Si</t>
        </is>
      </c>
      <c r="BO107" s="117" t="n">
        <v>45386.40347222222</v>
      </c>
      <c r="BP107" t="inlineStr">
        <is>
          <t>Carla Michue M</t>
        </is>
      </c>
      <c r="BR107" t="n">
        <v>35</v>
      </c>
      <c r="BS107" t="inlineStr">
        <is>
          <t>24/08/2026 14:39</t>
        </is>
      </c>
      <c r="BT107" t="n">
        <v>0</v>
      </c>
      <c r="BX107" t="inlineStr">
        <is>
          <t>Cobranzas_2025.csv</t>
        </is>
      </c>
      <c r="BY107" t="n">
        <v>2025</v>
      </c>
      <c r="BZ107" t="inlineStr">
        <is>
          <t>01/01/2024</t>
        </is>
      </c>
      <c r="CA107" t="inlineStr">
        <is>
          <t>30/09/2031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39" t="n">
        <v>532100</v>
      </c>
      <c r="H108" s="39" t="n">
        <v>500000</v>
      </c>
      <c r="I108" t="inlineStr">
        <is>
          <t>Edificio</t>
        </is>
      </c>
      <c r="J108" t="inlineStr">
        <is>
          <t>A</t>
        </is>
      </c>
      <c r="K108" t="inlineStr">
        <is>
          <t>Estacionamiento</t>
        </is>
      </c>
      <c r="L108" t="inlineStr">
        <is>
          <t>E 05</t>
        </is>
      </c>
      <c r="M108" s="39" t="n">
        <v>45600</v>
      </c>
      <c r="N108" s="39" t="n">
        <v>45600</v>
      </c>
      <c r="O108" t="inlineStr">
        <is>
          <t>Edificio</t>
        </is>
      </c>
      <c r="P108" t="inlineStr">
        <is>
          <t>A</t>
        </is>
      </c>
      <c r="Q108" t="inlineStr">
        <is>
          <t>Depósito</t>
        </is>
      </c>
      <c r="R108" t="inlineStr">
        <is>
          <t>D 05</t>
        </is>
      </c>
      <c r="S108" s="39" t="n">
        <v>15900</v>
      </c>
      <c r="T108" s="39" t="n">
        <v>15900</v>
      </c>
      <c r="Y108" s="39" t="n"/>
      <c r="Z108" s="39" t="n"/>
      <c r="AA108" t="inlineStr">
        <is>
          <t>Dante Enrique Segura Florian</t>
        </is>
      </c>
      <c r="AB108" t="inlineStr">
        <is>
          <t xml:space="preserve">45587286		</t>
        </is>
      </c>
      <c r="AC108" t="inlineStr">
        <is>
          <t xml:space="preserve">1845 San Andres Dr Pitsburg CA 94565 - San Francisco </t>
        </is>
      </c>
      <c r="AD108" t="n">
        <v>0</v>
      </c>
      <c r="AE108" t="inlineStr">
        <is>
          <t>+15103330517</t>
        </is>
      </c>
      <c r="AF108" t="inlineStr">
        <is>
          <t xml:space="preserve">d.segura@uaa.edu		</t>
        </is>
      </c>
      <c r="AI108" s="116" t="n">
        <v>45925</v>
      </c>
      <c r="AJ108" s="116" t="n">
        <v>45926</v>
      </c>
      <c r="AK108" t="inlineStr">
        <is>
          <t>SALDO FINANCIAR</t>
        </is>
      </c>
      <c r="AL108" t="n">
        <v>6</v>
      </c>
      <c r="AM108" t="n">
        <v>21341.25</v>
      </c>
      <c r="AN108" t="n">
        <v>0</v>
      </c>
      <c r="AO108" t="n">
        <v>0</v>
      </c>
      <c r="AP108" s="39" t="n">
        <v>21341.25</v>
      </c>
      <c r="AQ108" s="39" t="n">
        <v>21152.5</v>
      </c>
      <c r="AR108" s="39" t="n">
        <v>188.75</v>
      </c>
      <c r="AS108" t="n">
        <v>0</v>
      </c>
      <c r="AT108" t="inlineStr">
        <is>
          <t>Crédito Directo</t>
        </is>
      </c>
      <c r="AU108" t="inlineStr">
        <is>
          <t>Banco de Credito del Perú</t>
        </is>
      </c>
      <c r="AV108" t="inlineStr">
        <is>
          <t>194-7325779-0-65</t>
        </is>
      </c>
      <c r="AW108" t="inlineStr">
        <is>
          <t>TRANSFERENCIA BANCARIA</t>
        </is>
      </c>
      <c r="AY108" t="inlineStr">
        <is>
          <t>0989600435</t>
        </is>
      </c>
      <c r="AZ108" t="inlineStr">
        <is>
          <t>No</t>
        </is>
      </c>
      <c r="BB108" t="n">
        <v>3.64</v>
      </c>
      <c r="BC108" t="inlineStr">
        <is>
          <t>VENCIDO - PARC. CANCELADO</t>
        </is>
      </c>
      <c r="BN108" t="inlineStr">
        <is>
          <t>Si</t>
        </is>
      </c>
      <c r="BO108" s="117" t="n">
        <v>45386.40347222222</v>
      </c>
      <c r="BP108" t="inlineStr">
        <is>
          <t>Carla Michue M</t>
        </is>
      </c>
      <c r="BR108" t="n">
        <v>35</v>
      </c>
      <c r="BS108" t="inlineStr">
        <is>
          <t>24/08/2026 14:40</t>
        </is>
      </c>
      <c r="BT108" t="n">
        <v>0</v>
      </c>
      <c r="BX108" t="inlineStr">
        <is>
          <t>Cobranzas_2025.csv</t>
        </is>
      </c>
      <c r="BY108" t="n">
        <v>2025</v>
      </c>
      <c r="BZ108" t="inlineStr">
        <is>
          <t>01/01/2024</t>
        </is>
      </c>
      <c r="CA108" t="inlineStr">
        <is>
          <t>30/09/2031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39" t="n">
        <v>532100</v>
      </c>
      <c r="H109" s="39" t="n">
        <v>500000</v>
      </c>
      <c r="I109" t="inlineStr">
        <is>
          <t>Edificio</t>
        </is>
      </c>
      <c r="J109" t="inlineStr">
        <is>
          <t>A</t>
        </is>
      </c>
      <c r="K109" t="inlineStr">
        <is>
          <t>Estacionamiento</t>
        </is>
      </c>
      <c r="L109" t="inlineStr">
        <is>
          <t>E 05</t>
        </is>
      </c>
      <c r="M109" s="39" t="n">
        <v>45600</v>
      </c>
      <c r="N109" s="39" t="n">
        <v>45600</v>
      </c>
      <c r="O109" t="inlineStr">
        <is>
          <t>Edificio</t>
        </is>
      </c>
      <c r="P109" t="inlineStr">
        <is>
          <t>A</t>
        </is>
      </c>
      <c r="Q109" t="inlineStr">
        <is>
          <t>Depósito</t>
        </is>
      </c>
      <c r="R109" t="inlineStr">
        <is>
          <t>D 05</t>
        </is>
      </c>
      <c r="S109" s="39" t="n">
        <v>15900</v>
      </c>
      <c r="T109" s="39" t="n">
        <v>15900</v>
      </c>
      <c r="Y109" s="39" t="n"/>
      <c r="Z109" s="39" t="n"/>
      <c r="AA109" t="inlineStr">
        <is>
          <t>Dante Enrique Segura Florian</t>
        </is>
      </c>
      <c r="AB109" t="inlineStr">
        <is>
          <t xml:space="preserve">45587286		</t>
        </is>
      </c>
      <c r="AC109" t="inlineStr">
        <is>
          <t xml:space="preserve">1845 San Andres Dr Pitsburg CA 94565 - San Francisco </t>
        </is>
      </c>
      <c r="AD109" t="n">
        <v>0</v>
      </c>
      <c r="AE109" t="inlineStr">
        <is>
          <t>+15103330517</t>
        </is>
      </c>
      <c r="AF109" t="inlineStr">
        <is>
          <t xml:space="preserve">d.segura@uaa.edu		</t>
        </is>
      </c>
      <c r="AI109" s="116" t="n">
        <v>45955</v>
      </c>
      <c r="AJ109" s="116" t="n">
        <v>45957</v>
      </c>
      <c r="AK109" t="inlineStr">
        <is>
          <t>SALDO FINANCIAR</t>
        </is>
      </c>
      <c r="AL109" t="n">
        <v>7</v>
      </c>
      <c r="AM109" t="n">
        <v>21341.25</v>
      </c>
      <c r="AN109" t="n">
        <v>0</v>
      </c>
      <c r="AO109" t="n">
        <v>0</v>
      </c>
      <c r="AP109" s="39" t="n">
        <v>21341.25</v>
      </c>
      <c r="AQ109" s="39" t="n">
        <v>21152.25</v>
      </c>
      <c r="AR109" s="39" t="n">
        <v>189</v>
      </c>
      <c r="AS109" t="n">
        <v>0</v>
      </c>
      <c r="AT109" t="inlineStr">
        <is>
          <t>Crédito Directo</t>
        </is>
      </c>
      <c r="AU109" t="inlineStr">
        <is>
          <t>Banco de Credito del Perú</t>
        </is>
      </c>
      <c r="AV109" t="inlineStr">
        <is>
          <t>194-7325779-0-65</t>
        </is>
      </c>
      <c r="AW109" t="inlineStr">
        <is>
          <t>TRANSFERENCIA BANCARIA</t>
        </is>
      </c>
      <c r="AY109" t="inlineStr">
        <is>
          <t>0989600349</t>
        </is>
      </c>
      <c r="AZ109" t="inlineStr">
        <is>
          <t>No</t>
        </is>
      </c>
      <c r="BB109" t="n">
        <v>3.64</v>
      </c>
      <c r="BC109" t="inlineStr">
        <is>
          <t>VENCIDO - PARC. CANCELADO</t>
        </is>
      </c>
      <c r="BN109" t="inlineStr">
        <is>
          <t>Si</t>
        </is>
      </c>
      <c r="BO109" s="117" t="n">
        <v>45386.40347222222</v>
      </c>
      <c r="BP109" t="inlineStr">
        <is>
          <t>Carla Michue M</t>
        </is>
      </c>
      <c r="BR109" t="n">
        <v>35</v>
      </c>
      <c r="BS109" t="inlineStr">
        <is>
          <t>24/08/2026 14:42</t>
        </is>
      </c>
      <c r="BT109" t="n">
        <v>0</v>
      </c>
      <c r="BX109" t="inlineStr">
        <is>
          <t>Cobranzas_2025.csv</t>
        </is>
      </c>
      <c r="BY109" t="n">
        <v>2025</v>
      </c>
      <c r="BZ109" t="inlineStr">
        <is>
          <t>01/01/2024</t>
        </is>
      </c>
      <c r="CA109" t="inlineStr">
        <is>
          <t>30/09/2031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39" t="n">
        <v>532100</v>
      </c>
      <c r="H110" s="39" t="n">
        <v>500000</v>
      </c>
      <c r="I110" t="inlineStr">
        <is>
          <t>Edificio</t>
        </is>
      </c>
      <c r="J110" t="inlineStr">
        <is>
          <t>A</t>
        </is>
      </c>
      <c r="K110" t="inlineStr">
        <is>
          <t>Estacionamiento</t>
        </is>
      </c>
      <c r="L110" t="inlineStr">
        <is>
          <t>E 05</t>
        </is>
      </c>
      <c r="M110" s="39" t="n">
        <v>45600</v>
      </c>
      <c r="N110" s="39" t="n">
        <v>45600</v>
      </c>
      <c r="O110" t="inlineStr">
        <is>
          <t>Edificio</t>
        </is>
      </c>
      <c r="P110" t="inlineStr">
        <is>
          <t>A</t>
        </is>
      </c>
      <c r="Q110" t="inlineStr">
        <is>
          <t>Depósito</t>
        </is>
      </c>
      <c r="R110" t="inlineStr">
        <is>
          <t>D 05</t>
        </is>
      </c>
      <c r="S110" s="39" t="n">
        <v>15900</v>
      </c>
      <c r="T110" s="39" t="n">
        <v>15900</v>
      </c>
      <c r="Y110" s="39" t="n"/>
      <c r="Z110" s="39" t="n"/>
      <c r="AA110" t="inlineStr">
        <is>
          <t>Dante Enrique Segura Florian</t>
        </is>
      </c>
      <c r="AB110" t="inlineStr">
        <is>
          <t xml:space="preserve">45587286		</t>
        </is>
      </c>
      <c r="AC110" t="inlineStr">
        <is>
          <t xml:space="preserve">1845 San Andres Dr Pitsburg CA 94565 - San Francisco </t>
        </is>
      </c>
      <c r="AD110" t="n">
        <v>0</v>
      </c>
      <c r="AE110" t="inlineStr">
        <is>
          <t>+15103330517</t>
        </is>
      </c>
      <c r="AF110" t="inlineStr">
        <is>
          <t xml:space="preserve">d.segura@uaa.edu		</t>
        </is>
      </c>
      <c r="AI110" s="116" t="n">
        <v>45986</v>
      </c>
      <c r="AJ110" s="116" t="n"/>
      <c r="AK110" t="inlineStr">
        <is>
          <t>SALDO FINANCIAR</t>
        </is>
      </c>
      <c r="AL110" t="n">
        <v>8</v>
      </c>
      <c r="AM110" t="n">
        <v>21341.25</v>
      </c>
      <c r="AN110" t="n">
        <v>0</v>
      </c>
      <c r="AO110" t="n">
        <v>0</v>
      </c>
      <c r="AP110" s="39" t="n">
        <v>21341.25</v>
      </c>
      <c r="AQ110" s="39" t="n">
        <v>0</v>
      </c>
      <c r="AR110" s="39" t="n">
        <v>21341.25</v>
      </c>
      <c r="AT110" t="inlineStr">
        <is>
          <t>Crédito Directo</t>
        </is>
      </c>
      <c r="AZ110" t="inlineStr">
        <is>
          <t>No</t>
        </is>
      </c>
      <c r="BC110" t="inlineStr">
        <is>
          <t>VENCIDO</t>
        </is>
      </c>
      <c r="BN110" t="inlineStr">
        <is>
          <t>No</t>
        </is>
      </c>
      <c r="BO110" s="117" t="n">
        <v>45386.40347222222</v>
      </c>
      <c r="BP110" t="inlineStr">
        <is>
          <t>Carla Michue M</t>
        </is>
      </c>
      <c r="BR110" t="n">
        <v>35</v>
      </c>
      <c r="BT110" t="n">
        <v>0</v>
      </c>
      <c r="BX110" t="inlineStr">
        <is>
          <t>Cobranzas_2025.csv</t>
        </is>
      </c>
      <c r="BY110" t="n">
        <v>2025</v>
      </c>
      <c r="BZ110" t="inlineStr">
        <is>
          <t>01/01/2024</t>
        </is>
      </c>
      <c r="CA110" t="inlineStr">
        <is>
          <t>30/09/2031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39" t="n">
        <v>532100</v>
      </c>
      <c r="H111" s="39" t="n">
        <v>500000</v>
      </c>
      <c r="I111" t="inlineStr">
        <is>
          <t>Edificio</t>
        </is>
      </c>
      <c r="J111" t="inlineStr">
        <is>
          <t>A</t>
        </is>
      </c>
      <c r="K111" t="inlineStr">
        <is>
          <t>Estacionamiento</t>
        </is>
      </c>
      <c r="L111" t="inlineStr">
        <is>
          <t>E 05</t>
        </is>
      </c>
      <c r="M111" s="39" t="n">
        <v>45600</v>
      </c>
      <c r="N111" s="39" t="n">
        <v>45600</v>
      </c>
      <c r="O111" t="inlineStr">
        <is>
          <t>Edificio</t>
        </is>
      </c>
      <c r="P111" t="inlineStr">
        <is>
          <t>A</t>
        </is>
      </c>
      <c r="Q111" t="inlineStr">
        <is>
          <t>Depósito</t>
        </is>
      </c>
      <c r="R111" t="inlineStr">
        <is>
          <t>D 05</t>
        </is>
      </c>
      <c r="S111" s="39" t="n">
        <v>15900</v>
      </c>
      <c r="T111" s="39" t="n">
        <v>15900</v>
      </c>
      <c r="Y111" s="39" t="n"/>
      <c r="Z111" s="39" t="n"/>
      <c r="AA111" t="inlineStr">
        <is>
          <t>Dante Enrique Segura Florian</t>
        </is>
      </c>
      <c r="AB111" t="inlineStr">
        <is>
          <t xml:space="preserve">45587286		</t>
        </is>
      </c>
      <c r="AC111" t="inlineStr">
        <is>
          <t xml:space="preserve">1845 San Andres Dr Pitsburg CA 94565 - San Francisco </t>
        </is>
      </c>
      <c r="AD111" t="n">
        <v>0</v>
      </c>
      <c r="AE111" t="inlineStr">
        <is>
          <t>+15103330517</t>
        </is>
      </c>
      <c r="AF111" t="inlineStr">
        <is>
          <t xml:space="preserve">d.segura@uaa.edu		</t>
        </is>
      </c>
      <c r="AI111" s="116" t="n">
        <v>46016</v>
      </c>
      <c r="AJ111" s="116" t="n"/>
      <c r="AK111" t="inlineStr">
        <is>
          <t>SALDO FINANCIAR</t>
        </is>
      </c>
      <c r="AL111" t="n">
        <v>9</v>
      </c>
      <c r="AM111" t="n">
        <v>21341.25</v>
      </c>
      <c r="AN111" t="n">
        <v>0</v>
      </c>
      <c r="AO111" t="n">
        <v>0</v>
      </c>
      <c r="AP111" s="39" t="n">
        <v>21341.25</v>
      </c>
      <c r="AQ111" s="39" t="n">
        <v>0</v>
      </c>
      <c r="AR111" s="39" t="n">
        <v>21341.25</v>
      </c>
      <c r="AT111" t="inlineStr">
        <is>
          <t>Crédito Directo</t>
        </is>
      </c>
      <c r="AZ111" t="inlineStr">
        <is>
          <t>No</t>
        </is>
      </c>
      <c r="BC111" t="inlineStr">
        <is>
          <t>VENCIDO</t>
        </is>
      </c>
      <c r="BN111" t="inlineStr">
        <is>
          <t>No</t>
        </is>
      </c>
      <c r="BO111" s="117" t="n">
        <v>45386.40347222222</v>
      </c>
      <c r="BP111" t="inlineStr">
        <is>
          <t>Carla Michue M</t>
        </is>
      </c>
      <c r="BR111" t="n">
        <v>35</v>
      </c>
      <c r="BT111" t="n">
        <v>0</v>
      </c>
      <c r="BX111" t="inlineStr">
        <is>
          <t>Cobranzas_2025.csv</t>
        </is>
      </c>
      <c r="BY111" t="n">
        <v>2025</v>
      </c>
      <c r="BZ111" t="inlineStr">
        <is>
          <t>01/01/2024</t>
        </is>
      </c>
      <c r="CA111" t="inlineStr">
        <is>
          <t>30/09/2031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1306</t>
        </is>
      </c>
      <c r="G112" s="39" t="n">
        <v>312500</v>
      </c>
      <c r="H112" s="39" t="n">
        <v>265000</v>
      </c>
      <c r="M112" s="39" t="n"/>
      <c r="N112" s="39" t="n"/>
      <c r="S112" s="39" t="n"/>
      <c r="T112" s="39" t="n"/>
      <c r="Y112" s="39" t="n"/>
      <c r="Z112" s="39" t="n"/>
      <c r="AA112" t="inlineStr">
        <is>
          <t>Darwin Martin Peralta Conchucos</t>
        </is>
      </c>
      <c r="AB112" t="inlineStr">
        <is>
          <t>43608980</t>
        </is>
      </c>
      <c r="AC112" t="inlineStr">
        <is>
          <t>Jr. Santiago Wagner 2264</t>
        </is>
      </c>
      <c r="AD112" t="n">
        <v>0</v>
      </c>
      <c r="AE112" t="inlineStr">
        <is>
          <t>979177372</t>
        </is>
      </c>
      <c r="AF112" t="inlineStr">
        <is>
          <t>mlynch30_07@icloud.com</t>
        </is>
      </c>
      <c r="AG112" t="inlineStr">
        <is>
          <t>LIMA</t>
        </is>
      </c>
      <c r="AH112" t="inlineStr">
        <is>
          <t>PUEBLO LIBRE</t>
        </is>
      </c>
      <c r="AI112" s="116" t="n">
        <v>45919</v>
      </c>
      <c r="AJ112" s="116" t="n">
        <v>45919</v>
      </c>
      <c r="AK112" t="inlineStr">
        <is>
          <t>SEPARACION</t>
        </is>
      </c>
      <c r="AL112" t="n">
        <v>1</v>
      </c>
      <c r="AM112" t="n">
        <v>3000</v>
      </c>
      <c r="AN112" t="n">
        <v>0</v>
      </c>
      <c r="AO112" t="n">
        <v>0</v>
      </c>
      <c r="AP112" s="39" t="n">
        <v>3000</v>
      </c>
      <c r="AQ112" s="39" t="n">
        <v>3000</v>
      </c>
      <c r="AR112" s="39" t="n">
        <v>0</v>
      </c>
      <c r="AS112" t="n">
        <v>0</v>
      </c>
      <c r="AT112" t="inlineStr">
        <is>
          <t>Ahorro</t>
        </is>
      </c>
      <c r="AU112" t="inlineStr">
        <is>
          <t>Banco de Credito del Perú</t>
        </is>
      </c>
      <c r="AV112" t="inlineStr">
        <is>
          <t>194-7325779-0-65</t>
        </is>
      </c>
      <c r="AW112" t="inlineStr">
        <is>
          <t>TRANSFERENCIA BANCARIA</t>
        </is>
      </c>
      <c r="AY112" t="inlineStr">
        <is>
          <t>017776200</t>
        </is>
      </c>
      <c r="AZ112" t="inlineStr">
        <is>
          <t>No</t>
        </is>
      </c>
      <c r="BB112" t="n">
        <v>4</v>
      </c>
      <c r="BC112" t="inlineStr">
        <is>
          <t>CANCELADO</t>
        </is>
      </c>
      <c r="BN112" t="inlineStr">
        <is>
          <t>Si</t>
        </is>
      </c>
      <c r="BO112" s="117" t="n">
        <v>45904.80555555555</v>
      </c>
      <c r="BP112" t="inlineStr">
        <is>
          <t>Carla Michue M</t>
        </is>
      </c>
      <c r="BR112" t="n">
        <v>11</v>
      </c>
      <c r="BS112" t="inlineStr">
        <is>
          <t>23/05/2026 19:16</t>
        </is>
      </c>
      <c r="BT112" t="n">
        <v>0</v>
      </c>
      <c r="BX112" t="inlineStr">
        <is>
          <t>Cobranzas_2025.csv</t>
        </is>
      </c>
      <c r="BY112" t="n">
        <v>2025</v>
      </c>
      <c r="BZ112" t="inlineStr">
        <is>
          <t>01/01/2024</t>
        </is>
      </c>
      <c r="CA112" t="inlineStr">
        <is>
          <t>30/09/2031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1306</t>
        </is>
      </c>
      <c r="G113" s="39" t="n">
        <v>312500</v>
      </c>
      <c r="H113" s="39" t="n">
        <v>265000</v>
      </c>
      <c r="M113" s="39" t="n"/>
      <c r="N113" s="39" t="n"/>
      <c r="S113" s="39" t="n"/>
      <c r="T113" s="39" t="n"/>
      <c r="Y113" s="39" t="n"/>
      <c r="Z113" s="39" t="n"/>
      <c r="AA113" t="inlineStr">
        <is>
          <t>Darwin Martin Peralta Conchucos</t>
        </is>
      </c>
      <c r="AB113" t="inlineStr">
        <is>
          <t>43608980</t>
        </is>
      </c>
      <c r="AC113" t="inlineStr">
        <is>
          <t>Jr. Santiago Wagner 2264</t>
        </is>
      </c>
      <c r="AD113" t="n">
        <v>0</v>
      </c>
      <c r="AE113" t="inlineStr">
        <is>
          <t>979177372</t>
        </is>
      </c>
      <c r="AF113" t="inlineStr">
        <is>
          <t>mlynch30_07@icloud.com</t>
        </is>
      </c>
      <c r="AG113" t="inlineStr">
        <is>
          <t>LIMA</t>
        </is>
      </c>
      <c r="AH113" t="inlineStr">
        <is>
          <t>PUEBLO LIBRE</t>
        </is>
      </c>
      <c r="AI113" s="116" t="n">
        <v>45904</v>
      </c>
      <c r="AJ113" s="116" t="n">
        <v>45904</v>
      </c>
      <c r="AK113" t="inlineStr">
        <is>
          <t>CUOTA INICIAL</t>
        </is>
      </c>
      <c r="AL113" t="n">
        <v>1</v>
      </c>
      <c r="AM113" t="n">
        <v>65600</v>
      </c>
      <c r="AN113" t="n">
        <v>0</v>
      </c>
      <c r="AO113" t="n">
        <v>0</v>
      </c>
      <c r="AP113" s="39" t="n">
        <v>65600</v>
      </c>
      <c r="AQ113" s="39" t="n">
        <v>65600</v>
      </c>
      <c r="AR113" s="39" t="n">
        <v>0</v>
      </c>
      <c r="AS113" t="n">
        <v>0</v>
      </c>
      <c r="AT113" t="inlineStr">
        <is>
          <t>Ahorro</t>
        </is>
      </c>
      <c r="AU113" t="inlineStr">
        <is>
          <t>Banco de Credito del Perú</t>
        </is>
      </c>
      <c r="AV113" t="inlineStr">
        <is>
          <t>194-7325779-0-65</t>
        </is>
      </c>
      <c r="AW113" t="inlineStr">
        <is>
          <t>TRANSFERENCIA BANCARIA</t>
        </is>
      </c>
      <c r="AY113" t="inlineStr">
        <is>
          <t>0833282</t>
        </is>
      </c>
      <c r="AZ113" t="inlineStr">
        <is>
          <t>No</t>
        </is>
      </c>
      <c r="BB113" t="n">
        <v>4</v>
      </c>
      <c r="BC113" t="inlineStr">
        <is>
          <t>CANCELADO</t>
        </is>
      </c>
      <c r="BN113" t="inlineStr">
        <is>
          <t>Si</t>
        </is>
      </c>
      <c r="BO113" s="117" t="n">
        <v>45904.80555555555</v>
      </c>
      <c r="BP113" t="inlineStr">
        <is>
          <t>Carla Michue M</t>
        </is>
      </c>
      <c r="BR113" t="n">
        <v>11</v>
      </c>
      <c r="BS113" t="inlineStr">
        <is>
          <t>23/05/2026 19:22</t>
        </is>
      </c>
      <c r="BT113" t="n">
        <v>0</v>
      </c>
      <c r="BX113" t="inlineStr">
        <is>
          <t>Cobranzas_2025.csv</t>
        </is>
      </c>
      <c r="BY113" t="n">
        <v>2025</v>
      </c>
      <c r="BZ113" t="inlineStr">
        <is>
          <t>01/01/2024</t>
        </is>
      </c>
      <c r="CA113" t="inlineStr">
        <is>
          <t>30/09/2031</t>
        </is>
      </c>
    </row>
    <row r="114">
      <c r="A114" t="inlineStr">
        <is>
          <t>RESIDENCIAL PRADA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703</t>
        </is>
      </c>
      <c r="G114" s="39" t="n">
        <v>654000</v>
      </c>
      <c r="H114" s="39" t="n">
        <v>654000</v>
      </c>
      <c r="I114" t="inlineStr">
        <is>
          <t>Edificio</t>
        </is>
      </c>
      <c r="J114" t="inlineStr">
        <is>
          <t>A</t>
        </is>
      </c>
      <c r="K114" t="inlineStr">
        <is>
          <t>Estacionamiento</t>
        </is>
      </c>
      <c r="L114" t="inlineStr">
        <is>
          <t>E 06 - D 04</t>
        </is>
      </c>
      <c r="M114" s="39" t="n">
        <v>57500</v>
      </c>
      <c r="N114" s="39" t="n">
        <v>57500</v>
      </c>
      <c r="S114" s="39" t="n"/>
      <c r="T114" s="39" t="n"/>
      <c r="Y114" s="39" t="n"/>
      <c r="Z114" s="39" t="n"/>
      <c r="AA114" t="inlineStr">
        <is>
          <t>David Edgar Valencia Cordova</t>
        </is>
      </c>
      <c r="AB114" t="inlineStr">
        <is>
          <t>41844906</t>
        </is>
      </c>
      <c r="AC114" t="inlineStr">
        <is>
          <t>P. Joven Año Nuevo Jr. Montero Rosas 860</t>
        </is>
      </c>
      <c r="AD114" t="n">
        <v>991846561</v>
      </c>
      <c r="AE114" t="inlineStr">
        <is>
          <t>991846561</t>
        </is>
      </c>
      <c r="AF114" t="inlineStr">
        <is>
          <t>davico29@gmail.com</t>
        </is>
      </c>
      <c r="AG114" t="inlineStr">
        <is>
          <t>LIMA</t>
        </is>
      </c>
      <c r="AH114" t="inlineStr">
        <is>
          <t>COMAS</t>
        </is>
      </c>
      <c r="AI114" s="116" t="n">
        <v>45687</v>
      </c>
      <c r="AJ114" s="116" t="n">
        <v>45687</v>
      </c>
      <c r="AK114" t="inlineStr">
        <is>
          <t>CUOTA INICIAL</t>
        </is>
      </c>
      <c r="AL114" t="n">
        <v>1</v>
      </c>
      <c r="AM114" t="n">
        <v>291500</v>
      </c>
      <c r="AN114" t="n">
        <v>0</v>
      </c>
      <c r="AO114" t="n">
        <v>0</v>
      </c>
      <c r="AP114" s="39" t="n">
        <v>291500</v>
      </c>
      <c r="AQ114" s="39" t="n">
        <v>291500</v>
      </c>
      <c r="AR114" s="39" t="n">
        <v>0</v>
      </c>
      <c r="AS114" t="n">
        <v>0</v>
      </c>
      <c r="AT114" t="inlineStr">
        <is>
          <t>Crédito Hipotecario</t>
        </is>
      </c>
      <c r="AU114" t="inlineStr">
        <is>
          <t>Scotiabank Perú</t>
        </is>
      </c>
      <c r="AV114" t="inlineStr">
        <is>
          <t>000-2768484</t>
        </is>
      </c>
      <c r="AW114" t="inlineStr">
        <is>
          <t>TRANSFERENCIA BANCARIA</t>
        </is>
      </c>
      <c r="AX114" t="inlineStr">
        <is>
          <t>41844906</t>
        </is>
      </c>
      <c r="AY114" t="inlineStr">
        <is>
          <t>09599714</t>
        </is>
      </c>
      <c r="AZ114" t="inlineStr">
        <is>
          <t>No</t>
        </is>
      </c>
      <c r="BA114" t="inlineStr">
        <is>
          <t>NO PRECISA</t>
        </is>
      </c>
      <c r="BB114" t="n">
        <v>4</v>
      </c>
      <c r="BC114" t="inlineStr">
        <is>
          <t>CANCELADO</t>
        </is>
      </c>
      <c r="BN114" t="inlineStr">
        <is>
          <t>Si</t>
        </is>
      </c>
      <c r="BO114" s="117" t="n">
        <v>45687.61736111111</v>
      </c>
      <c r="BP114" t="inlineStr">
        <is>
          <t>Carla Michue M</t>
        </is>
      </c>
      <c r="BR114" t="n">
        <v>38</v>
      </c>
      <c r="BS114" t="inlineStr">
        <is>
          <t>05/06/2026 10:49</t>
        </is>
      </c>
      <c r="BT114" t="n">
        <v>0</v>
      </c>
      <c r="BX114" t="inlineStr">
        <is>
          <t>Cobranzas_2025.csv</t>
        </is>
      </c>
      <c r="BY114" t="n">
        <v>2025</v>
      </c>
      <c r="BZ114" t="inlineStr">
        <is>
          <t>01/01/2024</t>
        </is>
      </c>
      <c r="CA114" t="inlineStr">
        <is>
          <t>30/09/2031</t>
        </is>
      </c>
    </row>
    <row r="115">
      <c r="A115" t="inlineStr">
        <is>
          <t>RESIDENCIAL PRADA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703</t>
        </is>
      </c>
      <c r="G115" s="39" t="n">
        <v>654000</v>
      </c>
      <c r="H115" s="39" t="n">
        <v>654000</v>
      </c>
      <c r="I115" t="inlineStr">
        <is>
          <t>Edificio</t>
        </is>
      </c>
      <c r="J115" t="inlineStr">
        <is>
          <t>A</t>
        </is>
      </c>
      <c r="K115" t="inlineStr">
        <is>
          <t>Estacionamiento</t>
        </is>
      </c>
      <c r="L115" t="inlineStr">
        <is>
          <t>E 06 - D 04</t>
        </is>
      </c>
      <c r="M115" s="39" t="n">
        <v>57500</v>
      </c>
      <c r="N115" s="39" t="n">
        <v>57500</v>
      </c>
      <c r="S115" s="39" t="n"/>
      <c r="T115" s="39" t="n"/>
      <c r="Y115" s="39" t="n"/>
      <c r="Z115" s="39" t="n"/>
      <c r="AA115" t="inlineStr">
        <is>
          <t>David Edgar Valencia Cordova</t>
        </is>
      </c>
      <c r="AB115" t="inlineStr">
        <is>
          <t>41844906</t>
        </is>
      </c>
      <c r="AC115" t="inlineStr">
        <is>
          <t>P. Joven Año Nuevo Jr. Montero Rosas 860</t>
        </is>
      </c>
      <c r="AD115" t="n">
        <v>991846561</v>
      </c>
      <c r="AE115" t="inlineStr">
        <is>
          <t>991846561</t>
        </is>
      </c>
      <c r="AF115" t="inlineStr">
        <is>
          <t>davico29@gmail.com</t>
        </is>
      </c>
      <c r="AG115" t="inlineStr">
        <is>
          <t>LIMA</t>
        </is>
      </c>
      <c r="AH115" t="inlineStr">
        <is>
          <t>COMAS</t>
        </is>
      </c>
      <c r="AI115" s="116" t="n">
        <v>45716</v>
      </c>
      <c r="AJ115" s="116" t="n">
        <v>45712</v>
      </c>
      <c r="AK115" t="inlineStr">
        <is>
          <t>SALDO FINANCIAR</t>
        </is>
      </c>
      <c r="AL115" t="n">
        <v>1</v>
      </c>
      <c r="AM115" t="n">
        <v>34750</v>
      </c>
      <c r="AN115" t="n">
        <v>0</v>
      </c>
      <c r="AO115" t="n">
        <v>0</v>
      </c>
      <c r="AP115" s="39" t="n">
        <v>34750</v>
      </c>
      <c r="AQ115" s="39" t="n">
        <v>34750</v>
      </c>
      <c r="AR115" s="39" t="n">
        <v>0</v>
      </c>
      <c r="AS115" t="n">
        <v>0</v>
      </c>
      <c r="AT115" t="inlineStr">
        <is>
          <t>Crédito Hipotecario</t>
        </is>
      </c>
      <c r="AU115" t="inlineStr">
        <is>
          <t>Scotiabank Perú</t>
        </is>
      </c>
      <c r="AV115" t="inlineStr">
        <is>
          <t>000-2768484</t>
        </is>
      </c>
      <c r="AW115" t="inlineStr">
        <is>
          <t>TRANSFERENCIA BANCARIA</t>
        </is>
      </c>
      <c r="AX115" t="inlineStr">
        <is>
          <t>41844906</t>
        </is>
      </c>
      <c r="AY115" t="inlineStr">
        <is>
          <t>2026083000000000028370</t>
        </is>
      </c>
      <c r="AZ115" t="inlineStr">
        <is>
          <t>No</t>
        </is>
      </c>
      <c r="BA115" t="inlineStr">
        <is>
          <t>NO PRECISA</t>
        </is>
      </c>
      <c r="BB115" t="n">
        <v>4</v>
      </c>
      <c r="BC115" t="inlineStr">
        <is>
          <t>CANCELADO</t>
        </is>
      </c>
      <c r="BN115" t="inlineStr">
        <is>
          <t>Si</t>
        </is>
      </c>
      <c r="BO115" s="117" t="n">
        <v>45687.61736111111</v>
      </c>
      <c r="BP115" t="inlineStr">
        <is>
          <t>Carla Michue M</t>
        </is>
      </c>
      <c r="BR115" t="n">
        <v>38</v>
      </c>
      <c r="BS115" t="inlineStr">
        <is>
          <t>05/06/2026 10:52</t>
        </is>
      </c>
      <c r="BT115" t="n">
        <v>0</v>
      </c>
      <c r="BX115" t="inlineStr">
        <is>
          <t>Cobranzas_2025.csv</t>
        </is>
      </c>
      <c r="BY115" t="n">
        <v>2025</v>
      </c>
      <c r="BZ115" t="inlineStr">
        <is>
          <t>01/01/2024</t>
        </is>
      </c>
      <c r="CA115" t="inlineStr">
        <is>
          <t>30/09/2031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39" t="n">
        <v>654000</v>
      </c>
      <c r="H116" s="39" t="n">
        <v>654000</v>
      </c>
      <c r="I116" t="inlineStr">
        <is>
          <t>Edificio</t>
        </is>
      </c>
      <c r="J116" t="inlineStr">
        <is>
          <t>A</t>
        </is>
      </c>
      <c r="K116" t="inlineStr">
        <is>
          <t>Estacionamiento</t>
        </is>
      </c>
      <c r="L116" t="inlineStr">
        <is>
          <t>E 06 - D 04</t>
        </is>
      </c>
      <c r="M116" s="39" t="n">
        <v>57500</v>
      </c>
      <c r="N116" s="39" t="n">
        <v>57500</v>
      </c>
      <c r="S116" s="39" t="n"/>
      <c r="T116" s="39" t="n"/>
      <c r="Y116" s="39" t="n"/>
      <c r="Z116" s="39" t="n"/>
      <c r="AA116" t="inlineStr">
        <is>
          <t>David Edgar Valencia Cordova</t>
        </is>
      </c>
      <c r="AB116" t="inlineStr">
        <is>
          <t>41844906</t>
        </is>
      </c>
      <c r="AC116" t="inlineStr">
        <is>
          <t>P. Joven Año Nuevo Jr. Montero Rosas 860</t>
        </is>
      </c>
      <c r="AD116" t="n">
        <v>991846561</v>
      </c>
      <c r="AE116" t="inlineStr">
        <is>
          <t>991846561</t>
        </is>
      </c>
      <c r="AF116" t="inlineStr">
        <is>
          <t>davico29@gmail.com</t>
        </is>
      </c>
      <c r="AG116" t="inlineStr">
        <is>
          <t>LIMA</t>
        </is>
      </c>
      <c r="AH116" t="inlineStr">
        <is>
          <t>COMAS</t>
        </is>
      </c>
      <c r="AI116" s="116" t="n">
        <v>45746</v>
      </c>
      <c r="AJ116" s="116" t="n">
        <v>45743</v>
      </c>
      <c r="AK116" t="inlineStr">
        <is>
          <t>SALDO FINANCIAR</t>
        </is>
      </c>
      <c r="AL116" t="n">
        <v>2</v>
      </c>
      <c r="AM116" t="n">
        <v>34750</v>
      </c>
      <c r="AN116" t="n">
        <v>0</v>
      </c>
      <c r="AO116" t="n">
        <v>0</v>
      </c>
      <c r="AP116" s="39" t="n">
        <v>34750</v>
      </c>
      <c r="AQ116" s="39" t="n">
        <v>34750</v>
      </c>
      <c r="AR116" s="39" t="n">
        <v>0</v>
      </c>
      <c r="AS116" t="n">
        <v>0</v>
      </c>
      <c r="AT116" t="inlineStr">
        <is>
          <t>Crédito Hipotecario</t>
        </is>
      </c>
      <c r="AU116" t="inlineStr">
        <is>
          <t>Scotiabank Perú</t>
        </is>
      </c>
      <c r="AV116" t="inlineStr">
        <is>
          <t>000-2768484</t>
        </is>
      </c>
      <c r="AW116" t="inlineStr">
        <is>
          <t>TRANSFERENCIA BANCARIA</t>
        </is>
      </c>
      <c r="AX116" t="inlineStr">
        <is>
          <t>41844906</t>
        </is>
      </c>
      <c r="AY116" t="inlineStr">
        <is>
          <t>50325</t>
        </is>
      </c>
      <c r="AZ116" t="inlineStr">
        <is>
          <t>No</t>
        </is>
      </c>
      <c r="BA116" t="inlineStr">
        <is>
          <t>NO PRECISA</t>
        </is>
      </c>
      <c r="BB116" t="n">
        <v>4</v>
      </c>
      <c r="BC116" t="inlineStr">
        <is>
          <t>CANCELADO</t>
        </is>
      </c>
      <c r="BN116" t="inlineStr">
        <is>
          <t>Si</t>
        </is>
      </c>
      <c r="BO116" s="117" t="n">
        <v>45687.61736111111</v>
      </c>
      <c r="BP116" t="inlineStr">
        <is>
          <t>Carla Michue M</t>
        </is>
      </c>
      <c r="BR116" t="n">
        <v>38</v>
      </c>
      <c r="BS116" t="inlineStr">
        <is>
          <t>05/06/2026 10:54</t>
        </is>
      </c>
      <c r="BT116" t="n">
        <v>0</v>
      </c>
      <c r="BX116" t="inlineStr">
        <is>
          <t>Cobranzas_2025.csv</t>
        </is>
      </c>
      <c r="BY116" t="n">
        <v>2025</v>
      </c>
      <c r="BZ116" t="inlineStr">
        <is>
          <t>01/01/2024</t>
        </is>
      </c>
      <c r="CA116" t="inlineStr">
        <is>
          <t>30/09/2031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39" t="n">
        <v>654000</v>
      </c>
      <c r="H117" s="39" t="n">
        <v>654000</v>
      </c>
      <c r="I117" t="inlineStr">
        <is>
          <t>Edificio</t>
        </is>
      </c>
      <c r="J117" t="inlineStr">
        <is>
          <t>A</t>
        </is>
      </c>
      <c r="K117" t="inlineStr">
        <is>
          <t>Estacionamiento</t>
        </is>
      </c>
      <c r="L117" t="inlineStr">
        <is>
          <t>E 06 - D 04</t>
        </is>
      </c>
      <c r="M117" s="39" t="n">
        <v>57500</v>
      </c>
      <c r="N117" s="39" t="n">
        <v>57500</v>
      </c>
      <c r="S117" s="39" t="n"/>
      <c r="T117" s="39" t="n"/>
      <c r="Y117" s="39" t="n"/>
      <c r="Z117" s="39" t="n"/>
      <c r="AA117" t="inlineStr">
        <is>
          <t>David Edgar Valencia Cordova</t>
        </is>
      </c>
      <c r="AB117" t="inlineStr">
        <is>
          <t>41844906</t>
        </is>
      </c>
      <c r="AC117" t="inlineStr">
        <is>
          <t>P. Joven Año Nuevo Jr. Montero Rosas 860</t>
        </is>
      </c>
      <c r="AD117" t="n">
        <v>991846561</v>
      </c>
      <c r="AE117" t="inlineStr">
        <is>
          <t>991846561</t>
        </is>
      </c>
      <c r="AF117" t="inlineStr">
        <is>
          <t>davico29@gmail.com</t>
        </is>
      </c>
      <c r="AG117" t="inlineStr">
        <is>
          <t>LIMA</t>
        </is>
      </c>
      <c r="AH117" t="inlineStr">
        <is>
          <t>COMAS</t>
        </is>
      </c>
      <c r="AI117" s="116" t="n">
        <v>45777</v>
      </c>
      <c r="AJ117" s="116" t="n">
        <v>45771</v>
      </c>
      <c r="AK117" t="inlineStr">
        <is>
          <t>SALDO FINANCIAR</t>
        </is>
      </c>
      <c r="AL117" t="n">
        <v>3</v>
      </c>
      <c r="AM117" t="n">
        <v>34750</v>
      </c>
      <c r="AN117" t="n">
        <v>0</v>
      </c>
      <c r="AO117" t="n">
        <v>0</v>
      </c>
      <c r="AP117" s="39" t="n">
        <v>34750</v>
      </c>
      <c r="AQ117" s="39" t="n">
        <v>34750</v>
      </c>
      <c r="AR117" s="39" t="n">
        <v>0</v>
      </c>
      <c r="AS117" t="n">
        <v>0</v>
      </c>
      <c r="AT117" t="inlineStr">
        <is>
          <t>Crédito Hipotecario</t>
        </is>
      </c>
      <c r="AU117" t="inlineStr">
        <is>
          <t>Scotiabank Perú</t>
        </is>
      </c>
      <c r="AV117" t="inlineStr">
        <is>
          <t>000-2768484</t>
        </is>
      </c>
      <c r="AW117" t="inlineStr">
        <is>
          <t>TRANSFERENCIA BANCARIA</t>
        </is>
      </c>
      <c r="AX117" t="inlineStr">
        <is>
          <t>41844906</t>
        </is>
      </c>
      <c r="AY117" t="inlineStr">
        <is>
          <t>503253</t>
        </is>
      </c>
      <c r="AZ117" t="inlineStr">
        <is>
          <t>No</t>
        </is>
      </c>
      <c r="BA117" t="inlineStr">
        <is>
          <t>NO PRECISA</t>
        </is>
      </c>
      <c r="BB117" t="n">
        <v>4</v>
      </c>
      <c r="BC117" t="inlineStr">
        <is>
          <t>CANCELADO</t>
        </is>
      </c>
      <c r="BN117" t="inlineStr">
        <is>
          <t>Si</t>
        </is>
      </c>
      <c r="BO117" s="117" t="n">
        <v>45687.61736111111</v>
      </c>
      <c r="BP117" t="inlineStr">
        <is>
          <t>Carla Michue M</t>
        </is>
      </c>
      <c r="BR117" t="n">
        <v>38</v>
      </c>
      <c r="BS117" t="inlineStr">
        <is>
          <t>05/06/2026 10:58</t>
        </is>
      </c>
      <c r="BT117" t="n">
        <v>0</v>
      </c>
      <c r="BX117" t="inlineStr">
        <is>
          <t>Cobranzas_2025.csv</t>
        </is>
      </c>
      <c r="BY117" t="n">
        <v>2025</v>
      </c>
      <c r="BZ117" t="inlineStr">
        <is>
          <t>01/01/2024</t>
        </is>
      </c>
      <c r="CA117" t="inlineStr">
        <is>
          <t>30/09/2031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39" t="n">
        <v>654000</v>
      </c>
      <c r="H118" s="39" t="n">
        <v>654000</v>
      </c>
      <c r="I118" t="inlineStr">
        <is>
          <t>Edificio</t>
        </is>
      </c>
      <c r="J118" t="inlineStr">
        <is>
          <t>A</t>
        </is>
      </c>
      <c r="K118" t="inlineStr">
        <is>
          <t>Estacionamiento</t>
        </is>
      </c>
      <c r="L118" t="inlineStr">
        <is>
          <t>E 06 - D 04</t>
        </is>
      </c>
      <c r="M118" s="39" t="n">
        <v>57500</v>
      </c>
      <c r="N118" s="39" t="n">
        <v>57500</v>
      </c>
      <c r="S118" s="39" t="n"/>
      <c r="T118" s="39" t="n"/>
      <c r="Y118" s="39" t="n"/>
      <c r="Z118" s="39" t="n"/>
      <c r="AA118" t="inlineStr">
        <is>
          <t>David Edgar Valencia Cordova</t>
        </is>
      </c>
      <c r="AB118" t="inlineStr">
        <is>
          <t>41844906</t>
        </is>
      </c>
      <c r="AC118" t="inlineStr">
        <is>
          <t>P. Joven Año Nuevo Jr. Montero Rosas 860</t>
        </is>
      </c>
      <c r="AD118" t="n">
        <v>991846561</v>
      </c>
      <c r="AE118" t="inlineStr">
        <is>
          <t>991846561</t>
        </is>
      </c>
      <c r="AF118" t="inlineStr">
        <is>
          <t>davico29@gmail.com</t>
        </is>
      </c>
      <c r="AG118" t="inlineStr">
        <is>
          <t>LIMA</t>
        </is>
      </c>
      <c r="AH118" t="inlineStr">
        <is>
          <t>COMAS</t>
        </is>
      </c>
      <c r="AI118" s="116" t="n">
        <v>45807</v>
      </c>
      <c r="AJ118" s="116" t="n">
        <v>45799</v>
      </c>
      <c r="AK118" t="inlineStr">
        <is>
          <t>SALDO FINANCIAR</t>
        </is>
      </c>
      <c r="AL118" t="n">
        <v>4</v>
      </c>
      <c r="AM118" t="n">
        <v>34750</v>
      </c>
      <c r="AN118" t="n">
        <v>0</v>
      </c>
      <c r="AO118" t="n">
        <v>0</v>
      </c>
      <c r="AP118" s="39" t="n">
        <v>34750</v>
      </c>
      <c r="AQ118" s="39" t="n">
        <v>34750</v>
      </c>
      <c r="AR118" s="39" t="n">
        <v>0</v>
      </c>
      <c r="AS118" t="n">
        <v>0</v>
      </c>
      <c r="AT118" t="inlineStr">
        <is>
          <t>Crédito Hipotecario</t>
        </is>
      </c>
      <c r="AU118" t="inlineStr">
        <is>
          <t>Scotiabank Perú</t>
        </is>
      </c>
      <c r="AV118" t="inlineStr">
        <is>
          <t>000-2768484</t>
        </is>
      </c>
      <c r="AW118" t="inlineStr">
        <is>
          <t>TRANSFERENCIA BANCARIA</t>
        </is>
      </c>
      <c r="AX118" t="inlineStr">
        <is>
          <t>41844906</t>
        </is>
      </c>
      <c r="AY118" t="inlineStr">
        <is>
          <t>503253</t>
        </is>
      </c>
      <c r="AZ118" t="inlineStr">
        <is>
          <t>No</t>
        </is>
      </c>
      <c r="BA118" t="inlineStr">
        <is>
          <t>NO PRECISA</t>
        </is>
      </c>
      <c r="BB118" t="n">
        <v>4</v>
      </c>
      <c r="BC118" t="inlineStr">
        <is>
          <t>CANCELADO</t>
        </is>
      </c>
      <c r="BN118" t="inlineStr">
        <is>
          <t>Si</t>
        </is>
      </c>
      <c r="BO118" s="117" t="n">
        <v>45687.61736111111</v>
      </c>
      <c r="BP118" t="inlineStr">
        <is>
          <t>Carla Michue M</t>
        </is>
      </c>
      <c r="BR118" t="n">
        <v>38</v>
      </c>
      <c r="BS118" t="inlineStr">
        <is>
          <t>05/06/2026 11:01</t>
        </is>
      </c>
      <c r="BT118" t="n">
        <v>0</v>
      </c>
      <c r="BX118" t="inlineStr">
        <is>
          <t>Cobranzas_2025.csv</t>
        </is>
      </c>
      <c r="BY118" t="n">
        <v>2025</v>
      </c>
      <c r="BZ118" t="inlineStr">
        <is>
          <t>01/01/2024</t>
        </is>
      </c>
      <c r="CA118" t="inlineStr">
        <is>
          <t>30/09/2031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39" t="n">
        <v>654000</v>
      </c>
      <c r="H119" s="39" t="n">
        <v>654000</v>
      </c>
      <c r="I119" t="inlineStr">
        <is>
          <t>Edificio</t>
        </is>
      </c>
      <c r="J119" t="inlineStr">
        <is>
          <t>A</t>
        </is>
      </c>
      <c r="K119" t="inlineStr">
        <is>
          <t>Estacionamiento</t>
        </is>
      </c>
      <c r="L119" t="inlineStr">
        <is>
          <t>E 06 - D 04</t>
        </is>
      </c>
      <c r="M119" s="39" t="n">
        <v>57500</v>
      </c>
      <c r="N119" s="39" t="n">
        <v>57500</v>
      </c>
      <c r="S119" s="39" t="n"/>
      <c r="T119" s="39" t="n"/>
      <c r="Y119" s="39" t="n"/>
      <c r="Z119" s="39" t="n"/>
      <c r="AA119" t="inlineStr">
        <is>
          <t>David Edgar Valencia Cordova</t>
        </is>
      </c>
      <c r="AB119" t="inlineStr">
        <is>
          <t>41844906</t>
        </is>
      </c>
      <c r="AC119" t="inlineStr">
        <is>
          <t>P. Joven Año Nuevo Jr. Montero Rosas 860</t>
        </is>
      </c>
      <c r="AD119" t="n">
        <v>991846561</v>
      </c>
      <c r="AE119" t="inlineStr">
        <is>
          <t>991846561</t>
        </is>
      </c>
      <c r="AF119" t="inlineStr">
        <is>
          <t>davico29@gmail.com</t>
        </is>
      </c>
      <c r="AG119" t="inlineStr">
        <is>
          <t>LIMA</t>
        </is>
      </c>
      <c r="AH119" t="inlineStr">
        <is>
          <t>COMAS</t>
        </is>
      </c>
      <c r="AI119" s="116" t="n">
        <v>45838</v>
      </c>
      <c r="AJ119" s="116" t="n">
        <v>45804</v>
      </c>
      <c r="AK119" t="inlineStr">
        <is>
          <t>SALDO FINANCIAR</t>
        </is>
      </c>
      <c r="AL119" t="n">
        <v>5</v>
      </c>
      <c r="AM119" t="n">
        <v>34750</v>
      </c>
      <c r="AN119" t="n">
        <v>0</v>
      </c>
      <c r="AO119" t="n">
        <v>0</v>
      </c>
      <c r="AP119" s="39" t="n">
        <v>34750</v>
      </c>
      <c r="AQ119" s="39" t="n">
        <v>34750</v>
      </c>
      <c r="AR119" s="39" t="n">
        <v>0</v>
      </c>
      <c r="AS119" t="n">
        <v>0</v>
      </c>
      <c r="AT119" t="inlineStr">
        <is>
          <t>Crédito Hipotecario</t>
        </is>
      </c>
      <c r="AU119" t="inlineStr">
        <is>
          <t>Scotiabank Perú</t>
        </is>
      </c>
      <c r="AV119" t="inlineStr">
        <is>
          <t>000-2768484</t>
        </is>
      </c>
      <c r="AW119" t="inlineStr">
        <is>
          <t>TRANSFERENCIA BANCARIA</t>
        </is>
      </c>
      <c r="AX119" t="inlineStr">
        <is>
          <t>41844906</t>
        </is>
      </c>
      <c r="AZ119" t="inlineStr">
        <is>
          <t>No</t>
        </is>
      </c>
      <c r="BA119" t="inlineStr">
        <is>
          <t>NO PRECISA</t>
        </is>
      </c>
      <c r="BB119" t="n">
        <v>4</v>
      </c>
      <c r="BC119" t="inlineStr">
        <is>
          <t>CANCELADO</t>
        </is>
      </c>
      <c r="BN119" t="inlineStr">
        <is>
          <t>Si</t>
        </is>
      </c>
      <c r="BO119" s="117" t="n">
        <v>45687.61736111111</v>
      </c>
      <c r="BP119" t="inlineStr">
        <is>
          <t>Carla Michue M</t>
        </is>
      </c>
      <c r="BR119" t="n">
        <v>38</v>
      </c>
      <c r="BS119" t="inlineStr">
        <is>
          <t>05/06/2026 11:03</t>
        </is>
      </c>
      <c r="BT119" t="n">
        <v>0</v>
      </c>
      <c r="BX119" t="inlineStr">
        <is>
          <t>Cobranzas_2025.csv</t>
        </is>
      </c>
      <c r="BY119" t="n">
        <v>2025</v>
      </c>
      <c r="BZ119" t="inlineStr">
        <is>
          <t>01/01/2024</t>
        </is>
      </c>
      <c r="CA119" t="inlineStr">
        <is>
          <t>30/09/2031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39" t="n">
        <v>654000</v>
      </c>
      <c r="H120" s="39" t="n">
        <v>654000</v>
      </c>
      <c r="I120" t="inlineStr">
        <is>
          <t>Edificio</t>
        </is>
      </c>
      <c r="J120" t="inlineStr">
        <is>
          <t>A</t>
        </is>
      </c>
      <c r="K120" t="inlineStr">
        <is>
          <t>Estacionamiento</t>
        </is>
      </c>
      <c r="L120" t="inlineStr">
        <is>
          <t>E 06 - D 04</t>
        </is>
      </c>
      <c r="M120" s="39" t="n">
        <v>57500</v>
      </c>
      <c r="N120" s="39" t="n">
        <v>57500</v>
      </c>
      <c r="S120" s="39" t="n"/>
      <c r="T120" s="39" t="n"/>
      <c r="Y120" s="39" t="n"/>
      <c r="Z120" s="39" t="n"/>
      <c r="AA120" t="inlineStr">
        <is>
          <t>David Edgar Valencia Cordova</t>
        </is>
      </c>
      <c r="AB120" t="inlineStr">
        <is>
          <t>41844906</t>
        </is>
      </c>
      <c r="AC120" t="inlineStr">
        <is>
          <t>P. Joven Año Nuevo Jr. Montero Rosas 860</t>
        </is>
      </c>
      <c r="AD120" t="n">
        <v>991846561</v>
      </c>
      <c r="AE120" t="inlineStr">
        <is>
          <t>991846561</t>
        </is>
      </c>
      <c r="AF120" t="inlineStr">
        <is>
          <t>davico29@gmail.com</t>
        </is>
      </c>
      <c r="AG120" t="inlineStr">
        <is>
          <t>LIMA</t>
        </is>
      </c>
      <c r="AH120" t="inlineStr">
        <is>
          <t>COMAS</t>
        </is>
      </c>
      <c r="AI120" s="116" t="n">
        <v>45868</v>
      </c>
      <c r="AJ120" s="116" t="n">
        <v>45862</v>
      </c>
      <c r="AK120" t="inlineStr">
        <is>
          <t>SALDO FINANCIAR</t>
        </is>
      </c>
      <c r="AL120" t="n">
        <v>6</v>
      </c>
      <c r="AM120" t="n">
        <v>34750</v>
      </c>
      <c r="AN120" t="n">
        <v>0</v>
      </c>
      <c r="AO120" t="n">
        <v>0</v>
      </c>
      <c r="AP120" s="39" t="n">
        <v>34750</v>
      </c>
      <c r="AQ120" s="39" t="n">
        <v>34750</v>
      </c>
      <c r="AR120" s="39" t="n">
        <v>0</v>
      </c>
      <c r="AS120" t="n">
        <v>0</v>
      </c>
      <c r="AT120" t="inlineStr">
        <is>
          <t>Crédito Hipotecario</t>
        </is>
      </c>
      <c r="AU120" t="inlineStr">
        <is>
          <t>Scotiabank Perú</t>
        </is>
      </c>
      <c r="AV120" t="inlineStr">
        <is>
          <t>000-2768484</t>
        </is>
      </c>
      <c r="AW120" t="inlineStr">
        <is>
          <t>TRANSFERENCIA BANCARIA</t>
        </is>
      </c>
      <c r="AY120" t="inlineStr">
        <is>
          <t>U26325</t>
        </is>
      </c>
      <c r="AZ120" t="inlineStr">
        <is>
          <t>No</t>
        </is>
      </c>
      <c r="BB120" t="n">
        <v>4</v>
      </c>
      <c r="BC120" t="inlineStr">
        <is>
          <t>CANCELADO</t>
        </is>
      </c>
      <c r="BN120" t="inlineStr">
        <is>
          <t>Si</t>
        </is>
      </c>
      <c r="BO120" s="117" t="n">
        <v>45687.61736111111</v>
      </c>
      <c r="BP120" t="inlineStr">
        <is>
          <t>Carla Michue M</t>
        </is>
      </c>
      <c r="BR120" t="n">
        <v>38</v>
      </c>
      <c r="BS120" t="inlineStr">
        <is>
          <t>07/07/2026 11:48</t>
        </is>
      </c>
      <c r="BT120" t="n">
        <v>0</v>
      </c>
      <c r="BX120" t="inlineStr">
        <is>
          <t>Cobranzas_2025.csv</t>
        </is>
      </c>
      <c r="BY120" t="n">
        <v>2025</v>
      </c>
      <c r="BZ120" t="inlineStr">
        <is>
          <t>01/01/2024</t>
        </is>
      </c>
      <c r="CA120" t="inlineStr">
        <is>
          <t>30/09/2031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39" t="n">
        <v>654000</v>
      </c>
      <c r="H121" s="39" t="n">
        <v>654000</v>
      </c>
      <c r="I121" t="inlineStr">
        <is>
          <t>Edificio</t>
        </is>
      </c>
      <c r="J121" t="inlineStr">
        <is>
          <t>A</t>
        </is>
      </c>
      <c r="K121" t="inlineStr">
        <is>
          <t>Estacionamiento</t>
        </is>
      </c>
      <c r="L121" t="inlineStr">
        <is>
          <t>E 06 - D 04</t>
        </is>
      </c>
      <c r="M121" s="39" t="n">
        <v>57500</v>
      </c>
      <c r="N121" s="39" t="n">
        <v>57500</v>
      </c>
      <c r="S121" s="39" t="n"/>
      <c r="T121" s="39" t="n"/>
      <c r="Y121" s="39" t="n"/>
      <c r="Z121" s="39" t="n"/>
      <c r="AA121" t="inlineStr">
        <is>
          <t>David Edgar Valencia Cordova</t>
        </is>
      </c>
      <c r="AB121" t="inlineStr">
        <is>
          <t>41844906</t>
        </is>
      </c>
      <c r="AC121" t="inlineStr">
        <is>
          <t>P. Joven Año Nuevo Jr. Montero Rosas 860</t>
        </is>
      </c>
      <c r="AD121" t="n">
        <v>991846561</v>
      </c>
      <c r="AE121" t="inlineStr">
        <is>
          <t>991846561</t>
        </is>
      </c>
      <c r="AF121" t="inlineStr">
        <is>
          <t>davico29@gmail.com</t>
        </is>
      </c>
      <c r="AG121" t="inlineStr">
        <is>
          <t>LIMA</t>
        </is>
      </c>
      <c r="AH121" t="inlineStr">
        <is>
          <t>COMAS</t>
        </is>
      </c>
      <c r="AI121" s="116" t="n">
        <v>45899</v>
      </c>
      <c r="AJ121" s="116" t="n">
        <v>45895</v>
      </c>
      <c r="AK121" t="inlineStr">
        <is>
          <t>SALDO FINANCIAR</t>
        </is>
      </c>
      <c r="AL121" t="n">
        <v>7</v>
      </c>
      <c r="AM121" t="n">
        <v>34750</v>
      </c>
      <c r="AN121" t="n">
        <v>0</v>
      </c>
      <c r="AO121" t="n">
        <v>0</v>
      </c>
      <c r="AP121" s="39" t="n">
        <v>34750</v>
      </c>
      <c r="AQ121" s="39" t="n">
        <v>34750</v>
      </c>
      <c r="AR121" s="39" t="n">
        <v>0</v>
      </c>
      <c r="AS121" t="n">
        <v>0</v>
      </c>
      <c r="AT121" t="inlineStr">
        <is>
          <t>Crédito Hipotecario</t>
        </is>
      </c>
      <c r="AU121" t="inlineStr">
        <is>
          <t>Scotiabank Perú</t>
        </is>
      </c>
      <c r="AV121" t="inlineStr">
        <is>
          <t>000-2768484</t>
        </is>
      </c>
      <c r="AW121" t="inlineStr">
        <is>
          <t>TRANSFERENCIA BANCARIA</t>
        </is>
      </c>
      <c r="AY121" t="inlineStr">
        <is>
          <t>U27621</t>
        </is>
      </c>
      <c r="AZ121" t="inlineStr">
        <is>
          <t>No</t>
        </is>
      </c>
      <c r="BB121" t="n">
        <v>4</v>
      </c>
      <c r="BC121" t="inlineStr">
        <is>
          <t>CANCELADO</t>
        </is>
      </c>
      <c r="BN121" t="inlineStr">
        <is>
          <t>Si</t>
        </is>
      </c>
      <c r="BO121" s="117" t="n">
        <v>45687.61736111111</v>
      </c>
      <c r="BP121" t="inlineStr">
        <is>
          <t>Carla Michue M</t>
        </is>
      </c>
      <c r="BR121" t="n">
        <v>38</v>
      </c>
      <c r="BS121" t="inlineStr">
        <is>
          <t>07/07/2026 11:49</t>
        </is>
      </c>
      <c r="BT121" t="n">
        <v>0</v>
      </c>
      <c r="BX121" t="inlineStr">
        <is>
          <t>Cobranzas_2025.csv</t>
        </is>
      </c>
      <c r="BY121" t="n">
        <v>2025</v>
      </c>
      <c r="BZ121" t="inlineStr">
        <is>
          <t>01/01/2024</t>
        </is>
      </c>
      <c r="CA121" t="inlineStr">
        <is>
          <t>30/09/2031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39" t="n">
        <v>654000</v>
      </c>
      <c r="H122" s="39" t="n">
        <v>654000</v>
      </c>
      <c r="I122" t="inlineStr">
        <is>
          <t>Edificio</t>
        </is>
      </c>
      <c r="J122" t="inlineStr">
        <is>
          <t>A</t>
        </is>
      </c>
      <c r="K122" t="inlineStr">
        <is>
          <t>Estacionamiento</t>
        </is>
      </c>
      <c r="L122" t="inlineStr">
        <is>
          <t>E 06 - D 04</t>
        </is>
      </c>
      <c r="M122" s="39" t="n">
        <v>57500</v>
      </c>
      <c r="N122" s="39" t="n">
        <v>57500</v>
      </c>
      <c r="S122" s="39" t="n"/>
      <c r="T122" s="39" t="n"/>
      <c r="Y122" s="39" t="n"/>
      <c r="Z122" s="39" t="n"/>
      <c r="AA122" t="inlineStr">
        <is>
          <t>David Edgar Valencia Cordova</t>
        </is>
      </c>
      <c r="AB122" t="inlineStr">
        <is>
          <t>41844906</t>
        </is>
      </c>
      <c r="AC122" t="inlineStr">
        <is>
          <t>P. Joven Año Nuevo Jr. Montero Rosas 860</t>
        </is>
      </c>
      <c r="AD122" t="n">
        <v>991846561</v>
      </c>
      <c r="AE122" t="inlineStr">
        <is>
          <t>991846561</t>
        </is>
      </c>
      <c r="AF122" t="inlineStr">
        <is>
          <t>davico29@gmail.com</t>
        </is>
      </c>
      <c r="AG122" t="inlineStr">
        <is>
          <t>LIMA</t>
        </is>
      </c>
      <c r="AH122" t="inlineStr">
        <is>
          <t>COMAS</t>
        </is>
      </c>
      <c r="AI122" s="116" t="n">
        <v>45930</v>
      </c>
      <c r="AJ122" s="116" t="n">
        <v>45930</v>
      </c>
      <c r="AK122" t="inlineStr">
        <is>
          <t>SALDO FINANCIAR</t>
        </is>
      </c>
      <c r="AL122" t="n">
        <v>8</v>
      </c>
      <c r="AM122" t="n">
        <v>34750</v>
      </c>
      <c r="AN122" t="n">
        <v>0</v>
      </c>
      <c r="AO122" t="n">
        <v>0</v>
      </c>
      <c r="AP122" s="39" t="n">
        <v>34750</v>
      </c>
      <c r="AQ122" s="39" t="n">
        <v>34750</v>
      </c>
      <c r="AR122" s="39" t="n">
        <v>0</v>
      </c>
      <c r="AS122" t="n">
        <v>0</v>
      </c>
      <c r="AT122" t="inlineStr">
        <is>
          <t>Crédito Hipotecario</t>
        </is>
      </c>
      <c r="AU122" t="inlineStr">
        <is>
          <t>Scotiabank Perú</t>
        </is>
      </c>
      <c r="AV122" t="inlineStr">
        <is>
          <t>000-2768484</t>
        </is>
      </c>
      <c r="AW122" t="inlineStr">
        <is>
          <t>TRANSFERENCIA BANCARIA</t>
        </is>
      </c>
      <c r="AX122" t="inlineStr">
        <is>
          <t>41844906</t>
        </is>
      </c>
      <c r="AY122" t="inlineStr">
        <is>
          <t>503251</t>
        </is>
      </c>
      <c r="AZ122" t="inlineStr">
        <is>
          <t>No</t>
        </is>
      </c>
      <c r="BA122" t="inlineStr">
        <is>
          <t>NO PRECISA</t>
        </is>
      </c>
      <c r="BB122" t="n">
        <v>4</v>
      </c>
      <c r="BC122" t="inlineStr">
        <is>
          <t>CANCELADO</t>
        </is>
      </c>
      <c r="BN122" t="inlineStr">
        <is>
          <t>Si</t>
        </is>
      </c>
      <c r="BO122" s="117" t="n">
        <v>45687.61736111111</v>
      </c>
      <c r="BP122" t="inlineStr">
        <is>
          <t>Carla Michue M</t>
        </is>
      </c>
      <c r="BR122" t="n">
        <v>38</v>
      </c>
      <c r="BS122" t="inlineStr">
        <is>
          <t>05/06/2026 11:05</t>
        </is>
      </c>
      <c r="BT122" t="n">
        <v>0</v>
      </c>
      <c r="BX122" t="inlineStr">
        <is>
          <t>Cobranzas_2025.csv</t>
        </is>
      </c>
      <c r="BY122" t="n">
        <v>2025</v>
      </c>
      <c r="BZ122" t="inlineStr">
        <is>
          <t>01/01/2024</t>
        </is>
      </c>
      <c r="CA122" t="inlineStr">
        <is>
          <t>30/09/2031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39" t="n">
        <v>654000</v>
      </c>
      <c r="H123" s="39" t="n">
        <v>654000</v>
      </c>
      <c r="I123" t="inlineStr">
        <is>
          <t>Edificio</t>
        </is>
      </c>
      <c r="J123" t="inlineStr">
        <is>
          <t>A</t>
        </is>
      </c>
      <c r="K123" t="inlineStr">
        <is>
          <t>Estacionamiento</t>
        </is>
      </c>
      <c r="L123" t="inlineStr">
        <is>
          <t>E 06 - D 04</t>
        </is>
      </c>
      <c r="M123" s="39" t="n">
        <v>57500</v>
      </c>
      <c r="N123" s="39" t="n">
        <v>57500</v>
      </c>
      <c r="S123" s="39" t="n"/>
      <c r="T123" s="39" t="n"/>
      <c r="Y123" s="39" t="n"/>
      <c r="Z123" s="39" t="n"/>
      <c r="AA123" t="inlineStr">
        <is>
          <t>David Edgar Valencia Cordova</t>
        </is>
      </c>
      <c r="AB123" t="inlineStr">
        <is>
          <t>41844906</t>
        </is>
      </c>
      <c r="AC123" t="inlineStr">
        <is>
          <t>P. Joven Año Nuevo Jr. Montero Rosas 860</t>
        </is>
      </c>
      <c r="AD123" t="n">
        <v>991846561</v>
      </c>
      <c r="AE123" t="inlineStr">
        <is>
          <t>991846561</t>
        </is>
      </c>
      <c r="AF123" t="inlineStr">
        <is>
          <t>davico29@gmail.com</t>
        </is>
      </c>
      <c r="AG123" t="inlineStr">
        <is>
          <t>LIMA</t>
        </is>
      </c>
      <c r="AH123" t="inlineStr">
        <is>
          <t>COMAS</t>
        </is>
      </c>
      <c r="AI123" s="116" t="n">
        <v>45960</v>
      </c>
      <c r="AJ123" s="116" t="n">
        <v>45959</v>
      </c>
      <c r="AK123" t="inlineStr">
        <is>
          <t>SALDO FINANCIAR</t>
        </is>
      </c>
      <c r="AL123" t="n">
        <v>9</v>
      </c>
      <c r="AM123" t="n">
        <v>34750</v>
      </c>
      <c r="AN123" t="n">
        <v>0</v>
      </c>
      <c r="AO123" t="n">
        <v>0</v>
      </c>
      <c r="AP123" s="39" t="n">
        <v>34750</v>
      </c>
      <c r="AQ123" s="39" t="n">
        <v>34750</v>
      </c>
      <c r="AR123" s="39" t="n">
        <v>0</v>
      </c>
      <c r="AS123" t="n">
        <v>0</v>
      </c>
      <c r="AT123" t="inlineStr">
        <is>
          <t>Crédito Hipotecario</t>
        </is>
      </c>
      <c r="AU123" t="inlineStr">
        <is>
          <t>Scotiabank Perú</t>
        </is>
      </c>
      <c r="AV123" t="inlineStr">
        <is>
          <t>000-2768484</t>
        </is>
      </c>
      <c r="AW123" t="inlineStr">
        <is>
          <t>TRANSFERENCIA BANCARIA</t>
        </is>
      </c>
      <c r="AX123" t="inlineStr">
        <is>
          <t>41844906</t>
        </is>
      </c>
      <c r="AY123" t="inlineStr">
        <is>
          <t>0500010053</t>
        </is>
      </c>
      <c r="AZ123" t="inlineStr">
        <is>
          <t>No</t>
        </is>
      </c>
      <c r="BA123" t="inlineStr">
        <is>
          <t>NO PRECISA</t>
        </is>
      </c>
      <c r="BB123" t="n">
        <v>4</v>
      </c>
      <c r="BC123" t="inlineStr">
        <is>
          <t>CANCELADO</t>
        </is>
      </c>
      <c r="BN123" t="inlineStr">
        <is>
          <t>Si</t>
        </is>
      </c>
      <c r="BO123" s="117" t="n">
        <v>45687.61736111111</v>
      </c>
      <c r="BP123" t="inlineStr">
        <is>
          <t>Carla Michue M</t>
        </is>
      </c>
      <c r="BR123" t="n">
        <v>38</v>
      </c>
      <c r="BS123" t="inlineStr">
        <is>
          <t>05/06/2026 11:09</t>
        </is>
      </c>
      <c r="BT123" t="n">
        <v>0</v>
      </c>
      <c r="BX123" t="inlineStr">
        <is>
          <t>Cobranzas_2025.csv</t>
        </is>
      </c>
      <c r="BY123" t="n">
        <v>2025</v>
      </c>
      <c r="BZ123" t="inlineStr">
        <is>
          <t>01/01/2024</t>
        </is>
      </c>
      <c r="CA123" t="inlineStr">
        <is>
          <t>30/09/2031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39" t="n">
        <v>654000</v>
      </c>
      <c r="H124" s="39" t="n">
        <v>654000</v>
      </c>
      <c r="I124" t="inlineStr">
        <is>
          <t>Edificio</t>
        </is>
      </c>
      <c r="J124" t="inlineStr">
        <is>
          <t>A</t>
        </is>
      </c>
      <c r="K124" t="inlineStr">
        <is>
          <t>Estacionamiento</t>
        </is>
      </c>
      <c r="L124" t="inlineStr">
        <is>
          <t>E 06 - D 04</t>
        </is>
      </c>
      <c r="M124" s="39" t="n">
        <v>57500</v>
      </c>
      <c r="N124" s="39" t="n">
        <v>57500</v>
      </c>
      <c r="S124" s="39" t="n"/>
      <c r="T124" s="39" t="n"/>
      <c r="Y124" s="39" t="n"/>
      <c r="Z124" s="39" t="n"/>
      <c r="AA124" t="inlineStr">
        <is>
          <t>David Edgar Valencia Cordova</t>
        </is>
      </c>
      <c r="AB124" t="inlineStr">
        <is>
          <t>41844906</t>
        </is>
      </c>
      <c r="AC124" t="inlineStr">
        <is>
          <t>P. Joven Año Nuevo Jr. Montero Rosas 860</t>
        </is>
      </c>
      <c r="AD124" t="n">
        <v>991846561</v>
      </c>
      <c r="AE124" t="inlineStr">
        <is>
          <t>991846561</t>
        </is>
      </c>
      <c r="AF124" t="inlineStr">
        <is>
          <t>davico29@gmail.com</t>
        </is>
      </c>
      <c r="AG124" t="inlineStr">
        <is>
          <t>LIMA</t>
        </is>
      </c>
      <c r="AH124" t="inlineStr">
        <is>
          <t>COMAS</t>
        </is>
      </c>
      <c r="AI124" s="116" t="n">
        <v>45991</v>
      </c>
      <c r="AJ124" s="116" t="n">
        <v>45988</v>
      </c>
      <c r="AK124" t="inlineStr">
        <is>
          <t>SALDO FINANCIAR</t>
        </is>
      </c>
      <c r="AL124" t="n">
        <v>10</v>
      </c>
      <c r="AM124" t="n">
        <v>34750</v>
      </c>
      <c r="AN124" t="n">
        <v>0</v>
      </c>
      <c r="AO124" t="n">
        <v>0</v>
      </c>
      <c r="AP124" s="39" t="n">
        <v>34750</v>
      </c>
      <c r="AQ124" s="39" t="n">
        <v>34750</v>
      </c>
      <c r="AR124" s="39" t="n">
        <v>0</v>
      </c>
      <c r="AS124" t="n">
        <v>0</v>
      </c>
      <c r="AT124" t="inlineStr">
        <is>
          <t>Crédito Hipotecario</t>
        </is>
      </c>
      <c r="AU124" t="inlineStr">
        <is>
          <t>Scotiabank Perú</t>
        </is>
      </c>
      <c r="AV124" t="inlineStr">
        <is>
          <t>000-2768484</t>
        </is>
      </c>
      <c r="AW124" t="inlineStr">
        <is>
          <t>TRANSFERENCIA BANCARIA</t>
        </is>
      </c>
      <c r="AX124" t="inlineStr">
        <is>
          <t>41844906</t>
        </is>
      </c>
      <c r="AY124" t="inlineStr">
        <is>
          <t>50325</t>
        </is>
      </c>
      <c r="AZ124" t="inlineStr">
        <is>
          <t>No</t>
        </is>
      </c>
      <c r="BA124" t="inlineStr">
        <is>
          <t>NO PRECISA</t>
        </is>
      </c>
      <c r="BB124" t="n">
        <v>4</v>
      </c>
      <c r="BC124" t="inlineStr">
        <is>
          <t>CANCELADO</t>
        </is>
      </c>
      <c r="BN124" t="inlineStr">
        <is>
          <t>Si</t>
        </is>
      </c>
      <c r="BO124" s="117" t="n">
        <v>45687.61736111111</v>
      </c>
      <c r="BP124" t="inlineStr">
        <is>
          <t>Carla Michue M</t>
        </is>
      </c>
      <c r="BR124" t="n">
        <v>38</v>
      </c>
      <c r="BS124" t="inlineStr">
        <is>
          <t>05/06/2026 11:11</t>
        </is>
      </c>
      <c r="BT124" t="n">
        <v>0</v>
      </c>
      <c r="BX124" t="inlineStr">
        <is>
          <t>Cobranzas_2025.csv</t>
        </is>
      </c>
      <c r="BY124" t="n">
        <v>2025</v>
      </c>
      <c r="BZ124" t="inlineStr">
        <is>
          <t>01/01/2024</t>
        </is>
      </c>
      <c r="CA124" t="inlineStr">
        <is>
          <t>30/09/2031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39" t="n">
        <v>654000</v>
      </c>
      <c r="H125" s="39" t="n">
        <v>654000</v>
      </c>
      <c r="I125" t="inlineStr">
        <is>
          <t>Edificio</t>
        </is>
      </c>
      <c r="J125" t="inlineStr">
        <is>
          <t>A</t>
        </is>
      </c>
      <c r="K125" t="inlineStr">
        <is>
          <t>Estacionamiento</t>
        </is>
      </c>
      <c r="L125" t="inlineStr">
        <is>
          <t>E 06 - D 04</t>
        </is>
      </c>
      <c r="M125" s="39" t="n">
        <v>57500</v>
      </c>
      <c r="N125" s="39" t="n">
        <v>57500</v>
      </c>
      <c r="S125" s="39" t="n"/>
      <c r="T125" s="39" t="n"/>
      <c r="Y125" s="39" t="n"/>
      <c r="Z125" s="39" t="n"/>
      <c r="AA125" t="inlineStr">
        <is>
          <t>David Edgar Valencia Cordova</t>
        </is>
      </c>
      <c r="AB125" t="inlineStr">
        <is>
          <t>41844906</t>
        </is>
      </c>
      <c r="AC125" t="inlineStr">
        <is>
          <t>P. Joven Año Nuevo Jr. Montero Rosas 860</t>
        </is>
      </c>
      <c r="AD125" t="n">
        <v>991846561</v>
      </c>
      <c r="AE125" t="inlineStr">
        <is>
          <t>991846561</t>
        </is>
      </c>
      <c r="AF125" t="inlineStr">
        <is>
          <t>davico29@gmail.com</t>
        </is>
      </c>
      <c r="AG125" t="inlineStr">
        <is>
          <t>LIMA</t>
        </is>
      </c>
      <c r="AH125" t="inlineStr">
        <is>
          <t>COMAS</t>
        </is>
      </c>
      <c r="AI125" s="116" t="n">
        <v>46021</v>
      </c>
      <c r="AJ125" s="116" t="n">
        <v>46017</v>
      </c>
      <c r="AK125" t="inlineStr">
        <is>
          <t>SALDO FINANCIAR</t>
        </is>
      </c>
      <c r="AL125" t="n">
        <v>11</v>
      </c>
      <c r="AM125" t="n">
        <v>34750</v>
      </c>
      <c r="AN125" t="n">
        <v>0</v>
      </c>
      <c r="AO125" t="n">
        <v>0</v>
      </c>
      <c r="AP125" s="39" t="n">
        <v>34750</v>
      </c>
      <c r="AQ125" s="39" t="n">
        <v>34750</v>
      </c>
      <c r="AR125" s="39" t="n">
        <v>0</v>
      </c>
      <c r="AS125" t="n">
        <v>0</v>
      </c>
      <c r="AT125" t="inlineStr">
        <is>
          <t>Crédito Hipotecario</t>
        </is>
      </c>
      <c r="AU125" t="inlineStr">
        <is>
          <t>Scotiabank Perú</t>
        </is>
      </c>
      <c r="AV125" t="inlineStr">
        <is>
          <t>000-2768484</t>
        </is>
      </c>
      <c r="AW125" t="inlineStr">
        <is>
          <t>TRANSFERENCIA BANCARIA</t>
        </is>
      </c>
      <c r="AX125" t="inlineStr">
        <is>
          <t>41844906</t>
        </is>
      </c>
      <c r="AY125" t="inlineStr">
        <is>
          <t>503253</t>
        </is>
      </c>
      <c r="AZ125" t="inlineStr">
        <is>
          <t>No</t>
        </is>
      </c>
      <c r="BA125" t="inlineStr">
        <is>
          <t>NO PRECISA</t>
        </is>
      </c>
      <c r="BB125" t="n">
        <v>4</v>
      </c>
      <c r="BC125" t="inlineStr">
        <is>
          <t>CANCELADO</t>
        </is>
      </c>
      <c r="BN125" t="inlineStr">
        <is>
          <t>Si</t>
        </is>
      </c>
      <c r="BO125" s="117" t="n">
        <v>45687.61736111111</v>
      </c>
      <c r="BP125" t="inlineStr">
        <is>
          <t>Carla Michue M</t>
        </is>
      </c>
      <c r="BR125" t="n">
        <v>38</v>
      </c>
      <c r="BS125" t="inlineStr">
        <is>
          <t>05/06/2026 11:14</t>
        </is>
      </c>
      <c r="BT125" t="n">
        <v>0</v>
      </c>
      <c r="BX125" t="inlineStr">
        <is>
          <t>Cobranzas_2025.csv</t>
        </is>
      </c>
      <c r="BY125" t="n">
        <v>2025</v>
      </c>
      <c r="BZ125" t="inlineStr">
        <is>
          <t>01/01/2024</t>
        </is>
      </c>
      <c r="CA125" t="inlineStr">
        <is>
          <t>30/09/2031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Estacionamiento</t>
        </is>
      </c>
      <c r="F126" t="inlineStr">
        <is>
          <t>E 20 - D 15</t>
        </is>
      </c>
      <c r="G126" s="39" t="n">
        <v>59300</v>
      </c>
      <c r="H126" s="39" t="n">
        <v>59300</v>
      </c>
      <c r="M126" s="39" t="n"/>
      <c r="N126" s="39" t="n"/>
      <c r="S126" s="39" t="n"/>
      <c r="T126" s="39" t="n"/>
      <c r="Y126" s="39" t="n"/>
      <c r="Z126" s="39" t="n"/>
      <c r="AA126" t="inlineStr">
        <is>
          <t>David Edgar Valencia Cordova</t>
        </is>
      </c>
      <c r="AB126" t="inlineStr">
        <is>
          <t>41844906</t>
        </is>
      </c>
      <c r="AC126" t="inlineStr">
        <is>
          <t xml:space="preserve">Jr. Casma 208 dpto. 301 </t>
        </is>
      </c>
      <c r="AD126" t="n">
        <v>0</v>
      </c>
      <c r="AE126" t="inlineStr">
        <is>
          <t>991846561</t>
        </is>
      </c>
      <c r="AF126" t="inlineStr">
        <is>
          <t>davico29@gmail.com</t>
        </is>
      </c>
      <c r="AG126" t="inlineStr">
        <is>
          <t>LIMA</t>
        </is>
      </c>
      <c r="AH126" t="inlineStr">
        <is>
          <t>LOS OLIVOS</t>
        </is>
      </c>
      <c r="AI126" s="116" t="n">
        <v>45845</v>
      </c>
      <c r="AJ126" s="116" t="n">
        <v>45845</v>
      </c>
      <c r="AK126" t="inlineStr">
        <is>
          <t>SEPARACION</t>
        </is>
      </c>
      <c r="AL126" t="n">
        <v>1</v>
      </c>
      <c r="AM126" t="n">
        <v>10300</v>
      </c>
      <c r="AN126" t="n">
        <v>0</v>
      </c>
      <c r="AO126" t="n">
        <v>0</v>
      </c>
      <c r="AP126" s="39" t="n">
        <v>10300</v>
      </c>
      <c r="AQ126" s="39" t="n">
        <v>10300</v>
      </c>
      <c r="AR126" s="39" t="n">
        <v>0</v>
      </c>
      <c r="AS126" t="n">
        <v>0</v>
      </c>
      <c r="AT126" t="inlineStr">
        <is>
          <t>Crédito Directo</t>
        </is>
      </c>
      <c r="AU126" t="inlineStr">
        <is>
          <t>Scotiabank Perú</t>
        </is>
      </c>
      <c r="AV126" t="inlineStr">
        <is>
          <t>000-2768484</t>
        </is>
      </c>
      <c r="AW126" t="inlineStr">
        <is>
          <t>TRANSFERENCIA BANCARIA</t>
        </is>
      </c>
      <c r="AY126" t="inlineStr">
        <is>
          <t>7844655513721</t>
        </is>
      </c>
      <c r="AZ126" t="inlineStr">
        <is>
          <t>Si</t>
        </is>
      </c>
      <c r="BB126" t="n">
        <v>4</v>
      </c>
      <c r="BC126" t="inlineStr">
        <is>
          <t>CANCELADO</t>
        </is>
      </c>
      <c r="BN126" t="inlineStr">
        <is>
          <t>Si</t>
        </is>
      </c>
      <c r="BO126" s="117" t="n">
        <v>46286.82222222222</v>
      </c>
      <c r="BP126" t="inlineStr">
        <is>
          <t>Magaly Guevara Perez</t>
        </is>
      </c>
      <c r="BR126" t="n">
        <v>66</v>
      </c>
      <c r="BS126" t="inlineStr">
        <is>
          <t>24/08/2026 11:21</t>
        </is>
      </c>
      <c r="BT126" t="n">
        <v>0</v>
      </c>
      <c r="BX126" t="inlineStr">
        <is>
          <t>Cobranzas_2025.csv</t>
        </is>
      </c>
      <c r="BY126" t="n">
        <v>2025</v>
      </c>
      <c r="BZ126" t="inlineStr">
        <is>
          <t>01/01/2024</t>
        </is>
      </c>
      <c r="CA126" t="inlineStr">
        <is>
          <t>30/09/2031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801</t>
        </is>
      </c>
      <c r="G127" s="39" t="n">
        <v>630000</v>
      </c>
      <c r="H127" s="39" t="n">
        <v>630000</v>
      </c>
      <c r="M127" s="39" t="n"/>
      <c r="N127" s="39" t="n"/>
      <c r="S127" s="39" t="n"/>
      <c r="T127" s="39" t="n"/>
      <c r="Y127" s="39" t="n"/>
      <c r="Z127" s="39" t="n"/>
      <c r="AA127" t="inlineStr">
        <is>
          <t>Denisse Estela Linares Suarez</t>
        </is>
      </c>
      <c r="AB127" t="inlineStr">
        <is>
          <t>44457800</t>
        </is>
      </c>
      <c r="AC127" t="inlineStr">
        <is>
          <t>Jr. Zorritos 1399 – Block 37 Dpto. 201 - Cercado Lima</t>
        </is>
      </c>
      <c r="AD127" t="n">
        <v>991810339</v>
      </c>
      <c r="AE127" t="inlineStr">
        <is>
          <t>991810339</t>
        </is>
      </c>
      <c r="AF127" t="inlineStr">
        <is>
          <t>dlinaressuarez@gmail.com</t>
        </is>
      </c>
      <c r="AG127" t="inlineStr">
        <is>
          <t>LIMA</t>
        </is>
      </c>
      <c r="AH127" t="inlineStr">
        <is>
          <t>CERCADO DE LIMA</t>
        </is>
      </c>
      <c r="AI127" s="116" t="n">
        <v>45829</v>
      </c>
      <c r="AJ127" s="116" t="n">
        <v>45829</v>
      </c>
      <c r="AK127" t="inlineStr">
        <is>
          <t>SEPARACION</t>
        </is>
      </c>
      <c r="AL127" t="n">
        <v>1</v>
      </c>
      <c r="AM127" t="n">
        <v>3000</v>
      </c>
      <c r="AN127" t="n">
        <v>0</v>
      </c>
      <c r="AO127" t="n">
        <v>0</v>
      </c>
      <c r="AP127" s="39" t="n">
        <v>3000</v>
      </c>
      <c r="AQ127" s="39" t="n">
        <v>3000</v>
      </c>
      <c r="AR127" s="39" t="n">
        <v>0</v>
      </c>
      <c r="AS127" t="n">
        <v>0</v>
      </c>
      <c r="AT127" t="inlineStr">
        <is>
          <t>Ahorro</t>
        </is>
      </c>
      <c r="AU127" t="inlineStr">
        <is>
          <t>Scotiabank Perú</t>
        </is>
      </c>
      <c r="AV127" t="inlineStr">
        <is>
          <t>000-2768484</t>
        </is>
      </c>
      <c r="AW127" t="inlineStr">
        <is>
          <t>TRANSFERENCIA BANCARIA</t>
        </is>
      </c>
      <c r="AY127" t="inlineStr">
        <is>
          <t>00002657000000000</t>
        </is>
      </c>
      <c r="AZ127" t="inlineStr">
        <is>
          <t>No</t>
        </is>
      </c>
      <c r="BB127" t="n">
        <v>4</v>
      </c>
      <c r="BC127" t="inlineStr">
        <is>
          <t>CANCELADO</t>
        </is>
      </c>
      <c r="BN127" t="inlineStr">
        <is>
          <t>Si</t>
        </is>
      </c>
      <c r="BO127" s="117" t="n">
        <v>45880.51319444444</v>
      </c>
      <c r="BP127" t="inlineStr">
        <is>
          <t>Kenny Salazar S</t>
        </is>
      </c>
      <c r="BR127" t="n">
        <v>44</v>
      </c>
      <c r="BS127" t="inlineStr">
        <is>
          <t>03/06/2026 08:53</t>
        </is>
      </c>
      <c r="BT127" t="n">
        <v>0</v>
      </c>
      <c r="BX127" t="inlineStr">
        <is>
          <t>Cobranzas_2025.csv</t>
        </is>
      </c>
      <c r="BY127" t="n">
        <v>2025</v>
      </c>
      <c r="BZ127" t="inlineStr">
        <is>
          <t>01/01/2024</t>
        </is>
      </c>
      <c r="CA127" t="inlineStr">
        <is>
          <t>30/09/2031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39" t="n">
        <v>630000</v>
      </c>
      <c r="H128" s="39" t="n">
        <v>630000</v>
      </c>
      <c r="M128" s="39" t="n"/>
      <c r="N128" s="39" t="n"/>
      <c r="S128" s="39" t="n"/>
      <c r="T128" s="39" t="n"/>
      <c r="Y128" s="39" t="n"/>
      <c r="Z128" s="39" t="n"/>
      <c r="AA128" t="inlineStr">
        <is>
          <t>Denisse Estela Linares Suarez</t>
        </is>
      </c>
      <c r="AB128" t="inlineStr">
        <is>
          <t>44457800</t>
        </is>
      </c>
      <c r="AC128" t="inlineStr">
        <is>
          <t>Jr. Zorritos 1399 – Block 37 Dpto. 201 - Cercado Lima</t>
        </is>
      </c>
      <c r="AD128" t="n">
        <v>991810339</v>
      </c>
      <c r="AE128" t="inlineStr">
        <is>
          <t>991810339</t>
        </is>
      </c>
      <c r="AF128" t="inlineStr">
        <is>
          <t>dlinaressuarez@gmail.com</t>
        </is>
      </c>
      <c r="AG128" t="inlineStr">
        <is>
          <t>LIMA</t>
        </is>
      </c>
      <c r="AH128" t="inlineStr">
        <is>
          <t>CERCADO DE LIMA</t>
        </is>
      </c>
      <c r="AI128" s="116" t="n">
        <v>45880</v>
      </c>
      <c r="AJ128" s="116" t="n">
        <v>45880</v>
      </c>
      <c r="AK128" t="inlineStr">
        <is>
          <t>CUOTA INICIAL</t>
        </is>
      </c>
      <c r="AL128" t="n">
        <v>1</v>
      </c>
      <c r="AM128" t="n">
        <v>50000</v>
      </c>
      <c r="AN128" t="n">
        <v>0</v>
      </c>
      <c r="AO128" t="n">
        <v>0</v>
      </c>
      <c r="AP128" s="39" t="n">
        <v>50000</v>
      </c>
      <c r="AQ128" s="39" t="n">
        <v>50000</v>
      </c>
      <c r="AR128" s="39" t="n">
        <v>0</v>
      </c>
      <c r="AS128" t="n">
        <v>0</v>
      </c>
      <c r="AT128" t="inlineStr">
        <is>
          <t>Ahorro</t>
        </is>
      </c>
      <c r="AU128" t="inlineStr">
        <is>
          <t>Scotiabank Perú</t>
        </is>
      </c>
      <c r="AV128" t="inlineStr">
        <is>
          <t>000-2768484</t>
        </is>
      </c>
      <c r="AW128" t="inlineStr">
        <is>
          <t>TRANSFERENCIA BANCARIA</t>
        </is>
      </c>
      <c r="AX128" t="inlineStr">
        <is>
          <t>44457800</t>
        </is>
      </c>
      <c r="AY128" t="inlineStr">
        <is>
          <t>6300922660</t>
        </is>
      </c>
      <c r="AZ128" t="inlineStr">
        <is>
          <t>No</t>
        </is>
      </c>
      <c r="BA128" t="inlineStr">
        <is>
          <t>NO PRECISA</t>
        </is>
      </c>
      <c r="BB128" t="n">
        <v>4</v>
      </c>
      <c r="BC128" t="inlineStr">
        <is>
          <t>CANCELADO</t>
        </is>
      </c>
      <c r="BN128" t="inlineStr">
        <is>
          <t>Si</t>
        </is>
      </c>
      <c r="BO128" s="117" t="n">
        <v>45880.51319444444</v>
      </c>
      <c r="BP128" t="inlineStr">
        <is>
          <t>Kenny Salazar S</t>
        </is>
      </c>
      <c r="BR128" t="n">
        <v>44</v>
      </c>
      <c r="BS128" t="inlineStr">
        <is>
          <t>05/06/2026 12:05</t>
        </is>
      </c>
      <c r="BT128" t="n">
        <v>0</v>
      </c>
      <c r="BX128" t="inlineStr">
        <is>
          <t>Cobranzas_2025.csv</t>
        </is>
      </c>
      <c r="BY128" t="n">
        <v>2025</v>
      </c>
      <c r="BZ128" t="inlineStr">
        <is>
          <t>01/01/2024</t>
        </is>
      </c>
      <c r="CA128" t="inlineStr">
        <is>
          <t>30/09/2031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39" t="n">
        <v>630000</v>
      </c>
      <c r="H129" s="39" t="n">
        <v>630000</v>
      </c>
      <c r="M129" s="39" t="n"/>
      <c r="N129" s="39" t="n"/>
      <c r="S129" s="39" t="n"/>
      <c r="T129" s="39" t="n"/>
      <c r="Y129" s="39" t="n"/>
      <c r="Z129" s="39" t="n"/>
      <c r="AA129" t="inlineStr">
        <is>
          <t>Denisse Estela Linares Suarez</t>
        </is>
      </c>
      <c r="AB129" t="inlineStr">
        <is>
          <t>44457800</t>
        </is>
      </c>
      <c r="AC129" t="inlineStr">
        <is>
          <t>Jr. Zorritos 1399 – Block 37 Dpto. 201 - Cercado Lima</t>
        </is>
      </c>
      <c r="AD129" t="n">
        <v>991810339</v>
      </c>
      <c r="AE129" t="inlineStr">
        <is>
          <t>991810339</t>
        </is>
      </c>
      <c r="AF129" t="inlineStr">
        <is>
          <t>dlinaressuarez@gmail.com</t>
        </is>
      </c>
      <c r="AG129" t="inlineStr">
        <is>
          <t>LIMA</t>
        </is>
      </c>
      <c r="AH129" t="inlineStr">
        <is>
          <t>CERCADO DE LIMA</t>
        </is>
      </c>
      <c r="AI129" s="116" t="n">
        <v>45960</v>
      </c>
      <c r="AJ129" s="116" t="n">
        <v>45961</v>
      </c>
      <c r="AK129" t="inlineStr">
        <is>
          <t>CUOTA INICIAL</t>
        </is>
      </c>
      <c r="AL129" t="n">
        <v>2</v>
      </c>
      <c r="AM129" t="n">
        <v>0</v>
      </c>
      <c r="AN129" t="n">
        <v>0</v>
      </c>
      <c r="AO129" t="n">
        <v>0</v>
      </c>
      <c r="AP129" s="39" t="n">
        <v>53000</v>
      </c>
      <c r="AQ129" s="39" t="n">
        <v>50000</v>
      </c>
      <c r="AR129" s="39" t="n">
        <v>0</v>
      </c>
      <c r="AS129" t="n">
        <v>0</v>
      </c>
      <c r="AT129" t="inlineStr">
        <is>
          <t>Ahorro</t>
        </is>
      </c>
      <c r="AU129" t="inlineStr">
        <is>
          <t>Scotiabank Perú</t>
        </is>
      </c>
      <c r="AV129" t="inlineStr">
        <is>
          <t>000-2768484</t>
        </is>
      </c>
      <c r="AW129" t="inlineStr">
        <is>
          <t>TRANSFERENCIA BANCARIA</t>
        </is>
      </c>
      <c r="AX129" t="inlineStr">
        <is>
          <t>44457800</t>
        </is>
      </c>
      <c r="AY129" t="inlineStr">
        <is>
          <t>6300922660</t>
        </is>
      </c>
      <c r="AZ129" t="inlineStr">
        <is>
          <t>No</t>
        </is>
      </c>
      <c r="BA129" t="inlineStr">
        <is>
          <t>NO PRECISA</t>
        </is>
      </c>
      <c r="BB129" t="n">
        <v>4</v>
      </c>
      <c r="BC129" t="inlineStr">
        <is>
          <t>CANCELADO</t>
        </is>
      </c>
      <c r="BN129" t="inlineStr">
        <is>
          <t>Si</t>
        </is>
      </c>
      <c r="BO129" s="117" t="n">
        <v>45880.51319444444</v>
      </c>
      <c r="BP129" t="inlineStr">
        <is>
          <t>Kenny Salazar S</t>
        </is>
      </c>
      <c r="BR129" t="n">
        <v>44</v>
      </c>
      <c r="BS129" t="inlineStr">
        <is>
          <t>05/06/2026 12:10</t>
        </is>
      </c>
      <c r="BT129" t="n">
        <v>0</v>
      </c>
      <c r="BX129" t="inlineStr">
        <is>
          <t>Cobranzas_2025.csv</t>
        </is>
      </c>
      <c r="BY129" t="n">
        <v>2025</v>
      </c>
      <c r="BZ129" t="inlineStr">
        <is>
          <t>01/01/2024</t>
        </is>
      </c>
      <c r="CA129" t="inlineStr">
        <is>
          <t>30/09/2031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39" t="n">
        <v>630000</v>
      </c>
      <c r="H130" s="39" t="n">
        <v>630000</v>
      </c>
      <c r="M130" s="39" t="n"/>
      <c r="N130" s="39" t="n"/>
      <c r="S130" s="39" t="n"/>
      <c r="T130" s="39" t="n"/>
      <c r="Y130" s="39" t="n"/>
      <c r="Z130" s="39" t="n"/>
      <c r="AA130" t="inlineStr">
        <is>
          <t>Denisse Estela Linares Suarez</t>
        </is>
      </c>
      <c r="AB130" t="inlineStr">
        <is>
          <t>44457800</t>
        </is>
      </c>
      <c r="AC130" t="inlineStr">
        <is>
          <t>Jr. Zorritos 1399 – Block 37 Dpto. 201 - Cercado Lima</t>
        </is>
      </c>
      <c r="AD130" t="n">
        <v>991810339</v>
      </c>
      <c r="AE130" t="inlineStr">
        <is>
          <t>991810339</t>
        </is>
      </c>
      <c r="AF130" t="inlineStr">
        <is>
          <t>dlinaressuarez@gmail.com</t>
        </is>
      </c>
      <c r="AG130" t="inlineStr">
        <is>
          <t>LIMA</t>
        </is>
      </c>
      <c r="AH130" t="inlineStr">
        <is>
          <t>CERCADO DE LIMA</t>
        </is>
      </c>
      <c r="AI130" s="116" t="n">
        <v>45960</v>
      </c>
      <c r="AJ130" s="116" t="n">
        <v>46022</v>
      </c>
      <c r="AK130" t="inlineStr">
        <is>
          <t>CUOTA INICIAL</t>
        </is>
      </c>
      <c r="AL130" t="n">
        <v>2</v>
      </c>
      <c r="AM130" t="n">
        <v>53000</v>
      </c>
      <c r="AN130" t="n">
        <v>0</v>
      </c>
      <c r="AO130" t="n">
        <v>0</v>
      </c>
      <c r="AP130" s="39" t="n">
        <v>0</v>
      </c>
      <c r="AQ130" s="39" t="n">
        <v>3000</v>
      </c>
      <c r="AR130" s="39" t="n">
        <v>0</v>
      </c>
      <c r="AS130" t="n">
        <v>0</v>
      </c>
      <c r="AT130" t="inlineStr">
        <is>
          <t>Ahorro</t>
        </is>
      </c>
      <c r="AU130" t="inlineStr">
        <is>
          <t>Scotiabank Perú</t>
        </is>
      </c>
      <c r="AV130" t="inlineStr">
        <is>
          <t>000-2768484</t>
        </is>
      </c>
      <c r="AW130" t="inlineStr">
        <is>
          <t>TRANSFERENCIA BANCARIA</t>
        </is>
      </c>
      <c r="AY130" t="inlineStr">
        <is>
          <t>7844655528281</t>
        </is>
      </c>
      <c r="AZ130" t="inlineStr">
        <is>
          <t>No</t>
        </is>
      </c>
      <c r="BB130" t="n">
        <v>4</v>
      </c>
      <c r="BC130" t="inlineStr">
        <is>
          <t>CANCELADO</t>
        </is>
      </c>
      <c r="BN130" t="inlineStr">
        <is>
          <t>Si</t>
        </is>
      </c>
      <c r="BO130" s="117" t="n">
        <v>45880.51319444444</v>
      </c>
      <c r="BP130" t="inlineStr">
        <is>
          <t>Kenny Salazar S</t>
        </is>
      </c>
      <c r="BR130" t="n">
        <v>44</v>
      </c>
      <c r="BS130" t="inlineStr">
        <is>
          <t>07/07/2026 12:17</t>
        </is>
      </c>
      <c r="BT130" t="n">
        <v>0</v>
      </c>
      <c r="BX130" t="inlineStr">
        <is>
          <t>Cobranzas_2025.csv</t>
        </is>
      </c>
      <c r="BY130" t="n">
        <v>2025</v>
      </c>
      <c r="BZ130" t="inlineStr">
        <is>
          <t>01/01/2024</t>
        </is>
      </c>
      <c r="CA130" t="inlineStr">
        <is>
          <t>30/09/2031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39" t="n">
        <v>630000</v>
      </c>
      <c r="H131" s="39" t="n">
        <v>630000</v>
      </c>
      <c r="M131" s="39" t="n"/>
      <c r="N131" s="39" t="n"/>
      <c r="S131" s="39" t="n"/>
      <c r="T131" s="39" t="n"/>
      <c r="Y131" s="39" t="n"/>
      <c r="Z131" s="39" t="n"/>
      <c r="AA131" t="inlineStr">
        <is>
          <t>Denisse Estela Linares Suarez</t>
        </is>
      </c>
      <c r="AB131" t="inlineStr">
        <is>
          <t>44457800</t>
        </is>
      </c>
      <c r="AC131" t="inlineStr">
        <is>
          <t>Jr. Zorritos 1399 – Block 37 Dpto. 201 - Cercado Lima</t>
        </is>
      </c>
      <c r="AD131" t="n">
        <v>991810339</v>
      </c>
      <c r="AE131" t="inlineStr">
        <is>
          <t>991810339</t>
        </is>
      </c>
      <c r="AF131" t="inlineStr">
        <is>
          <t>dlinaressuarez@gmail.com</t>
        </is>
      </c>
      <c r="AG131" t="inlineStr">
        <is>
          <t>LIMA</t>
        </is>
      </c>
      <c r="AH131" t="inlineStr">
        <is>
          <t>CERCADO DE LIMA</t>
        </is>
      </c>
      <c r="AI131" s="116" t="n">
        <v>45960</v>
      </c>
      <c r="AJ131" s="116" t="n">
        <v>46022</v>
      </c>
      <c r="AK131" t="inlineStr">
        <is>
          <t>CUOTA INICIAL</t>
        </is>
      </c>
      <c r="AL131" t="n">
        <v>3</v>
      </c>
      <c r="AM131" t="n">
        <v>20000</v>
      </c>
      <c r="AN131" t="n">
        <v>0</v>
      </c>
      <c r="AO131" t="n">
        <v>0</v>
      </c>
      <c r="AP131" s="39" t="n">
        <v>20000</v>
      </c>
      <c r="AQ131" s="39" t="n">
        <v>20000</v>
      </c>
      <c r="AR131" s="39" t="n">
        <v>0</v>
      </c>
      <c r="AS131" t="n">
        <v>0</v>
      </c>
      <c r="AT131" t="inlineStr">
        <is>
          <t>Ahorro</t>
        </is>
      </c>
      <c r="AU131" t="inlineStr">
        <is>
          <t>Scotiabank Perú</t>
        </is>
      </c>
      <c r="AV131" t="inlineStr">
        <is>
          <t>000-2768484</t>
        </is>
      </c>
      <c r="AW131" t="inlineStr">
        <is>
          <t>TRANSFERENCIA BANCARIA</t>
        </is>
      </c>
      <c r="AY131" t="inlineStr">
        <is>
          <t>7844655528281</t>
        </is>
      </c>
      <c r="AZ131" t="inlineStr">
        <is>
          <t>No</t>
        </is>
      </c>
      <c r="BB131" t="n">
        <v>4</v>
      </c>
      <c r="BC131" t="inlineStr">
        <is>
          <t>CANCELADO</t>
        </is>
      </c>
      <c r="BN131" t="inlineStr">
        <is>
          <t>Si</t>
        </is>
      </c>
      <c r="BO131" s="117" t="n">
        <v>45880.51319444444</v>
      </c>
      <c r="BP131" t="inlineStr">
        <is>
          <t>Kenny Salazar S</t>
        </is>
      </c>
      <c r="BR131" t="n">
        <v>44</v>
      </c>
      <c r="BS131" t="inlineStr">
        <is>
          <t>07/07/2026 12:17</t>
        </is>
      </c>
      <c r="BT131" t="n">
        <v>0</v>
      </c>
      <c r="BX131" t="inlineStr">
        <is>
          <t>Cobranzas_2025.csv</t>
        </is>
      </c>
      <c r="BY131" t="n">
        <v>2025</v>
      </c>
      <c r="BZ131" t="inlineStr">
        <is>
          <t>01/01/2024</t>
        </is>
      </c>
      <c r="CA131" t="inlineStr">
        <is>
          <t>30/09/2031</t>
        </is>
      </c>
    </row>
    <row r="132">
      <c r="A132" t="inlineStr">
        <is>
          <t>RESIDENCIAL BEYOND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701</t>
        </is>
      </c>
      <c r="G132" s="39" t="n">
        <v>475000</v>
      </c>
      <c r="H132" s="39" t="n">
        <v>475000</v>
      </c>
      <c r="I132" t="inlineStr">
        <is>
          <t>Edificio</t>
        </is>
      </c>
      <c r="J132" t="inlineStr">
        <is>
          <t>A</t>
        </is>
      </c>
      <c r="K132" t="inlineStr">
        <is>
          <t>Estacionamiento</t>
        </is>
      </c>
      <c r="L132" t="inlineStr">
        <is>
          <t>E 17</t>
        </is>
      </c>
      <c r="M132" s="39" t="n">
        <v>46800</v>
      </c>
      <c r="N132" s="39" t="n">
        <v>46800</v>
      </c>
      <c r="S132" s="39" t="n"/>
      <c r="T132" s="39" t="n"/>
      <c r="Y132" s="39" t="n"/>
      <c r="Z132" s="39" t="n"/>
      <c r="AA132" t="inlineStr">
        <is>
          <t>Dolores Lissett Castillo Diaz</t>
        </is>
      </c>
      <c r="AB132" t="inlineStr">
        <is>
          <t>43780263</t>
        </is>
      </c>
      <c r="AC132" t="inlineStr">
        <is>
          <t xml:space="preserve"> Sargento Lores 950      </t>
        </is>
      </c>
      <c r="AD132" t="n">
        <v>0</v>
      </c>
      <c r="AE132" t="inlineStr">
        <is>
          <t>920487874</t>
        </is>
      </c>
      <c r="AF132" t="inlineStr">
        <is>
          <t>licady2486@gmail.com</t>
        </is>
      </c>
      <c r="AG132" t="inlineStr">
        <is>
          <t>MAYNAS</t>
        </is>
      </c>
      <c r="AH132" t="inlineStr">
        <is>
          <t>IQUITOS</t>
        </is>
      </c>
      <c r="AI132" s="116" t="n">
        <v>45997</v>
      </c>
      <c r="AJ132" s="116" t="n">
        <v>45997</v>
      </c>
      <c r="AK132" t="inlineStr">
        <is>
          <t>SEPARACION</t>
        </is>
      </c>
      <c r="AL132" t="n">
        <v>1</v>
      </c>
      <c r="AM132" t="n">
        <v>3000</v>
      </c>
      <c r="AN132" t="n">
        <v>0</v>
      </c>
      <c r="AO132" t="n">
        <v>0</v>
      </c>
      <c r="AP132" s="39" t="n">
        <v>3000</v>
      </c>
      <c r="AQ132" s="39" t="n">
        <v>3000</v>
      </c>
      <c r="AR132" s="39" t="n">
        <v>0</v>
      </c>
      <c r="AS132" t="n">
        <v>0</v>
      </c>
      <c r="AT132" t="inlineStr">
        <is>
          <t>Ahorro</t>
        </is>
      </c>
      <c r="AU132" t="inlineStr">
        <is>
          <t>Banco de Credito del Perú</t>
        </is>
      </c>
      <c r="AV132" t="inlineStr">
        <is>
          <t>194-7325779-0-65</t>
        </is>
      </c>
      <c r="AW132" t="inlineStr">
        <is>
          <t>TRANSFERENCIA BANCARIA</t>
        </is>
      </c>
      <c r="AY132" t="inlineStr">
        <is>
          <t>3623</t>
        </is>
      </c>
      <c r="AZ132" t="inlineStr">
        <is>
          <t>No</t>
        </is>
      </c>
      <c r="BB132" t="n">
        <v>4</v>
      </c>
      <c r="BC132" t="inlineStr">
        <is>
          <t>CANCELADO</t>
        </is>
      </c>
      <c r="BN132" t="inlineStr">
        <is>
          <t>Si</t>
        </is>
      </c>
      <c r="BO132" s="117" t="n">
        <v>46003.40833333333</v>
      </c>
      <c r="BP132" t="inlineStr">
        <is>
          <t>Magaly Guevara Perez</t>
        </is>
      </c>
      <c r="BR132" t="n">
        <v>21</v>
      </c>
      <c r="BS132" t="inlineStr">
        <is>
          <t>02/05/2026 12:21</t>
        </is>
      </c>
      <c r="BT132" t="n">
        <v>0</v>
      </c>
      <c r="BX132" t="inlineStr">
        <is>
          <t>Cobranzas_2025.csv</t>
        </is>
      </c>
      <c r="BY132" t="n">
        <v>2025</v>
      </c>
      <c r="BZ132" t="inlineStr">
        <is>
          <t>01/01/2024</t>
        </is>
      </c>
      <c r="CA132" t="inlineStr">
        <is>
          <t>30/09/2031</t>
        </is>
      </c>
    </row>
    <row r="133">
      <c r="A133" t="inlineStr">
        <is>
          <t>RESIDENCIAL PRADA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102</t>
        </is>
      </c>
      <c r="G133" s="39" t="n">
        <v>679000</v>
      </c>
      <c r="H133" s="39" t="n">
        <v>679000</v>
      </c>
      <c r="M133" s="39" t="n"/>
      <c r="N133" s="39" t="n"/>
      <c r="S133" s="39" t="n"/>
      <c r="T133" s="39" t="n"/>
      <c r="Y133" s="39" t="n"/>
      <c r="Z133" s="39" t="n"/>
      <c r="AA133" t="inlineStr">
        <is>
          <t>Edwin Modigliani Efrai Suclla Flores</t>
        </is>
      </c>
      <c r="AB133" t="inlineStr">
        <is>
          <t>08062531</t>
        </is>
      </c>
      <c r="AC133" t="inlineStr">
        <is>
          <t xml:space="preserve">Jr. Monitor Huascar Norte N° 551 Urb. Ventura Rossi  </t>
        </is>
      </c>
      <c r="AD133" t="n">
        <v>997463109</v>
      </c>
      <c r="AE133" t="inlineStr">
        <is>
          <t>997463109</t>
        </is>
      </c>
      <c r="AF133" t="inlineStr">
        <is>
          <t>efrainchbxpar@gmail.com</t>
        </is>
      </c>
      <c r="AG133" t="inlineStr">
        <is>
          <t>LIMA</t>
        </is>
      </c>
      <c r="AH133" t="inlineStr">
        <is>
          <t>RIMAC</t>
        </is>
      </c>
      <c r="AI133" s="116" t="n">
        <v>45794</v>
      </c>
      <c r="AJ133" s="116" t="n">
        <v>45794</v>
      </c>
      <c r="AK133" t="inlineStr">
        <is>
          <t>SEPARACION</t>
        </is>
      </c>
      <c r="AL133" t="n">
        <v>1</v>
      </c>
      <c r="AM133" t="n">
        <v>3000</v>
      </c>
      <c r="AN133" t="n">
        <v>0</v>
      </c>
      <c r="AO133" t="n">
        <v>0</v>
      </c>
      <c r="AP133" s="39" t="n">
        <v>3000</v>
      </c>
      <c r="AQ133" s="39" t="n">
        <v>3000</v>
      </c>
      <c r="AR133" s="39" t="n">
        <v>0</v>
      </c>
      <c r="AS133" t="n">
        <v>0</v>
      </c>
      <c r="AT133" t="inlineStr">
        <is>
          <t>Crédito Hipotecario</t>
        </is>
      </c>
      <c r="AU133" t="inlineStr">
        <is>
          <t>Scotiabank Perú</t>
        </is>
      </c>
      <c r="AV133" t="inlineStr">
        <is>
          <t>000-2768484</t>
        </is>
      </c>
      <c r="AW133" t="inlineStr">
        <is>
          <t>TRANSFERENCIA BANCARIA</t>
        </is>
      </c>
      <c r="AX133" t="inlineStr">
        <is>
          <t>08062531</t>
        </is>
      </c>
      <c r="AY133" t="inlineStr">
        <is>
          <t>00005340000000000</t>
        </is>
      </c>
      <c r="AZ133" t="inlineStr">
        <is>
          <t>No</t>
        </is>
      </c>
      <c r="BA133" t="inlineStr">
        <is>
          <t>NO PRECISA</t>
        </is>
      </c>
      <c r="BB133" t="n">
        <v>4</v>
      </c>
      <c r="BC133" t="inlineStr">
        <is>
          <t>CANCELADO</t>
        </is>
      </c>
      <c r="BN133" t="inlineStr">
        <is>
          <t>Si</t>
        </is>
      </c>
      <c r="BO133" s="117" t="n">
        <v>45811.65069444444</v>
      </c>
      <c r="BP133" t="inlineStr">
        <is>
          <t>Kenny Salazar S</t>
        </is>
      </c>
      <c r="BR133" t="n">
        <v>26</v>
      </c>
      <c r="BS133" t="inlineStr">
        <is>
          <t>02/06/2026 12:17</t>
        </is>
      </c>
      <c r="BT133" t="n">
        <v>0</v>
      </c>
      <c r="BX133" t="inlineStr">
        <is>
          <t>Cobranzas_2025.csv</t>
        </is>
      </c>
      <c r="BY133" t="n">
        <v>2025</v>
      </c>
      <c r="BZ133" t="inlineStr">
        <is>
          <t>01/01/2024</t>
        </is>
      </c>
      <c r="CA133" t="inlineStr">
        <is>
          <t>30/09/2031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39" t="n">
        <v>679000</v>
      </c>
      <c r="H134" s="39" t="n">
        <v>679000</v>
      </c>
      <c r="M134" s="39" t="n"/>
      <c r="N134" s="39" t="n"/>
      <c r="S134" s="39" t="n"/>
      <c r="T134" s="39" t="n"/>
      <c r="Y134" s="39" t="n"/>
      <c r="Z134" s="39" t="n"/>
      <c r="AA134" t="inlineStr">
        <is>
          <t>Edwin Modigliani Efrai Suclla Flores</t>
        </is>
      </c>
      <c r="AB134" t="inlineStr">
        <is>
          <t>08062531</t>
        </is>
      </c>
      <c r="AC134" t="inlineStr">
        <is>
          <t xml:space="preserve">Jr. Monitor Huascar Norte N° 551 Urb. Ventura Rossi  </t>
        </is>
      </c>
      <c r="AD134" t="n">
        <v>997463109</v>
      </c>
      <c r="AE134" t="inlineStr">
        <is>
          <t>997463109</t>
        </is>
      </c>
      <c r="AF134" t="inlineStr">
        <is>
          <t>efrainchbxpar@gmail.com</t>
        </is>
      </c>
      <c r="AG134" t="inlineStr">
        <is>
          <t>LIMA</t>
        </is>
      </c>
      <c r="AH134" t="inlineStr">
        <is>
          <t>RIMAC</t>
        </is>
      </c>
      <c r="AI134" s="116" t="n">
        <v>45811</v>
      </c>
      <c r="AJ134" s="116" t="n">
        <v>45811</v>
      </c>
      <c r="AK134" t="inlineStr">
        <is>
          <t>CUOTA INICIAL</t>
        </is>
      </c>
      <c r="AL134" t="n">
        <v>1</v>
      </c>
      <c r="AM134" t="n">
        <v>150000</v>
      </c>
      <c r="AN134" t="n">
        <v>0</v>
      </c>
      <c r="AO134" t="n">
        <v>0</v>
      </c>
      <c r="AP134" s="39" t="n">
        <v>150000</v>
      </c>
      <c r="AQ134" s="39" t="n">
        <v>150000</v>
      </c>
      <c r="AR134" s="39" t="n">
        <v>0</v>
      </c>
      <c r="AS134" t="n">
        <v>0</v>
      </c>
      <c r="AT134" t="inlineStr">
        <is>
          <t>Crédito Hipotecario</t>
        </is>
      </c>
      <c r="AU134" t="inlineStr">
        <is>
          <t>Scotiabank Perú</t>
        </is>
      </c>
      <c r="AV134" t="inlineStr">
        <is>
          <t>000-2768484</t>
        </is>
      </c>
      <c r="AW134" t="inlineStr">
        <is>
          <t>TRANSFERENCIA BANCARIA</t>
        </is>
      </c>
      <c r="AX134" t="inlineStr">
        <is>
          <t>08062531</t>
        </is>
      </c>
      <c r="AY134" t="inlineStr">
        <is>
          <t>0500010063</t>
        </is>
      </c>
      <c r="AZ134" t="inlineStr">
        <is>
          <t>No</t>
        </is>
      </c>
      <c r="BA134" t="inlineStr">
        <is>
          <t>NO PRECISA</t>
        </is>
      </c>
      <c r="BB134" t="n">
        <v>4</v>
      </c>
      <c r="BC134" t="inlineStr">
        <is>
          <t>CANCELADO</t>
        </is>
      </c>
      <c r="BN134" t="inlineStr">
        <is>
          <t>Si</t>
        </is>
      </c>
      <c r="BO134" s="117" t="n">
        <v>45811.65069444444</v>
      </c>
      <c r="BP134" t="inlineStr">
        <is>
          <t>Kenny Salazar S</t>
        </is>
      </c>
      <c r="BR134" t="n">
        <v>26</v>
      </c>
      <c r="BS134" t="inlineStr">
        <is>
          <t>04/06/2026 09:23</t>
        </is>
      </c>
      <c r="BT134" t="n">
        <v>0</v>
      </c>
      <c r="BX134" t="inlineStr">
        <is>
          <t>Cobranzas_2025.csv</t>
        </is>
      </c>
      <c r="BY134" t="n">
        <v>2025</v>
      </c>
      <c r="BZ134" t="inlineStr">
        <is>
          <t>01/01/2024</t>
        </is>
      </c>
      <c r="CA134" t="inlineStr">
        <is>
          <t>30/09/2031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39" t="n">
        <v>679000</v>
      </c>
      <c r="H135" s="39" t="n">
        <v>679000</v>
      </c>
      <c r="M135" s="39" t="n"/>
      <c r="N135" s="39" t="n"/>
      <c r="S135" s="39" t="n"/>
      <c r="T135" s="39" t="n"/>
      <c r="Y135" s="39" t="n"/>
      <c r="Z135" s="39" t="n"/>
      <c r="AA135" t="inlineStr">
        <is>
          <t>Edwin Modigliani Efrai Suclla Flores</t>
        </is>
      </c>
      <c r="AB135" t="inlineStr">
        <is>
          <t>08062531</t>
        </is>
      </c>
      <c r="AC135" t="inlineStr">
        <is>
          <t xml:space="preserve">Jr. Monitor Huascar Norte N° 551 Urb. Ventura Rossi  </t>
        </is>
      </c>
      <c r="AD135" t="n">
        <v>997463109</v>
      </c>
      <c r="AE135" t="inlineStr">
        <is>
          <t>997463109</t>
        </is>
      </c>
      <c r="AF135" t="inlineStr">
        <is>
          <t>efrainchbxpar@gmail.com</t>
        </is>
      </c>
      <c r="AG135" t="inlineStr">
        <is>
          <t>LIMA</t>
        </is>
      </c>
      <c r="AH135" t="inlineStr">
        <is>
          <t>RIMAC</t>
        </is>
      </c>
      <c r="AI135" s="116" t="n">
        <v>45811</v>
      </c>
      <c r="AJ135" s="116" t="n">
        <v>45811</v>
      </c>
      <c r="AK135" t="inlineStr">
        <is>
          <t>CUOTA INICIAL</t>
        </is>
      </c>
      <c r="AL135" t="n">
        <v>2</v>
      </c>
      <c r="AM135" t="n">
        <v>115000</v>
      </c>
      <c r="AN135" t="n">
        <v>0</v>
      </c>
      <c r="AO135" t="n">
        <v>0</v>
      </c>
      <c r="AP135" s="39" t="n">
        <v>115000</v>
      </c>
      <c r="AQ135" s="39" t="n">
        <v>115000</v>
      </c>
      <c r="AR135" s="39" t="n">
        <v>0</v>
      </c>
      <c r="AS135" t="n">
        <v>0</v>
      </c>
      <c r="AT135" t="inlineStr">
        <is>
          <t>Crédito Hipotecario</t>
        </is>
      </c>
      <c r="AU135" t="inlineStr">
        <is>
          <t>Scotiabank Perú</t>
        </is>
      </c>
      <c r="AV135" t="inlineStr">
        <is>
          <t>000-2768484</t>
        </is>
      </c>
      <c r="AW135" t="inlineStr">
        <is>
          <t>TRANSFERENCIA BANCARIA</t>
        </is>
      </c>
      <c r="AX135" t="inlineStr">
        <is>
          <t>08062531</t>
        </is>
      </c>
      <c r="AY135" t="inlineStr">
        <is>
          <t>005713000</t>
        </is>
      </c>
      <c r="AZ135" t="inlineStr">
        <is>
          <t>No</t>
        </is>
      </c>
      <c r="BA135" t="inlineStr">
        <is>
          <t>NO PRECISA</t>
        </is>
      </c>
      <c r="BB135" t="n">
        <v>4</v>
      </c>
      <c r="BC135" t="inlineStr">
        <is>
          <t>CANCELADO</t>
        </is>
      </c>
      <c r="BN135" t="inlineStr">
        <is>
          <t>Si</t>
        </is>
      </c>
      <c r="BO135" s="117" t="n">
        <v>45811.65069444444</v>
      </c>
      <c r="BP135" t="inlineStr">
        <is>
          <t>Kenny Salazar S</t>
        </is>
      </c>
      <c r="BR135" t="n">
        <v>26</v>
      </c>
      <c r="BS135" t="inlineStr">
        <is>
          <t>04/06/2026 09:26</t>
        </is>
      </c>
      <c r="BT135" t="n">
        <v>0</v>
      </c>
      <c r="BX135" t="inlineStr">
        <is>
          <t>Cobranzas_2025.csv</t>
        </is>
      </c>
      <c r="BY135" t="n">
        <v>2025</v>
      </c>
      <c r="BZ135" t="inlineStr">
        <is>
          <t>01/01/2024</t>
        </is>
      </c>
      <c r="CA135" t="inlineStr">
        <is>
          <t>30/09/2031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39" t="n">
        <v>679000</v>
      </c>
      <c r="H136" s="39" t="n">
        <v>679000</v>
      </c>
      <c r="M136" s="39" t="n"/>
      <c r="N136" s="39" t="n"/>
      <c r="S136" s="39" t="n"/>
      <c r="T136" s="39" t="n"/>
      <c r="Y136" s="39" t="n"/>
      <c r="Z136" s="39" t="n"/>
      <c r="AA136" t="inlineStr">
        <is>
          <t>Edwin Modigliani Efrai Suclla Flores</t>
        </is>
      </c>
      <c r="AB136" t="inlineStr">
        <is>
          <t>08062531</t>
        </is>
      </c>
      <c r="AC136" t="inlineStr">
        <is>
          <t xml:space="preserve">Jr. Monitor Huascar Norte N° 551 Urb. Ventura Rossi  </t>
        </is>
      </c>
      <c r="AD136" t="n">
        <v>997463109</v>
      </c>
      <c r="AE136" t="inlineStr">
        <is>
          <t>997463109</t>
        </is>
      </c>
      <c r="AF136" t="inlineStr">
        <is>
          <t>efrainchbxpar@gmail.com</t>
        </is>
      </c>
      <c r="AG136" t="inlineStr">
        <is>
          <t>LIMA</t>
        </is>
      </c>
      <c r="AH136" t="inlineStr">
        <is>
          <t>RIMAC</t>
        </is>
      </c>
      <c r="AI136" s="116" t="n">
        <v>45813</v>
      </c>
      <c r="AJ136" s="116" t="n">
        <v>45813</v>
      </c>
      <c r="AK136" t="inlineStr">
        <is>
          <t>CUOTA INICIAL</t>
        </is>
      </c>
      <c r="AL136" t="n">
        <v>3</v>
      </c>
      <c r="AM136" t="n">
        <v>21400</v>
      </c>
      <c r="AN136" t="n">
        <v>0</v>
      </c>
      <c r="AO136" t="n">
        <v>0</v>
      </c>
      <c r="AP136" s="39" t="n">
        <v>21400</v>
      </c>
      <c r="AQ136" s="39" t="n">
        <v>21400</v>
      </c>
      <c r="AR136" s="39" t="n">
        <v>0</v>
      </c>
      <c r="AS136" t="n">
        <v>0</v>
      </c>
      <c r="AT136" t="inlineStr">
        <is>
          <t>Crédito Hipotecario</t>
        </is>
      </c>
      <c r="AU136" t="inlineStr">
        <is>
          <t>Scotiabank Perú</t>
        </is>
      </c>
      <c r="AV136" t="inlineStr">
        <is>
          <t>000-2768484</t>
        </is>
      </c>
      <c r="AW136" t="inlineStr">
        <is>
          <t>TRANSFERENCIA BANCARIA</t>
        </is>
      </c>
      <c r="AX136" t="inlineStr">
        <is>
          <t>08062531</t>
        </is>
      </c>
      <c r="AY136" t="inlineStr">
        <is>
          <t>0500010044</t>
        </is>
      </c>
      <c r="AZ136" t="inlineStr">
        <is>
          <t>No</t>
        </is>
      </c>
      <c r="BA136" t="inlineStr">
        <is>
          <t>NO PRECISA</t>
        </is>
      </c>
      <c r="BB136" t="n">
        <v>4</v>
      </c>
      <c r="BC136" t="inlineStr">
        <is>
          <t>CANCELADO</t>
        </is>
      </c>
      <c r="BN136" t="inlineStr">
        <is>
          <t>Si</t>
        </is>
      </c>
      <c r="BO136" s="117" t="n">
        <v>45811.65069444444</v>
      </c>
      <c r="BP136" t="inlineStr">
        <is>
          <t>Kenny Salazar S</t>
        </is>
      </c>
      <c r="BR136" t="n">
        <v>26</v>
      </c>
      <c r="BS136" t="inlineStr">
        <is>
          <t>04/06/2026 09:28</t>
        </is>
      </c>
      <c r="BT136" t="n">
        <v>0</v>
      </c>
      <c r="BX136" t="inlineStr">
        <is>
          <t>Cobranzas_2025.csv</t>
        </is>
      </c>
      <c r="BY136" t="n">
        <v>2025</v>
      </c>
      <c r="BZ136" t="inlineStr">
        <is>
          <t>01/01/2024</t>
        </is>
      </c>
      <c r="CA136" t="inlineStr">
        <is>
          <t>30/09/2031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39" t="n">
        <v>679000</v>
      </c>
      <c r="H137" s="39" t="n">
        <v>679000</v>
      </c>
      <c r="M137" s="39" t="n"/>
      <c r="N137" s="39" t="n"/>
      <c r="S137" s="39" t="n"/>
      <c r="T137" s="39" t="n"/>
      <c r="Y137" s="39" t="n"/>
      <c r="Z137" s="39" t="n"/>
      <c r="AA137" t="inlineStr">
        <is>
          <t>Edwin Modigliani Efrai Suclla Flores</t>
        </is>
      </c>
      <c r="AB137" t="inlineStr">
        <is>
          <t>08062531</t>
        </is>
      </c>
      <c r="AC137" t="inlineStr">
        <is>
          <t xml:space="preserve">Jr. Monitor Huascar Norte N° 551 Urb. Ventura Rossi  </t>
        </is>
      </c>
      <c r="AD137" t="n">
        <v>997463109</v>
      </c>
      <c r="AE137" t="inlineStr">
        <is>
          <t>997463109</t>
        </is>
      </c>
      <c r="AF137" t="inlineStr">
        <is>
          <t>efrainchbxpar@gmail.com</t>
        </is>
      </c>
      <c r="AG137" t="inlineStr">
        <is>
          <t>LIMA</t>
        </is>
      </c>
      <c r="AH137" t="inlineStr">
        <is>
          <t>RIMAC</t>
        </is>
      </c>
      <c r="AI137" s="116" t="n">
        <v>45813</v>
      </c>
      <c r="AJ137" s="116" t="n">
        <v>45813</v>
      </c>
      <c r="AK137" t="inlineStr">
        <is>
          <t>CUOTA INICIAL</t>
        </is>
      </c>
      <c r="AL137" t="n">
        <v>4</v>
      </c>
      <c r="AM137" t="n">
        <v>10600</v>
      </c>
      <c r="AN137" t="n">
        <v>0</v>
      </c>
      <c r="AO137" t="n">
        <v>0</v>
      </c>
      <c r="AP137" s="39" t="n">
        <v>10600</v>
      </c>
      <c r="AQ137" s="39" t="n">
        <v>10600</v>
      </c>
      <c r="AR137" s="39" t="n">
        <v>0</v>
      </c>
      <c r="AS137" t="n">
        <v>0</v>
      </c>
      <c r="AT137" t="inlineStr">
        <is>
          <t>Crédito Hipotecario</t>
        </is>
      </c>
      <c r="AU137" t="inlineStr">
        <is>
          <t>Scotiabank Perú</t>
        </is>
      </c>
      <c r="AV137" t="inlineStr">
        <is>
          <t>000-2768484</t>
        </is>
      </c>
      <c r="AW137" t="inlineStr">
        <is>
          <t>TRANSFERENCIA BANCARIA</t>
        </is>
      </c>
      <c r="AX137" t="inlineStr">
        <is>
          <t>08062531</t>
        </is>
      </c>
      <c r="AY137" t="inlineStr">
        <is>
          <t>00754405</t>
        </is>
      </c>
      <c r="AZ137" t="inlineStr">
        <is>
          <t>No</t>
        </is>
      </c>
      <c r="BA137" t="inlineStr">
        <is>
          <t>NO PRECISA</t>
        </is>
      </c>
      <c r="BB137" t="n">
        <v>4</v>
      </c>
      <c r="BC137" t="inlineStr">
        <is>
          <t>CANCELADO</t>
        </is>
      </c>
      <c r="BN137" t="inlineStr">
        <is>
          <t>Si</t>
        </is>
      </c>
      <c r="BO137" s="117" t="n">
        <v>45811.65069444444</v>
      </c>
      <c r="BP137" t="inlineStr">
        <is>
          <t>Kenny Salazar S</t>
        </is>
      </c>
      <c r="BR137" t="n">
        <v>26</v>
      </c>
      <c r="BS137" t="inlineStr">
        <is>
          <t>04/06/2026 09:31</t>
        </is>
      </c>
      <c r="BT137" t="n">
        <v>0</v>
      </c>
      <c r="BX137" t="inlineStr">
        <is>
          <t>Cobranzas_2025.csv</t>
        </is>
      </c>
      <c r="BY137" t="n">
        <v>2025</v>
      </c>
      <c r="BZ137" t="inlineStr">
        <is>
          <t>01/01/2024</t>
        </is>
      </c>
      <c r="CA137" t="inlineStr">
        <is>
          <t>30/09/2031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39" t="n">
        <v>679000</v>
      </c>
      <c r="H138" s="39" t="n">
        <v>679000</v>
      </c>
      <c r="M138" s="39" t="n"/>
      <c r="N138" s="39" t="n"/>
      <c r="S138" s="39" t="n"/>
      <c r="T138" s="39" t="n"/>
      <c r="Y138" s="39" t="n"/>
      <c r="Z138" s="39" t="n"/>
      <c r="AA138" t="inlineStr">
        <is>
          <t>Edwin Modigliani Efrai Suclla Flores</t>
        </is>
      </c>
      <c r="AB138" t="inlineStr">
        <is>
          <t>08062531</t>
        </is>
      </c>
      <c r="AC138" t="inlineStr">
        <is>
          <t xml:space="preserve">Jr. Monitor Huascar Norte N° 551 Urb. Ventura Rossi  </t>
        </is>
      </c>
      <c r="AD138" t="n">
        <v>997463109</v>
      </c>
      <c r="AE138" t="inlineStr">
        <is>
          <t>997463109</t>
        </is>
      </c>
      <c r="AF138" t="inlineStr">
        <is>
          <t>efrainchbxpar@gmail.com</t>
        </is>
      </c>
      <c r="AG138" t="inlineStr">
        <is>
          <t>LIMA</t>
        </is>
      </c>
      <c r="AH138" t="inlineStr">
        <is>
          <t>RIMAC</t>
        </is>
      </c>
      <c r="AI138" s="116" t="n">
        <v>45846</v>
      </c>
      <c r="AJ138" s="116" t="n">
        <v>45846</v>
      </c>
      <c r="AK138" t="inlineStr">
        <is>
          <t>SALDO FINANCIAR</t>
        </is>
      </c>
      <c r="AL138" t="n">
        <v>1</v>
      </c>
      <c r="AM138" t="n">
        <v>379000</v>
      </c>
      <c r="AN138" t="n">
        <v>0</v>
      </c>
      <c r="AO138" t="n">
        <v>0</v>
      </c>
      <c r="AP138" s="39" t="n">
        <v>379000</v>
      </c>
      <c r="AQ138" s="39" t="n">
        <v>379000</v>
      </c>
      <c r="AR138" s="39" t="n">
        <v>0</v>
      </c>
      <c r="AS138" t="n">
        <v>0</v>
      </c>
      <c r="AT138" t="inlineStr">
        <is>
          <t>Crédito Hipotecario</t>
        </is>
      </c>
      <c r="AU138" t="inlineStr">
        <is>
          <t>Scotiabank Perú</t>
        </is>
      </c>
      <c r="AV138" t="inlineStr">
        <is>
          <t>000-2768484</t>
        </is>
      </c>
      <c r="AW138" t="inlineStr">
        <is>
          <t>TRANSFERENCIA BANCARIA</t>
        </is>
      </c>
      <c r="AX138" t="inlineStr">
        <is>
          <t>08062531</t>
        </is>
      </c>
      <c r="AY138" t="inlineStr">
        <is>
          <t>0270800002</t>
        </is>
      </c>
      <c r="AZ138" t="inlineStr">
        <is>
          <t>No</t>
        </is>
      </c>
      <c r="BA138" t="inlineStr">
        <is>
          <t>NO PRECISA</t>
        </is>
      </c>
      <c r="BB138" t="n">
        <v>4</v>
      </c>
      <c r="BC138" t="inlineStr">
        <is>
          <t>CANCELADO</t>
        </is>
      </c>
      <c r="BN138" t="inlineStr">
        <is>
          <t>Si</t>
        </is>
      </c>
      <c r="BO138" s="117" t="n">
        <v>45811.65069444444</v>
      </c>
      <c r="BP138" t="inlineStr">
        <is>
          <t>Kenny Salazar S</t>
        </is>
      </c>
      <c r="BR138" t="n">
        <v>26</v>
      </c>
      <c r="BS138" t="inlineStr">
        <is>
          <t>04/06/2026 09:36</t>
        </is>
      </c>
      <c r="BT138" t="n">
        <v>0</v>
      </c>
      <c r="BX138" t="inlineStr">
        <is>
          <t>Cobranzas_2025.csv</t>
        </is>
      </c>
      <c r="BY138" t="n">
        <v>2025</v>
      </c>
      <c r="BZ138" t="inlineStr">
        <is>
          <t>01/01/2024</t>
        </is>
      </c>
      <c r="CA138" t="inlineStr">
        <is>
          <t>30/09/2031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Estacionamiento</t>
        </is>
      </c>
      <c r="F139" t="inlineStr">
        <is>
          <t>E 10 - D 07</t>
        </is>
      </c>
      <c r="G139" s="39" t="n">
        <v>66300</v>
      </c>
      <c r="H139" s="39" t="n">
        <v>66300</v>
      </c>
      <c r="M139" s="39" t="n"/>
      <c r="N139" s="39" t="n"/>
      <c r="S139" s="39" t="n"/>
      <c r="T139" s="39" t="n"/>
      <c r="Y139" s="39" t="n"/>
      <c r="Z139" s="39" t="n"/>
      <c r="AA139" t="inlineStr">
        <is>
          <t>Edwin Modigliani Efrai Suclla Flores</t>
        </is>
      </c>
      <c r="AB139" t="inlineStr">
        <is>
          <t>08062531</t>
        </is>
      </c>
      <c r="AC139" t="inlineStr">
        <is>
          <t xml:space="preserve">Jr. Monitor Huascar Norte N° 551 Urb. Ventura Rossi  </t>
        </is>
      </c>
      <c r="AD139" t="n">
        <v>997463109</v>
      </c>
      <c r="AE139" t="inlineStr">
        <is>
          <t>997463109</t>
        </is>
      </c>
      <c r="AF139" t="inlineStr">
        <is>
          <t>efrainchbxpar@gmail.com</t>
        </is>
      </c>
      <c r="AG139" t="inlineStr">
        <is>
          <t>LIMA</t>
        </is>
      </c>
      <c r="AH139" t="inlineStr">
        <is>
          <t>RIMAC</t>
        </is>
      </c>
      <c r="AI139" s="116" t="n">
        <v>45824</v>
      </c>
      <c r="AJ139" s="116" t="n">
        <v>45824</v>
      </c>
      <c r="AK139" t="inlineStr">
        <is>
          <t>SEPARACION</t>
        </is>
      </c>
      <c r="AL139" t="n">
        <v>1</v>
      </c>
      <c r="AM139" t="n">
        <v>3000</v>
      </c>
      <c r="AN139" t="n">
        <v>0</v>
      </c>
      <c r="AO139" t="n">
        <v>0</v>
      </c>
      <c r="AP139" s="39" t="n">
        <v>3000</v>
      </c>
      <c r="AQ139" s="39" t="n">
        <v>3000</v>
      </c>
      <c r="AR139" s="39" t="n">
        <v>0</v>
      </c>
      <c r="AS139" t="n">
        <v>0</v>
      </c>
      <c r="AT139" t="inlineStr">
        <is>
          <t>Crédito Directo</t>
        </is>
      </c>
      <c r="AU139" t="inlineStr">
        <is>
          <t>Scotiabank Perú</t>
        </is>
      </c>
      <c r="AV139" t="inlineStr">
        <is>
          <t>000-2768484</t>
        </is>
      </c>
      <c r="AW139" t="inlineStr">
        <is>
          <t>TRANSFERENCIA BANCARIA</t>
        </is>
      </c>
      <c r="AY139" t="inlineStr">
        <is>
          <t>02873076</t>
        </is>
      </c>
      <c r="AZ139" t="inlineStr">
        <is>
          <t>No</t>
        </is>
      </c>
      <c r="BB139" t="n">
        <v>4</v>
      </c>
      <c r="BC139" t="inlineStr">
        <is>
          <t>CANCELADO</t>
        </is>
      </c>
      <c r="BN139" t="inlineStr">
        <is>
          <t>Si</t>
        </is>
      </c>
      <c r="BO139" s="117" t="n">
        <v>45862.56597222222</v>
      </c>
      <c r="BP139" t="inlineStr">
        <is>
          <t>Magaly Guevara Perez</t>
        </is>
      </c>
      <c r="BR139" t="n">
        <v>55</v>
      </c>
      <c r="BS139" t="inlineStr">
        <is>
          <t>26/06/2026 16:44</t>
        </is>
      </c>
      <c r="BT139" t="n">
        <v>0</v>
      </c>
      <c r="BX139" t="inlineStr">
        <is>
          <t>Cobranzas_2025.csv</t>
        </is>
      </c>
      <c r="BY139" t="n">
        <v>2025</v>
      </c>
      <c r="BZ139" t="inlineStr">
        <is>
          <t>01/01/2024</t>
        </is>
      </c>
      <c r="CA139" t="inlineStr">
        <is>
          <t>30/09/2031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39" t="n">
        <v>66300</v>
      </c>
      <c r="H140" s="39" t="n">
        <v>66300</v>
      </c>
      <c r="M140" s="39" t="n"/>
      <c r="N140" s="39" t="n"/>
      <c r="S140" s="39" t="n"/>
      <c r="T140" s="39" t="n"/>
      <c r="Y140" s="39" t="n"/>
      <c r="Z140" s="39" t="n"/>
      <c r="AA140" t="inlineStr">
        <is>
          <t>Edwin Modigliani Efrai Suclla Flores</t>
        </is>
      </c>
      <c r="AB140" t="inlineStr">
        <is>
          <t>08062531</t>
        </is>
      </c>
      <c r="AC140" t="inlineStr">
        <is>
          <t xml:space="preserve">Jr. Monitor Huascar Norte N° 551 Urb. Ventura Rossi  </t>
        </is>
      </c>
      <c r="AD140" t="n">
        <v>997463109</v>
      </c>
      <c r="AE140" t="inlineStr">
        <is>
          <t>997463109</t>
        </is>
      </c>
      <c r="AF140" t="inlineStr">
        <is>
          <t>efrainchbxpar@gmail.com</t>
        </is>
      </c>
      <c r="AG140" t="inlineStr">
        <is>
          <t>LIMA</t>
        </is>
      </c>
      <c r="AH140" t="inlineStr">
        <is>
          <t>RIMAC</t>
        </is>
      </c>
      <c r="AI140" s="116" t="n">
        <v>45824</v>
      </c>
      <c r="AJ140" s="116" t="n">
        <v>45824</v>
      </c>
      <c r="AK140" t="inlineStr">
        <is>
          <t>CUOTA INICIAL</t>
        </is>
      </c>
      <c r="AL140" t="n">
        <v>1</v>
      </c>
      <c r="AM140" t="n">
        <v>7000</v>
      </c>
      <c r="AN140" t="n">
        <v>0</v>
      </c>
      <c r="AO140" t="n">
        <v>0</v>
      </c>
      <c r="AP140" s="39" t="n">
        <v>7000</v>
      </c>
      <c r="AQ140" s="39" t="n">
        <v>7000</v>
      </c>
      <c r="AR140" s="39" t="n">
        <v>0</v>
      </c>
      <c r="AS140" t="n">
        <v>0</v>
      </c>
      <c r="AT140" t="inlineStr">
        <is>
          <t>Crédito Directo</t>
        </is>
      </c>
      <c r="AU140" t="inlineStr">
        <is>
          <t>Scotiabank Perú</t>
        </is>
      </c>
      <c r="AV140" t="inlineStr">
        <is>
          <t>000-2768484</t>
        </is>
      </c>
      <c r="AW140" t="inlineStr">
        <is>
          <t>TRANSFERENCIA BANCARIA</t>
        </is>
      </c>
      <c r="AY140" t="inlineStr">
        <is>
          <t>02873076</t>
        </is>
      </c>
      <c r="AZ140" t="inlineStr">
        <is>
          <t>No</t>
        </is>
      </c>
      <c r="BB140" t="n">
        <v>4</v>
      </c>
      <c r="BC140" t="inlineStr">
        <is>
          <t>CANCELADO</t>
        </is>
      </c>
      <c r="BN140" t="inlineStr">
        <is>
          <t>Si</t>
        </is>
      </c>
      <c r="BO140" s="117" t="n">
        <v>45862.56597222222</v>
      </c>
      <c r="BP140" t="inlineStr">
        <is>
          <t>Magaly Guevara Perez</t>
        </is>
      </c>
      <c r="BR140" t="n">
        <v>55</v>
      </c>
      <c r="BS140" t="inlineStr">
        <is>
          <t>26/06/2026 16:52</t>
        </is>
      </c>
      <c r="BT140" t="n">
        <v>0</v>
      </c>
      <c r="BX140" t="inlineStr">
        <is>
          <t>Cobranzas_2025.csv</t>
        </is>
      </c>
      <c r="BY140" t="n">
        <v>2025</v>
      </c>
      <c r="BZ140" t="inlineStr">
        <is>
          <t>01/01/2024</t>
        </is>
      </c>
      <c r="CA140" t="inlineStr">
        <is>
          <t>30/09/2031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39" t="n">
        <v>66300</v>
      </c>
      <c r="H141" s="39" t="n">
        <v>66300</v>
      </c>
      <c r="M141" s="39" t="n"/>
      <c r="N141" s="39" t="n"/>
      <c r="S141" s="39" t="n"/>
      <c r="T141" s="39" t="n"/>
      <c r="Y141" s="39" t="n"/>
      <c r="Z141" s="39" t="n"/>
      <c r="AA141" t="inlineStr">
        <is>
          <t>Edwin Modigliani Efrai Suclla Flores</t>
        </is>
      </c>
      <c r="AB141" t="inlineStr">
        <is>
          <t>08062531</t>
        </is>
      </c>
      <c r="AC141" t="inlineStr">
        <is>
          <t xml:space="preserve">Jr. Monitor Huascar Norte N° 551 Urb. Ventura Rossi  </t>
        </is>
      </c>
      <c r="AD141" t="n">
        <v>997463109</v>
      </c>
      <c r="AE141" t="inlineStr">
        <is>
          <t>997463109</t>
        </is>
      </c>
      <c r="AF141" t="inlineStr">
        <is>
          <t>efrainchbxpar@gmail.com</t>
        </is>
      </c>
      <c r="AG141" t="inlineStr">
        <is>
          <t>LIMA</t>
        </is>
      </c>
      <c r="AH141" t="inlineStr">
        <is>
          <t>RIMAC</t>
        </is>
      </c>
      <c r="AI141" s="116" t="n">
        <v>45867</v>
      </c>
      <c r="AJ141" s="116" t="n">
        <v>45862</v>
      </c>
      <c r="AK141" t="inlineStr">
        <is>
          <t>SALDO FINANCIAR</t>
        </is>
      </c>
      <c r="AL141" t="n">
        <v>1</v>
      </c>
      <c r="AM141" t="n">
        <v>7037.5</v>
      </c>
      <c r="AN141" t="n">
        <v>0</v>
      </c>
      <c r="AO141" t="n">
        <v>0</v>
      </c>
      <c r="AP141" s="39" t="n">
        <v>7037.5</v>
      </c>
      <c r="AQ141" s="39" t="n">
        <v>7037.5</v>
      </c>
      <c r="AR141" s="39" t="n">
        <v>0</v>
      </c>
      <c r="AS141" t="n">
        <v>0</v>
      </c>
      <c r="AT141" t="inlineStr">
        <is>
          <t>Crédito Directo</t>
        </is>
      </c>
      <c r="AU141" t="inlineStr">
        <is>
          <t>Scotiabank Perú</t>
        </is>
      </c>
      <c r="AV141" t="inlineStr">
        <is>
          <t>000-2768484</t>
        </is>
      </c>
      <c r="AW141" t="inlineStr">
        <is>
          <t>TRANSFERENCIA BANCARIA</t>
        </is>
      </c>
      <c r="AY141" t="inlineStr">
        <is>
          <t>u27404</t>
        </is>
      </c>
      <c r="AZ141" t="inlineStr">
        <is>
          <t>No</t>
        </is>
      </c>
      <c r="BB141" t="n">
        <v>4</v>
      </c>
      <c r="BC141" t="inlineStr">
        <is>
          <t>CANCELADO</t>
        </is>
      </c>
      <c r="BN141" t="inlineStr">
        <is>
          <t>Si</t>
        </is>
      </c>
      <c r="BO141" s="117" t="n">
        <v>45862.56597222222</v>
      </c>
      <c r="BP141" t="inlineStr">
        <is>
          <t>Magaly Guevara Perez</t>
        </is>
      </c>
      <c r="BR141" t="n">
        <v>55</v>
      </c>
      <c r="BS141" t="inlineStr">
        <is>
          <t>26/06/2026 16:53</t>
        </is>
      </c>
      <c r="BT141" t="n">
        <v>0</v>
      </c>
      <c r="BX141" t="inlineStr">
        <is>
          <t>Cobranzas_2025.csv</t>
        </is>
      </c>
      <c r="BY141" t="n">
        <v>2025</v>
      </c>
      <c r="BZ141" t="inlineStr">
        <is>
          <t>01/01/2024</t>
        </is>
      </c>
      <c r="CA141" t="inlineStr">
        <is>
          <t>30/09/2031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39" t="n">
        <v>66300</v>
      </c>
      <c r="H142" s="39" t="n">
        <v>66300</v>
      </c>
      <c r="M142" s="39" t="n"/>
      <c r="N142" s="39" t="n"/>
      <c r="S142" s="39" t="n"/>
      <c r="T142" s="39" t="n"/>
      <c r="Y142" s="39" t="n"/>
      <c r="Z142" s="39" t="n"/>
      <c r="AA142" t="inlineStr">
        <is>
          <t>Edwin Modigliani Efrai Suclla Flores</t>
        </is>
      </c>
      <c r="AB142" t="inlineStr">
        <is>
          <t>08062531</t>
        </is>
      </c>
      <c r="AC142" t="inlineStr">
        <is>
          <t xml:space="preserve">Jr. Monitor Huascar Norte N° 551 Urb. Ventura Rossi  </t>
        </is>
      </c>
      <c r="AD142" t="n">
        <v>997463109</v>
      </c>
      <c r="AE142" t="inlineStr">
        <is>
          <t>997463109</t>
        </is>
      </c>
      <c r="AF142" t="inlineStr">
        <is>
          <t>efrainchbxpar@gmail.com</t>
        </is>
      </c>
      <c r="AG142" t="inlineStr">
        <is>
          <t>LIMA</t>
        </is>
      </c>
      <c r="AH142" t="inlineStr">
        <is>
          <t>RIMAC</t>
        </is>
      </c>
      <c r="AI142" s="116" t="n">
        <v>45898</v>
      </c>
      <c r="AJ142" s="116" t="n">
        <v>45888</v>
      </c>
      <c r="AK142" t="inlineStr">
        <is>
          <t>SALDO FINANCIAR</t>
        </is>
      </c>
      <c r="AL142" t="n">
        <v>2</v>
      </c>
      <c r="AM142" t="n">
        <v>7037.5</v>
      </c>
      <c r="AN142" t="n">
        <v>0</v>
      </c>
      <c r="AO142" t="n">
        <v>0</v>
      </c>
      <c r="AP142" s="39" t="n">
        <v>7037.5</v>
      </c>
      <c r="AQ142" s="39" t="n">
        <v>7037.5</v>
      </c>
      <c r="AR142" s="39" t="n">
        <v>0</v>
      </c>
      <c r="AS142" t="n">
        <v>0</v>
      </c>
      <c r="AT142" t="inlineStr">
        <is>
          <t>Crédito Directo</t>
        </is>
      </c>
      <c r="AU142" t="inlineStr">
        <is>
          <t>Scotiabank Perú</t>
        </is>
      </c>
      <c r="AV142" t="inlineStr">
        <is>
          <t>000-2768484</t>
        </is>
      </c>
      <c r="AW142" t="inlineStr">
        <is>
          <t>TRANSFERENCIA BANCARIA</t>
        </is>
      </c>
      <c r="AY142" t="inlineStr">
        <is>
          <t>u20084</t>
        </is>
      </c>
      <c r="AZ142" t="inlineStr">
        <is>
          <t>No</t>
        </is>
      </c>
      <c r="BB142" t="n">
        <v>4</v>
      </c>
      <c r="BC142" t="inlineStr">
        <is>
          <t>CANCELADO</t>
        </is>
      </c>
      <c r="BN142" t="inlineStr">
        <is>
          <t>Si</t>
        </is>
      </c>
      <c r="BO142" s="117" t="n">
        <v>45862.56597222222</v>
      </c>
      <c r="BP142" t="inlineStr">
        <is>
          <t>Magaly Guevara Perez</t>
        </is>
      </c>
      <c r="BR142" t="n">
        <v>55</v>
      </c>
      <c r="BS142" t="inlineStr">
        <is>
          <t>26/06/2026 16:57</t>
        </is>
      </c>
      <c r="BT142" t="n">
        <v>0</v>
      </c>
      <c r="BX142" t="inlineStr">
        <is>
          <t>Cobranzas_2025.csv</t>
        </is>
      </c>
      <c r="BY142" t="n">
        <v>2025</v>
      </c>
      <c r="BZ142" t="inlineStr">
        <is>
          <t>01/01/2024</t>
        </is>
      </c>
      <c r="CA142" t="inlineStr">
        <is>
          <t>30/09/2031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39" t="n">
        <v>66300</v>
      </c>
      <c r="H143" s="39" t="n">
        <v>66300</v>
      </c>
      <c r="M143" s="39" t="n"/>
      <c r="N143" s="39" t="n"/>
      <c r="S143" s="39" t="n"/>
      <c r="T143" s="39" t="n"/>
      <c r="Y143" s="39" t="n"/>
      <c r="Z143" s="39" t="n"/>
      <c r="AA143" t="inlineStr">
        <is>
          <t>Edwin Modigliani Efrai Suclla Flores</t>
        </is>
      </c>
      <c r="AB143" t="inlineStr">
        <is>
          <t>08062531</t>
        </is>
      </c>
      <c r="AC143" t="inlineStr">
        <is>
          <t xml:space="preserve">Jr. Monitor Huascar Norte N° 551 Urb. Ventura Rossi  </t>
        </is>
      </c>
      <c r="AD143" t="n">
        <v>997463109</v>
      </c>
      <c r="AE143" t="inlineStr">
        <is>
          <t>997463109</t>
        </is>
      </c>
      <c r="AF143" t="inlineStr">
        <is>
          <t>efrainchbxpar@gmail.com</t>
        </is>
      </c>
      <c r="AG143" t="inlineStr">
        <is>
          <t>LIMA</t>
        </is>
      </c>
      <c r="AH143" t="inlineStr">
        <is>
          <t>RIMAC</t>
        </is>
      </c>
      <c r="AI143" s="116" t="n">
        <v>45929</v>
      </c>
      <c r="AJ143" s="116" t="n">
        <v>45929</v>
      </c>
      <c r="AK143" t="inlineStr">
        <is>
          <t>SALDO FINANCIAR</t>
        </is>
      </c>
      <c r="AL143" t="n">
        <v>3</v>
      </c>
      <c r="AM143" t="n">
        <v>7037.5</v>
      </c>
      <c r="AN143" t="n">
        <v>0</v>
      </c>
      <c r="AO143" t="n">
        <v>0</v>
      </c>
      <c r="AP143" s="39" t="n">
        <v>7037.5</v>
      </c>
      <c r="AQ143" s="39" t="n">
        <v>7037.5</v>
      </c>
      <c r="AR143" s="39" t="n">
        <v>0</v>
      </c>
      <c r="AS143" t="n">
        <v>0</v>
      </c>
      <c r="AT143" t="inlineStr">
        <is>
          <t>Crédito Directo</t>
        </is>
      </c>
      <c r="AU143" t="inlineStr">
        <is>
          <t>Scotiabank Perú</t>
        </is>
      </c>
      <c r="AV143" t="inlineStr">
        <is>
          <t>000-2768484</t>
        </is>
      </c>
      <c r="AW143" t="inlineStr">
        <is>
          <t>TRANSFERENCIA BANCARIA</t>
        </is>
      </c>
      <c r="AY143" t="inlineStr">
        <is>
          <t>7844655560605</t>
        </is>
      </c>
      <c r="AZ143" t="inlineStr">
        <is>
          <t>No</t>
        </is>
      </c>
      <c r="BB143" t="n">
        <v>4</v>
      </c>
      <c r="BC143" t="inlineStr">
        <is>
          <t>CANCELADO</t>
        </is>
      </c>
      <c r="BN143" t="inlineStr">
        <is>
          <t>Si</t>
        </is>
      </c>
      <c r="BO143" s="117" t="n">
        <v>45862.56597222222</v>
      </c>
      <c r="BP143" t="inlineStr">
        <is>
          <t>Magaly Guevara Perez</t>
        </is>
      </c>
      <c r="BR143" t="n">
        <v>55</v>
      </c>
      <c r="BS143" t="inlineStr">
        <is>
          <t>26/06/2026 16:59</t>
        </is>
      </c>
      <c r="BT143" t="n">
        <v>0</v>
      </c>
      <c r="BX143" t="inlineStr">
        <is>
          <t>Cobranzas_2025.csv</t>
        </is>
      </c>
      <c r="BY143" t="n">
        <v>2025</v>
      </c>
      <c r="BZ143" t="inlineStr">
        <is>
          <t>01/01/2024</t>
        </is>
      </c>
      <c r="CA143" t="inlineStr">
        <is>
          <t>30/09/2031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39" t="n">
        <v>66300</v>
      </c>
      <c r="H144" s="39" t="n">
        <v>66300</v>
      </c>
      <c r="M144" s="39" t="n"/>
      <c r="N144" s="39" t="n"/>
      <c r="S144" s="39" t="n"/>
      <c r="T144" s="39" t="n"/>
      <c r="Y144" s="39" t="n"/>
      <c r="Z144" s="39" t="n"/>
      <c r="AA144" t="inlineStr">
        <is>
          <t>Edwin Modigliani Efrai Suclla Flores</t>
        </is>
      </c>
      <c r="AB144" t="inlineStr">
        <is>
          <t>08062531</t>
        </is>
      </c>
      <c r="AC144" t="inlineStr">
        <is>
          <t xml:space="preserve">Jr. Monitor Huascar Norte N° 551 Urb. Ventura Rossi  </t>
        </is>
      </c>
      <c r="AD144" t="n">
        <v>997463109</v>
      </c>
      <c r="AE144" t="inlineStr">
        <is>
          <t>997463109</t>
        </is>
      </c>
      <c r="AF144" t="inlineStr">
        <is>
          <t>efrainchbxpar@gmail.com</t>
        </is>
      </c>
      <c r="AG144" t="inlineStr">
        <is>
          <t>LIMA</t>
        </is>
      </c>
      <c r="AH144" t="inlineStr">
        <is>
          <t>RIMAC</t>
        </is>
      </c>
      <c r="AI144" s="116" t="n">
        <v>45959</v>
      </c>
      <c r="AJ144" s="116" t="n">
        <v>45957</v>
      </c>
      <c r="AK144" t="inlineStr">
        <is>
          <t>SALDO FINANCIAR</t>
        </is>
      </c>
      <c r="AL144" t="n">
        <v>4</v>
      </c>
      <c r="AM144" t="n">
        <v>7037.5</v>
      </c>
      <c r="AN144" t="n">
        <v>0</v>
      </c>
      <c r="AO144" t="n">
        <v>0</v>
      </c>
      <c r="AP144" s="39" t="n">
        <v>7037.5</v>
      </c>
      <c r="AQ144" s="39" t="n">
        <v>7037.5</v>
      </c>
      <c r="AR144" s="39" t="n">
        <v>0</v>
      </c>
      <c r="AS144" t="n">
        <v>0</v>
      </c>
      <c r="AT144" t="inlineStr">
        <is>
          <t>Crédito Directo</t>
        </is>
      </c>
      <c r="AU144" t="inlineStr">
        <is>
          <t>Scotiabank Perú</t>
        </is>
      </c>
      <c r="AV144" t="inlineStr">
        <is>
          <t>000-2768484</t>
        </is>
      </c>
      <c r="AW144" t="inlineStr">
        <is>
          <t>TRANSFERENCIA BANCARIA</t>
        </is>
      </c>
      <c r="AY144" t="inlineStr">
        <is>
          <t>u20084</t>
        </is>
      </c>
      <c r="AZ144" t="inlineStr">
        <is>
          <t>No</t>
        </is>
      </c>
      <c r="BB144" t="n">
        <v>4</v>
      </c>
      <c r="BC144" t="inlineStr">
        <is>
          <t>CANCELADO</t>
        </is>
      </c>
      <c r="BN144" t="inlineStr">
        <is>
          <t>Si</t>
        </is>
      </c>
      <c r="BO144" s="117" t="n">
        <v>45862.56597222222</v>
      </c>
      <c r="BP144" t="inlineStr">
        <is>
          <t>Magaly Guevara Perez</t>
        </is>
      </c>
      <c r="BR144" t="n">
        <v>55</v>
      </c>
      <c r="BS144" t="inlineStr">
        <is>
          <t>26/06/2026 17:01</t>
        </is>
      </c>
      <c r="BT144" t="n">
        <v>0</v>
      </c>
      <c r="BX144" t="inlineStr">
        <is>
          <t>Cobranzas_2025.csv</t>
        </is>
      </c>
      <c r="BY144" t="n">
        <v>2025</v>
      </c>
      <c r="BZ144" t="inlineStr">
        <is>
          <t>01/01/2024</t>
        </is>
      </c>
      <c r="CA144" t="inlineStr">
        <is>
          <t>30/09/2031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39" t="n">
        <v>66300</v>
      </c>
      <c r="H145" s="39" t="n">
        <v>66300</v>
      </c>
      <c r="M145" s="39" t="n"/>
      <c r="N145" s="39" t="n"/>
      <c r="S145" s="39" t="n"/>
      <c r="T145" s="39" t="n"/>
      <c r="Y145" s="39" t="n"/>
      <c r="Z145" s="39" t="n"/>
      <c r="AA145" t="inlineStr">
        <is>
          <t>Edwin Modigliani Efrai Suclla Flores</t>
        </is>
      </c>
      <c r="AB145" t="inlineStr">
        <is>
          <t>08062531</t>
        </is>
      </c>
      <c r="AC145" t="inlineStr">
        <is>
          <t xml:space="preserve">Jr. Monitor Huascar Norte N° 551 Urb. Ventura Rossi  </t>
        </is>
      </c>
      <c r="AD145" t="n">
        <v>997463109</v>
      </c>
      <c r="AE145" t="inlineStr">
        <is>
          <t>997463109</t>
        </is>
      </c>
      <c r="AF145" t="inlineStr">
        <is>
          <t>efrainchbxpar@gmail.com</t>
        </is>
      </c>
      <c r="AG145" t="inlineStr">
        <is>
          <t>LIMA</t>
        </is>
      </c>
      <c r="AH145" t="inlineStr">
        <is>
          <t>RIMAC</t>
        </is>
      </c>
      <c r="AI145" s="116" t="n">
        <v>45990</v>
      </c>
      <c r="AJ145" s="116" t="n">
        <v>45990</v>
      </c>
      <c r="AK145" t="inlineStr">
        <is>
          <t>SALDO FINANCIAR</t>
        </is>
      </c>
      <c r="AL145" t="n">
        <v>5</v>
      </c>
      <c r="AM145" t="n">
        <v>7037.5</v>
      </c>
      <c r="AN145" t="n">
        <v>0</v>
      </c>
      <c r="AO145" t="n">
        <v>0</v>
      </c>
      <c r="AP145" s="39" t="n">
        <v>7037.5</v>
      </c>
      <c r="AQ145" s="39" t="n">
        <v>7037.5</v>
      </c>
      <c r="AR145" s="39" t="n">
        <v>0</v>
      </c>
      <c r="AS145" t="n">
        <v>0</v>
      </c>
      <c r="AT145" t="inlineStr">
        <is>
          <t>Crédito Directo</t>
        </is>
      </c>
      <c r="AU145" t="inlineStr">
        <is>
          <t>Scotiabank Perú</t>
        </is>
      </c>
      <c r="AV145" t="inlineStr">
        <is>
          <t>000-2768484</t>
        </is>
      </c>
      <c r="AW145" t="inlineStr">
        <is>
          <t>TRANSFERENCIA BANCARIA</t>
        </is>
      </c>
      <c r="AY145" t="inlineStr">
        <is>
          <t>7844655569590</t>
        </is>
      </c>
      <c r="AZ145" t="inlineStr">
        <is>
          <t>No</t>
        </is>
      </c>
      <c r="BB145" t="n">
        <v>4</v>
      </c>
      <c r="BC145" t="inlineStr">
        <is>
          <t>CANCELADO</t>
        </is>
      </c>
      <c r="BN145" t="inlineStr">
        <is>
          <t>Si</t>
        </is>
      </c>
      <c r="BO145" s="117" t="n">
        <v>45862.56597222222</v>
      </c>
      <c r="BP145" t="inlineStr">
        <is>
          <t>Magaly Guevara Perez</t>
        </is>
      </c>
      <c r="BR145" t="n">
        <v>55</v>
      </c>
      <c r="BS145" t="inlineStr">
        <is>
          <t>26/06/2026 17:03</t>
        </is>
      </c>
      <c r="BT145" t="n">
        <v>0</v>
      </c>
      <c r="BX145" t="inlineStr">
        <is>
          <t>Cobranzas_2025.csv</t>
        </is>
      </c>
      <c r="BY145" t="n">
        <v>2025</v>
      </c>
      <c r="BZ145" t="inlineStr">
        <is>
          <t>01/01/2024</t>
        </is>
      </c>
      <c r="CA145" t="inlineStr">
        <is>
          <t>30/09/2031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39" t="n">
        <v>66300</v>
      </c>
      <c r="H146" s="39" t="n">
        <v>66300</v>
      </c>
      <c r="M146" s="39" t="n"/>
      <c r="N146" s="39" t="n"/>
      <c r="S146" s="39" t="n"/>
      <c r="T146" s="39" t="n"/>
      <c r="Y146" s="39" t="n"/>
      <c r="Z146" s="39" t="n"/>
      <c r="AA146" t="inlineStr">
        <is>
          <t>Edwin Modigliani Efrai Suclla Flores</t>
        </is>
      </c>
      <c r="AB146" t="inlineStr">
        <is>
          <t>08062531</t>
        </is>
      </c>
      <c r="AC146" t="inlineStr">
        <is>
          <t xml:space="preserve">Jr. Monitor Huascar Norte N° 551 Urb. Ventura Rossi  </t>
        </is>
      </c>
      <c r="AD146" t="n">
        <v>997463109</v>
      </c>
      <c r="AE146" t="inlineStr">
        <is>
          <t>997463109</t>
        </is>
      </c>
      <c r="AF146" t="inlineStr">
        <is>
          <t>efrainchbxpar@gmail.com</t>
        </is>
      </c>
      <c r="AG146" t="inlineStr">
        <is>
          <t>LIMA</t>
        </is>
      </c>
      <c r="AH146" t="inlineStr">
        <is>
          <t>RIMAC</t>
        </is>
      </c>
      <c r="AI146" s="116" t="n">
        <v>46020</v>
      </c>
      <c r="AJ146" s="116" t="n">
        <v>46008</v>
      </c>
      <c r="AK146" t="inlineStr">
        <is>
          <t>SALDO FINANCIAR</t>
        </is>
      </c>
      <c r="AL146" t="n">
        <v>6</v>
      </c>
      <c r="AM146" t="n">
        <v>7037.5</v>
      </c>
      <c r="AN146" t="n">
        <v>0</v>
      </c>
      <c r="AO146" t="n">
        <v>0</v>
      </c>
      <c r="AP146" s="39" t="n">
        <v>7037.5</v>
      </c>
      <c r="AQ146" s="39" t="n">
        <v>7037.5</v>
      </c>
      <c r="AR146" s="39" t="n">
        <v>0</v>
      </c>
      <c r="AS146" t="n">
        <v>0</v>
      </c>
      <c r="AT146" t="inlineStr">
        <is>
          <t>Crédito Directo</t>
        </is>
      </c>
      <c r="AU146" t="inlineStr">
        <is>
          <t>Scotiabank Perú</t>
        </is>
      </c>
      <c r="AV146" t="inlineStr">
        <is>
          <t>000-2768484</t>
        </is>
      </c>
      <c r="AW146" t="inlineStr">
        <is>
          <t>TRANSFERENCIA BANCARIA</t>
        </is>
      </c>
      <c r="AY146" t="inlineStr">
        <is>
          <t>7844655548889</t>
        </is>
      </c>
      <c r="AZ146" t="inlineStr">
        <is>
          <t>No</t>
        </is>
      </c>
      <c r="BB146" t="n">
        <v>4</v>
      </c>
      <c r="BC146" t="inlineStr">
        <is>
          <t>CANCELADO</t>
        </is>
      </c>
      <c r="BN146" t="inlineStr">
        <is>
          <t>Si</t>
        </is>
      </c>
      <c r="BO146" s="117" t="n">
        <v>45862.56597222222</v>
      </c>
      <c r="BP146" t="inlineStr">
        <is>
          <t>Magaly Guevara Perez</t>
        </is>
      </c>
      <c r="BR146" t="n">
        <v>55</v>
      </c>
      <c r="BS146" t="inlineStr">
        <is>
          <t>26/06/2026 17:03</t>
        </is>
      </c>
      <c r="BT146" t="n">
        <v>0</v>
      </c>
      <c r="BX146" t="inlineStr">
        <is>
          <t>Cobranzas_2025.csv</t>
        </is>
      </c>
      <c r="BY146" t="n">
        <v>2025</v>
      </c>
      <c r="BZ146" t="inlineStr">
        <is>
          <t>01/01/2024</t>
        </is>
      </c>
      <c r="CA146" t="inlineStr">
        <is>
          <t>30/09/2031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Departamento</t>
        </is>
      </c>
      <c r="F147" t="inlineStr">
        <is>
          <t>205</t>
        </is>
      </c>
      <c r="G147" s="39" t="n">
        <v>490000</v>
      </c>
      <c r="H147" s="39" t="n">
        <v>490000</v>
      </c>
      <c r="M147" s="39" t="n"/>
      <c r="N147" s="39" t="n"/>
      <c r="S147" s="39" t="n"/>
      <c r="T147" s="39" t="n"/>
      <c r="Y147" s="39" t="n"/>
      <c r="Z147" s="39" t="n"/>
      <c r="AA147" t="inlineStr">
        <is>
          <t>Elizabeth Rocio Urbina Ñañez</t>
        </is>
      </c>
      <c r="AB147" t="inlineStr">
        <is>
          <t>71404863</t>
        </is>
      </c>
      <c r="AC147" t="inlineStr">
        <is>
          <t>Av. Arequipa 2651</t>
        </is>
      </c>
      <c r="AE147" t="inlineStr">
        <is>
          <t>943921218</t>
        </is>
      </c>
      <c r="AF147" t="inlineStr">
        <is>
          <t>elizabethurbina9624@gmail.com</t>
        </is>
      </c>
      <c r="AG147" t="inlineStr">
        <is>
          <t>LIMA</t>
        </is>
      </c>
      <c r="AH147" t="inlineStr">
        <is>
          <t>LINCE</t>
        </is>
      </c>
      <c r="AI147" s="116" t="n">
        <v>45750</v>
      </c>
      <c r="AJ147" s="116" t="n">
        <v>45750</v>
      </c>
      <c r="AK147" t="inlineStr">
        <is>
          <t>SEPARACION</t>
        </is>
      </c>
      <c r="AL147" t="n">
        <v>4</v>
      </c>
      <c r="AM147" t="n">
        <v>10000</v>
      </c>
      <c r="AN147" t="n">
        <v>0</v>
      </c>
      <c r="AO147" t="n">
        <v>0</v>
      </c>
      <c r="AP147" s="39" t="n">
        <v>10000</v>
      </c>
      <c r="AQ147" s="39" t="n">
        <v>10000</v>
      </c>
      <c r="AR147" s="39" t="n">
        <v>0</v>
      </c>
      <c r="AS147" t="n">
        <v>0</v>
      </c>
      <c r="AT147" t="inlineStr">
        <is>
          <t>Crédito Hipotecario</t>
        </is>
      </c>
      <c r="AU147" t="inlineStr">
        <is>
          <t>Scotiabank Perú</t>
        </is>
      </c>
      <c r="AV147" t="inlineStr">
        <is>
          <t>000-2768484</t>
        </is>
      </c>
      <c r="AW147" t="inlineStr">
        <is>
          <t>TRANSFERENCIA BANCARIA</t>
        </is>
      </c>
      <c r="AY147" t="inlineStr">
        <is>
          <t>7848619</t>
        </is>
      </c>
      <c r="AZ147" t="inlineStr">
        <is>
          <t>No</t>
        </is>
      </c>
      <c r="BB147" t="n">
        <v>4</v>
      </c>
      <c r="BC147" t="inlineStr">
        <is>
          <t>CANCELADO</t>
        </is>
      </c>
      <c r="BN147" t="inlineStr">
        <is>
          <t>Si</t>
        </is>
      </c>
      <c r="BO147" s="117" t="n">
        <v>45750.73263888889</v>
      </c>
      <c r="BP147" t="inlineStr">
        <is>
          <t>Carla Michue M</t>
        </is>
      </c>
      <c r="BR147" t="n">
        <v>5</v>
      </c>
      <c r="BS147" t="inlineStr">
        <is>
          <t>14/07/2026 08:11</t>
        </is>
      </c>
      <c r="BT147" t="n">
        <v>0</v>
      </c>
      <c r="BX147" t="inlineStr">
        <is>
          <t>Cobranzas_2025.csv</t>
        </is>
      </c>
      <c r="BY147" t="n">
        <v>2025</v>
      </c>
      <c r="BZ147" t="inlineStr">
        <is>
          <t>01/01/2024</t>
        </is>
      </c>
      <c r="CA147" t="inlineStr">
        <is>
          <t>30/09/2031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39" t="n">
        <v>490000</v>
      </c>
      <c r="H148" s="39" t="n">
        <v>490000</v>
      </c>
      <c r="M148" s="39" t="n"/>
      <c r="N148" s="39" t="n"/>
      <c r="S148" s="39" t="n"/>
      <c r="T148" s="39" t="n"/>
      <c r="Y148" s="39" t="n"/>
      <c r="Z148" s="39" t="n"/>
      <c r="AA148" t="inlineStr">
        <is>
          <t>Elizabeth Rocio Urbina Ñañez</t>
        </is>
      </c>
      <c r="AB148" t="inlineStr">
        <is>
          <t>71404863</t>
        </is>
      </c>
      <c r="AC148" t="inlineStr">
        <is>
          <t>Av. Arequipa 2651</t>
        </is>
      </c>
      <c r="AE148" t="inlineStr">
        <is>
          <t>943921218</t>
        </is>
      </c>
      <c r="AF148" t="inlineStr">
        <is>
          <t>elizabethurbina9624@gmail.com</t>
        </is>
      </c>
      <c r="AG148" t="inlineStr">
        <is>
          <t>LIMA</t>
        </is>
      </c>
      <c r="AH148" t="inlineStr">
        <is>
          <t>LINCE</t>
        </is>
      </c>
      <c r="AI148" s="116" t="n">
        <v>45750</v>
      </c>
      <c r="AJ148" s="116" t="n">
        <v>45750</v>
      </c>
      <c r="AK148" t="inlineStr">
        <is>
          <t>CUOTA INICIAL</t>
        </is>
      </c>
      <c r="AL148" t="n">
        <v>1</v>
      </c>
      <c r="AM148" t="n">
        <v>86000</v>
      </c>
      <c r="AN148" t="n">
        <v>0</v>
      </c>
      <c r="AO148" t="n">
        <v>0</v>
      </c>
      <c r="AP148" s="39" t="n">
        <v>86000</v>
      </c>
      <c r="AQ148" s="39" t="n">
        <v>86000</v>
      </c>
      <c r="AR148" s="39" t="n">
        <v>0</v>
      </c>
      <c r="AS148" t="n">
        <v>0</v>
      </c>
      <c r="AT148" t="inlineStr">
        <is>
          <t>Crédito Hipotecario</t>
        </is>
      </c>
      <c r="AU148" t="inlineStr">
        <is>
          <t>Scotiabank Perú</t>
        </is>
      </c>
      <c r="AV148" t="inlineStr">
        <is>
          <t>000-2768484</t>
        </is>
      </c>
      <c r="AW148" t="inlineStr">
        <is>
          <t>TRANSFERENCIA BANCARIA</t>
        </is>
      </c>
      <c r="AY148" t="inlineStr">
        <is>
          <t>7848619</t>
        </is>
      </c>
      <c r="AZ148" t="inlineStr">
        <is>
          <t>No</t>
        </is>
      </c>
      <c r="BB148" t="n">
        <v>4</v>
      </c>
      <c r="BC148" t="inlineStr">
        <is>
          <t>CANCELADO</t>
        </is>
      </c>
      <c r="BN148" t="inlineStr">
        <is>
          <t>Si</t>
        </is>
      </c>
      <c r="BO148" s="117" t="n">
        <v>45750.73263888889</v>
      </c>
      <c r="BP148" t="inlineStr">
        <is>
          <t>Carla Michue M</t>
        </is>
      </c>
      <c r="BR148" t="n">
        <v>5</v>
      </c>
      <c r="BS148" t="inlineStr">
        <is>
          <t>14/07/2026 08:11</t>
        </is>
      </c>
      <c r="BT148" t="n">
        <v>0</v>
      </c>
      <c r="BX148" t="inlineStr">
        <is>
          <t>Cobranzas_2025.csv</t>
        </is>
      </c>
      <c r="BY148" t="n">
        <v>2025</v>
      </c>
      <c r="BZ148" t="inlineStr">
        <is>
          <t>01/01/2024</t>
        </is>
      </c>
      <c r="CA148" t="inlineStr">
        <is>
          <t>30/09/2031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39" t="n">
        <v>490000</v>
      </c>
      <c r="H149" s="39" t="n">
        <v>490000</v>
      </c>
      <c r="M149" s="39" t="n"/>
      <c r="N149" s="39" t="n"/>
      <c r="S149" s="39" t="n"/>
      <c r="T149" s="39" t="n"/>
      <c r="Y149" s="39" t="n"/>
      <c r="Z149" s="39" t="n"/>
      <c r="AA149" t="inlineStr">
        <is>
          <t>Elizabeth Rocio Urbina Ñañez</t>
        </is>
      </c>
      <c r="AB149" t="inlineStr">
        <is>
          <t>71404863</t>
        </is>
      </c>
      <c r="AC149" t="inlineStr">
        <is>
          <t>Av. Arequipa 2651</t>
        </is>
      </c>
      <c r="AE149" t="inlineStr">
        <is>
          <t>943921218</t>
        </is>
      </c>
      <c r="AF149" t="inlineStr">
        <is>
          <t>elizabethurbina9624@gmail.com</t>
        </is>
      </c>
      <c r="AG149" t="inlineStr">
        <is>
          <t>LIMA</t>
        </is>
      </c>
      <c r="AH149" t="inlineStr">
        <is>
          <t>LINCE</t>
        </is>
      </c>
      <c r="AI149" s="116" t="n">
        <v>45777</v>
      </c>
      <c r="AJ149" s="116" t="n">
        <v>45900</v>
      </c>
      <c r="AK149" t="inlineStr">
        <is>
          <t>SALDO FINANCIAR</t>
        </is>
      </c>
      <c r="AL149" t="n">
        <v>1</v>
      </c>
      <c r="AM149" t="n">
        <v>392000</v>
      </c>
      <c r="AN149" t="n">
        <v>0</v>
      </c>
      <c r="AO149" t="n">
        <v>0</v>
      </c>
      <c r="AP149" s="39" t="n">
        <v>392000</v>
      </c>
      <c r="AQ149" s="39" t="n">
        <v>392000</v>
      </c>
      <c r="AR149" s="39" t="n">
        <v>0</v>
      </c>
      <c r="AS149" t="n">
        <v>0</v>
      </c>
      <c r="AT149" t="inlineStr">
        <is>
          <t>Crédito Hipotecario</t>
        </is>
      </c>
      <c r="AU149" t="inlineStr">
        <is>
          <t>Scotiabank Perú</t>
        </is>
      </c>
      <c r="AV149" t="inlineStr">
        <is>
          <t>000-2768484</t>
        </is>
      </c>
      <c r="AW149" t="inlineStr">
        <is>
          <t>TRANSFERENCIA BANCARIA</t>
        </is>
      </c>
      <c r="AZ149" t="inlineStr">
        <is>
          <t>Si</t>
        </is>
      </c>
      <c r="BB149" t="n">
        <v>4</v>
      </c>
      <c r="BC149" t="inlineStr">
        <is>
          <t>CANCELADO</t>
        </is>
      </c>
      <c r="BN149" t="inlineStr">
        <is>
          <t>Si</t>
        </is>
      </c>
      <c r="BO149" s="117" t="n">
        <v>45750.73263888889</v>
      </c>
      <c r="BP149" t="inlineStr">
        <is>
          <t>Carla Michue M</t>
        </is>
      </c>
      <c r="BR149" t="n">
        <v>5</v>
      </c>
      <c r="BS149" t="inlineStr">
        <is>
          <t>07/07/2026 08:37</t>
        </is>
      </c>
      <c r="BT149" t="n">
        <v>0</v>
      </c>
      <c r="BX149" t="inlineStr">
        <is>
          <t>Cobranzas_2025.csv</t>
        </is>
      </c>
      <c r="BY149" t="n">
        <v>2025</v>
      </c>
      <c r="BZ149" t="inlineStr">
        <is>
          <t>01/01/2024</t>
        </is>
      </c>
      <c r="CA149" t="inlineStr">
        <is>
          <t>30/09/2031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Estacionamiento</t>
        </is>
      </c>
      <c r="F150" t="inlineStr">
        <is>
          <t>E 08</t>
        </is>
      </c>
      <c r="G150" s="39" t="n">
        <v>47500</v>
      </c>
      <c r="H150" s="39" t="n">
        <v>47500</v>
      </c>
      <c r="M150" s="39" t="n"/>
      <c r="N150" s="39" t="n"/>
      <c r="S150" s="39" t="n"/>
      <c r="T150" s="39" t="n"/>
      <c r="Y150" s="39" t="n"/>
      <c r="Z150" s="39" t="n"/>
      <c r="AA150" t="inlineStr">
        <is>
          <t>Elizabeth Rocio Urbina Ñañez</t>
        </is>
      </c>
      <c r="AB150" t="inlineStr">
        <is>
          <t>71404863</t>
        </is>
      </c>
      <c r="AC150" t="inlineStr">
        <is>
          <t>Av. Arequipa 2651</t>
        </is>
      </c>
      <c r="AD150" t="n">
        <v>0</v>
      </c>
      <c r="AE150" t="inlineStr">
        <is>
          <t>943921218</t>
        </is>
      </c>
      <c r="AF150" t="inlineStr">
        <is>
          <t>elizabethurbina9624@gmail.com</t>
        </is>
      </c>
      <c r="AG150" t="inlineStr">
        <is>
          <t>LIMA</t>
        </is>
      </c>
      <c r="AH150" t="inlineStr">
        <is>
          <t>LINCE</t>
        </is>
      </c>
      <c r="AI150" s="116" t="n">
        <v>45903</v>
      </c>
      <c r="AJ150" s="116" t="n">
        <v>45903</v>
      </c>
      <c r="AK150" t="inlineStr">
        <is>
          <t>SEPARACION</t>
        </is>
      </c>
      <c r="AL150" t="n">
        <v>1</v>
      </c>
      <c r="AM150" t="n">
        <v>3000</v>
      </c>
      <c r="AN150" t="n">
        <v>0</v>
      </c>
      <c r="AO150" t="n">
        <v>0</v>
      </c>
      <c r="AP150" s="39" t="n">
        <v>3000</v>
      </c>
      <c r="AQ150" s="39" t="n">
        <v>3000</v>
      </c>
      <c r="AR150" s="39" t="n">
        <v>0</v>
      </c>
      <c r="AS150" t="n">
        <v>0</v>
      </c>
      <c r="AT150" t="inlineStr">
        <is>
          <t>Crédito Directo</t>
        </is>
      </c>
      <c r="AU150" t="inlineStr">
        <is>
          <t>Scotiabank Perú</t>
        </is>
      </c>
      <c r="AV150" t="inlineStr">
        <is>
          <t>000-2768484</t>
        </is>
      </c>
      <c r="AW150" t="inlineStr">
        <is>
          <t>TRANSFERENCIA BANCARIA</t>
        </is>
      </c>
      <c r="AY150" t="inlineStr">
        <is>
          <t>3662503</t>
        </is>
      </c>
      <c r="AZ150" t="inlineStr">
        <is>
          <t>No</t>
        </is>
      </c>
      <c r="BB150" t="n">
        <v>4</v>
      </c>
      <c r="BC150" t="inlineStr">
        <is>
          <t>CANCELADO</t>
        </is>
      </c>
      <c r="BN150" t="inlineStr">
        <is>
          <t>Si</t>
        </is>
      </c>
      <c r="BO150" s="117" t="n">
        <v>45903.68958333333</v>
      </c>
      <c r="BP150" t="inlineStr">
        <is>
          <t>Carla Michue M</t>
        </is>
      </c>
      <c r="BR150" t="n">
        <v>53</v>
      </c>
      <c r="BS150" t="inlineStr">
        <is>
          <t>03/07/2026 10:22</t>
        </is>
      </c>
      <c r="BT150" t="n">
        <v>0</v>
      </c>
      <c r="BX150" t="inlineStr">
        <is>
          <t>Cobranzas_2025.csv</t>
        </is>
      </c>
      <c r="BY150" t="n">
        <v>2025</v>
      </c>
      <c r="BZ150" t="inlineStr">
        <is>
          <t>01/01/2024</t>
        </is>
      </c>
      <c r="CA150" t="inlineStr">
        <is>
          <t>30/09/2031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39" t="n">
        <v>47500</v>
      </c>
      <c r="H151" s="39" t="n">
        <v>47500</v>
      </c>
      <c r="M151" s="39" t="n"/>
      <c r="N151" s="39" t="n"/>
      <c r="S151" s="39" t="n"/>
      <c r="T151" s="39" t="n"/>
      <c r="Y151" s="39" t="n"/>
      <c r="Z151" s="39" t="n"/>
      <c r="AA151" t="inlineStr">
        <is>
          <t>Elizabeth Rocio Urbina Ñañez</t>
        </is>
      </c>
      <c r="AB151" t="inlineStr">
        <is>
          <t>71404863</t>
        </is>
      </c>
      <c r="AC151" t="inlineStr">
        <is>
          <t>Av. Arequipa 2651</t>
        </is>
      </c>
      <c r="AD151" t="n">
        <v>0</v>
      </c>
      <c r="AE151" t="inlineStr">
        <is>
          <t>943921218</t>
        </is>
      </c>
      <c r="AF151" t="inlineStr">
        <is>
          <t>elizabethurbina9624@gmail.com</t>
        </is>
      </c>
      <c r="AG151" t="inlineStr">
        <is>
          <t>LIMA</t>
        </is>
      </c>
      <c r="AH151" t="inlineStr">
        <is>
          <t>LINCE</t>
        </is>
      </c>
      <c r="AI151" s="116" t="n">
        <v>45903</v>
      </c>
      <c r="AJ151" s="116" t="n">
        <v>45903</v>
      </c>
      <c r="AK151" t="inlineStr">
        <is>
          <t>CUOTA INICIAL</t>
        </is>
      </c>
      <c r="AL151" t="n">
        <v>1</v>
      </c>
      <c r="AM151" t="n">
        <v>7000</v>
      </c>
      <c r="AN151" t="n">
        <v>0</v>
      </c>
      <c r="AO151" t="n">
        <v>0</v>
      </c>
      <c r="AP151" s="39" t="n">
        <v>7000</v>
      </c>
      <c r="AQ151" s="39" t="n">
        <v>7000</v>
      </c>
      <c r="AR151" s="39" t="n">
        <v>0</v>
      </c>
      <c r="AS151" t="n">
        <v>0</v>
      </c>
      <c r="AT151" t="inlineStr">
        <is>
          <t>Crédito Directo</t>
        </is>
      </c>
      <c r="AU151" t="inlineStr">
        <is>
          <t>Scotiabank Perú</t>
        </is>
      </c>
      <c r="AV151" t="inlineStr">
        <is>
          <t>000-2768484</t>
        </is>
      </c>
      <c r="AW151" t="inlineStr">
        <is>
          <t>TRANSFERENCIA BANCARIA</t>
        </is>
      </c>
      <c r="AY151" t="inlineStr">
        <is>
          <t>3662503</t>
        </is>
      </c>
      <c r="AZ151" t="inlineStr">
        <is>
          <t>No</t>
        </is>
      </c>
      <c r="BB151" t="n">
        <v>4</v>
      </c>
      <c r="BC151" t="inlineStr">
        <is>
          <t>CANCELADO</t>
        </is>
      </c>
      <c r="BN151" t="inlineStr">
        <is>
          <t>Si</t>
        </is>
      </c>
      <c r="BO151" s="117" t="n">
        <v>45903.68958333333</v>
      </c>
      <c r="BP151" t="inlineStr">
        <is>
          <t>Carla Michue M</t>
        </is>
      </c>
      <c r="BR151" t="n">
        <v>53</v>
      </c>
      <c r="BS151" t="inlineStr">
        <is>
          <t>03/07/2026 10:22</t>
        </is>
      </c>
      <c r="BT151" t="n">
        <v>0</v>
      </c>
      <c r="BX151" t="inlineStr">
        <is>
          <t>Cobranzas_2025.csv</t>
        </is>
      </c>
      <c r="BY151" t="n">
        <v>2025</v>
      </c>
      <c r="BZ151" t="inlineStr">
        <is>
          <t>01/01/2024</t>
        </is>
      </c>
      <c r="CA151" t="inlineStr">
        <is>
          <t>30/09/2031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39" t="n">
        <v>47500</v>
      </c>
      <c r="H152" s="39" t="n">
        <v>47500</v>
      </c>
      <c r="M152" s="39" t="n"/>
      <c r="N152" s="39" t="n"/>
      <c r="S152" s="39" t="n"/>
      <c r="T152" s="39" t="n"/>
      <c r="Y152" s="39" t="n"/>
      <c r="Z152" s="39" t="n"/>
      <c r="AA152" t="inlineStr">
        <is>
          <t>Elizabeth Rocio Urbina Ñañez</t>
        </is>
      </c>
      <c r="AB152" t="inlineStr">
        <is>
          <t>71404863</t>
        </is>
      </c>
      <c r="AC152" t="inlineStr">
        <is>
          <t>Av. Arequipa 2651</t>
        </is>
      </c>
      <c r="AD152" t="n">
        <v>0</v>
      </c>
      <c r="AE152" t="inlineStr">
        <is>
          <t>943921218</t>
        </is>
      </c>
      <c r="AF152" t="inlineStr">
        <is>
          <t>elizabethurbina9624@gmail.com</t>
        </is>
      </c>
      <c r="AG152" t="inlineStr">
        <is>
          <t>LIMA</t>
        </is>
      </c>
      <c r="AH152" t="inlineStr">
        <is>
          <t>LINCE</t>
        </is>
      </c>
      <c r="AI152" s="116" t="n">
        <v>45992</v>
      </c>
      <c r="AJ152" s="116" t="n">
        <v>45992</v>
      </c>
      <c r="AK152" t="inlineStr">
        <is>
          <t>SALDO FINANCIAR</t>
        </is>
      </c>
      <c r="AL152" t="n">
        <v>1</v>
      </c>
      <c r="AM152" t="n">
        <v>8000</v>
      </c>
      <c r="AN152" t="n">
        <v>0</v>
      </c>
      <c r="AO152" t="n">
        <v>0</v>
      </c>
      <c r="AP152" s="39" t="n">
        <v>8000</v>
      </c>
      <c r="AQ152" s="39" t="n">
        <v>8000</v>
      </c>
      <c r="AR152" s="39" t="n">
        <v>0</v>
      </c>
      <c r="AS152" t="n">
        <v>0</v>
      </c>
      <c r="AT152" t="inlineStr">
        <is>
          <t>Crédito Directo</t>
        </is>
      </c>
      <c r="AU152" t="inlineStr">
        <is>
          <t>Scotiabank Perú</t>
        </is>
      </c>
      <c r="AV152" t="inlineStr">
        <is>
          <t>000-2768484</t>
        </is>
      </c>
      <c r="AW152" t="inlineStr">
        <is>
          <t>TRANSFERENCIA BANCARIA</t>
        </is>
      </c>
      <c r="AY152" t="inlineStr">
        <is>
          <t>6821104</t>
        </is>
      </c>
      <c r="AZ152" t="inlineStr">
        <is>
          <t>No</t>
        </is>
      </c>
      <c r="BB152" t="n">
        <v>4</v>
      </c>
      <c r="BC152" t="inlineStr">
        <is>
          <t>CANCELADO</t>
        </is>
      </c>
      <c r="BN152" t="inlineStr">
        <is>
          <t>Si</t>
        </is>
      </c>
      <c r="BO152" s="117" t="n">
        <v>45903.68958333333</v>
      </c>
      <c r="BP152" t="inlineStr">
        <is>
          <t>Carla Michue M</t>
        </is>
      </c>
      <c r="BR152" t="n">
        <v>53</v>
      </c>
      <c r="BS152" t="inlineStr">
        <is>
          <t>03/07/2026 10:25</t>
        </is>
      </c>
      <c r="BT152" t="n">
        <v>0</v>
      </c>
      <c r="BX152" t="inlineStr">
        <is>
          <t>Cobranzas_2025.csv</t>
        </is>
      </c>
      <c r="BY152" t="n">
        <v>2025</v>
      </c>
      <c r="BZ152" t="inlineStr">
        <is>
          <t>01/01/2024</t>
        </is>
      </c>
      <c r="CA152" t="inlineStr">
        <is>
          <t>30/09/2031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Departamento</t>
        </is>
      </c>
      <c r="F153" t="inlineStr">
        <is>
          <t>101</t>
        </is>
      </c>
      <c r="G153" s="39" t="n">
        <v>637000</v>
      </c>
      <c r="H153" s="39" t="n">
        <v>637000</v>
      </c>
      <c r="M153" s="39" t="n"/>
      <c r="N153" s="39" t="n"/>
      <c r="S153" s="39" t="n"/>
      <c r="T153" s="39" t="n"/>
      <c r="Y153" s="39" t="n"/>
      <c r="Z153" s="39" t="n"/>
      <c r="AA153" t="inlineStr">
        <is>
          <t>Elmo Calatayud Chumbes</t>
        </is>
      </c>
      <c r="AB153" t="inlineStr">
        <is>
          <t>15580131</t>
        </is>
      </c>
      <c r="AC153" t="inlineStr">
        <is>
          <t>Avenida Tomas Valles 1530 Block 14 departamento 204</t>
        </is>
      </c>
      <c r="AD153" t="n">
        <v>955600933</v>
      </c>
      <c r="AE153" t="inlineStr">
        <is>
          <t>955600933</t>
        </is>
      </c>
      <c r="AF153" t="inlineStr">
        <is>
          <t>ec.calatayud@gmail.com</t>
        </is>
      </c>
      <c r="AG153" t="inlineStr">
        <is>
          <t>LIMA</t>
        </is>
      </c>
      <c r="AH153" t="inlineStr">
        <is>
          <t>LOS OLIVOS</t>
        </is>
      </c>
      <c r="AI153" s="116" t="n">
        <v>45723</v>
      </c>
      <c r="AJ153" s="116" t="n">
        <v>45723</v>
      </c>
      <c r="AK153" t="inlineStr">
        <is>
          <t>SALDO FINANCIAR</t>
        </is>
      </c>
      <c r="AL153" t="n">
        <v>1</v>
      </c>
      <c r="AM153" t="n">
        <v>573300</v>
      </c>
      <c r="AN153" t="n">
        <v>0</v>
      </c>
      <c r="AO153" t="n">
        <v>0</v>
      </c>
      <c r="AP153" s="39" t="n">
        <v>573300</v>
      </c>
      <c r="AQ153" s="39" t="n">
        <v>573300</v>
      </c>
      <c r="AR153" s="39" t="n">
        <v>0</v>
      </c>
      <c r="AS153" t="n">
        <v>0</v>
      </c>
      <c r="AT153" t="inlineStr">
        <is>
          <t>Crédito Hipotecario</t>
        </is>
      </c>
      <c r="AU153" t="inlineStr">
        <is>
          <t>Scotiabank Perú</t>
        </is>
      </c>
      <c r="AV153" t="inlineStr">
        <is>
          <t>000-2768484</t>
        </is>
      </c>
      <c r="AW153" t="inlineStr">
        <is>
          <t>TRANSFERENCIA BANCARIA</t>
        </is>
      </c>
      <c r="AY153" t="inlineStr">
        <is>
          <t>07032025</t>
        </is>
      </c>
      <c r="AZ153" t="inlineStr">
        <is>
          <t>No</t>
        </is>
      </c>
      <c r="BB153" t="n">
        <v>4</v>
      </c>
      <c r="BC153" t="inlineStr">
        <is>
          <t>CANCELADO</t>
        </is>
      </c>
      <c r="BN153" t="inlineStr">
        <is>
          <t>Si</t>
        </is>
      </c>
      <c r="BO153" s="117" t="n">
        <v>45626.65</v>
      </c>
      <c r="BP153" t="inlineStr">
        <is>
          <t>Carla Michue M</t>
        </is>
      </c>
      <c r="BR153" t="n">
        <v>25</v>
      </c>
      <c r="BS153" t="inlineStr">
        <is>
          <t>26/06/2026 14:57</t>
        </is>
      </c>
      <c r="BT153" t="n">
        <v>0</v>
      </c>
      <c r="BX153" t="inlineStr">
        <is>
          <t>Cobranzas_2025.csv</t>
        </is>
      </c>
      <c r="BY153" t="n">
        <v>2025</v>
      </c>
      <c r="BZ153" t="inlineStr">
        <is>
          <t>01/01/2024</t>
        </is>
      </c>
      <c r="CA153" t="inlineStr">
        <is>
          <t>30/09/2031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Estacionamiento</t>
        </is>
      </c>
      <c r="F154" t="inlineStr">
        <is>
          <t>E 13 - D 10</t>
        </is>
      </c>
      <c r="G154" s="39" t="n">
        <v>57800</v>
      </c>
      <c r="H154" s="39" t="n">
        <v>57800</v>
      </c>
      <c r="M154" s="39" t="n"/>
      <c r="N154" s="39" t="n"/>
      <c r="S154" s="39" t="n"/>
      <c r="T154" s="39" t="n"/>
      <c r="Y154" s="39" t="n"/>
      <c r="Z154" s="39" t="n"/>
      <c r="AA154" t="inlineStr">
        <is>
          <t>Elmo Calatayud Chumbes</t>
        </is>
      </c>
      <c r="AB154" t="inlineStr">
        <is>
          <t>15580131</t>
        </is>
      </c>
      <c r="AC154" t="inlineStr">
        <is>
          <t>Avenida Tomas Valles 1530 Block 14 departamento 204</t>
        </is>
      </c>
      <c r="AD154" t="n">
        <v>955600933</v>
      </c>
      <c r="AE154" t="inlineStr">
        <is>
          <t>955600933</t>
        </is>
      </c>
      <c r="AF154" t="inlineStr">
        <is>
          <t>ec.calatayud@gmail.com</t>
        </is>
      </c>
      <c r="AG154" t="inlineStr">
        <is>
          <t>LIMA</t>
        </is>
      </c>
      <c r="AH154" t="inlineStr">
        <is>
          <t>LOS OLIVOS</t>
        </is>
      </c>
      <c r="AI154" s="116" t="n">
        <v>45831</v>
      </c>
      <c r="AJ154" s="116" t="n">
        <v>45831</v>
      </c>
      <c r="AK154" t="inlineStr">
        <is>
          <t>SEPARACION</t>
        </is>
      </c>
      <c r="AL154" t="n">
        <v>1</v>
      </c>
      <c r="AM154" t="n">
        <v>3000</v>
      </c>
      <c r="AN154" t="n">
        <v>0</v>
      </c>
      <c r="AO154" t="n">
        <v>0</v>
      </c>
      <c r="AP154" s="39" t="n">
        <v>3000</v>
      </c>
      <c r="AQ154" s="39" t="n">
        <v>3000</v>
      </c>
      <c r="AR154" s="39" t="n">
        <v>0</v>
      </c>
      <c r="AS154" t="n">
        <v>0</v>
      </c>
      <c r="AT154" t="inlineStr">
        <is>
          <t>Crédito Directo</t>
        </is>
      </c>
      <c r="AU154" t="inlineStr">
        <is>
          <t>Scotiabank Perú</t>
        </is>
      </c>
      <c r="AV154" t="inlineStr">
        <is>
          <t>000-2768484</t>
        </is>
      </c>
      <c r="AW154" t="inlineStr">
        <is>
          <t>TRANSFERENCIA BANCARIA</t>
        </is>
      </c>
      <c r="AY154" t="inlineStr">
        <is>
          <t>7844655526730</t>
        </is>
      </c>
      <c r="AZ154" t="inlineStr">
        <is>
          <t>No</t>
        </is>
      </c>
      <c r="BB154" t="n">
        <v>4</v>
      </c>
      <c r="BC154" t="inlineStr">
        <is>
          <t>CANCELADO</t>
        </is>
      </c>
      <c r="BN154" t="inlineStr">
        <is>
          <t>Si</t>
        </is>
      </c>
      <c r="BO154" s="117" t="n">
        <v>46083.42569444444</v>
      </c>
      <c r="BP154" t="inlineStr">
        <is>
          <t>Magaly Guevara Perez</t>
        </is>
      </c>
      <c r="BR154" t="n">
        <v>61</v>
      </c>
      <c r="BS154" t="inlineStr">
        <is>
          <t>26/06/2026 15:26</t>
        </is>
      </c>
      <c r="BT154" t="n">
        <v>0</v>
      </c>
      <c r="BX154" t="inlineStr">
        <is>
          <t>Cobranzas_2025.csv</t>
        </is>
      </c>
      <c r="BY154" t="n">
        <v>2025</v>
      </c>
      <c r="BZ154" t="inlineStr">
        <is>
          <t>01/01/2024</t>
        </is>
      </c>
      <c r="CA154" t="inlineStr">
        <is>
          <t>30/09/2031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39" t="n">
        <v>57800</v>
      </c>
      <c r="H155" s="39" t="n">
        <v>57800</v>
      </c>
      <c r="M155" s="39" t="n"/>
      <c r="N155" s="39" t="n"/>
      <c r="S155" s="39" t="n"/>
      <c r="T155" s="39" t="n"/>
      <c r="Y155" s="39" t="n"/>
      <c r="Z155" s="39" t="n"/>
      <c r="AA155" t="inlineStr">
        <is>
          <t>Elmo Calatayud Chumbes</t>
        </is>
      </c>
      <c r="AB155" t="inlineStr">
        <is>
          <t>15580131</t>
        </is>
      </c>
      <c r="AC155" t="inlineStr">
        <is>
          <t>Avenida Tomas Valles 1530 Block 14 departamento 204</t>
        </is>
      </c>
      <c r="AD155" t="n">
        <v>955600933</v>
      </c>
      <c r="AE155" t="inlineStr">
        <is>
          <t>955600933</t>
        </is>
      </c>
      <c r="AF155" t="inlineStr">
        <is>
          <t>ec.calatayud@gmail.com</t>
        </is>
      </c>
      <c r="AG155" t="inlineStr">
        <is>
          <t>LIMA</t>
        </is>
      </c>
      <c r="AH155" t="inlineStr">
        <is>
          <t>LOS OLIVOS</t>
        </is>
      </c>
      <c r="AI155" s="116" t="n">
        <v>45853</v>
      </c>
      <c r="AJ155" s="116" t="n">
        <v>45853</v>
      </c>
      <c r="AK155" t="inlineStr">
        <is>
          <t>CUOTA INICIAL</t>
        </is>
      </c>
      <c r="AL155" t="n">
        <v>1</v>
      </c>
      <c r="AM155" t="n">
        <v>7000</v>
      </c>
      <c r="AN155" t="n">
        <v>0</v>
      </c>
      <c r="AO155" t="n">
        <v>0</v>
      </c>
      <c r="AP155" s="39" t="n">
        <v>7000</v>
      </c>
      <c r="AQ155" s="39" t="n">
        <v>7000</v>
      </c>
      <c r="AR155" s="39" t="n">
        <v>0</v>
      </c>
      <c r="AS155" t="n">
        <v>0</v>
      </c>
      <c r="AT155" t="inlineStr">
        <is>
          <t>Crédito Directo</t>
        </is>
      </c>
      <c r="AU155" t="inlineStr">
        <is>
          <t>Scotiabank Perú</t>
        </is>
      </c>
      <c r="AV155" t="inlineStr">
        <is>
          <t>000-2768484</t>
        </is>
      </c>
      <c r="AW155" t="inlineStr">
        <is>
          <t>TRANSFERENCIA BANCARIA</t>
        </is>
      </c>
      <c r="AY155" t="inlineStr">
        <is>
          <t>7844655573192</t>
        </is>
      </c>
      <c r="AZ155" t="inlineStr">
        <is>
          <t>No</t>
        </is>
      </c>
      <c r="BB155" t="n">
        <v>4</v>
      </c>
      <c r="BC155" t="inlineStr">
        <is>
          <t>CANCELADO</t>
        </is>
      </c>
      <c r="BN155" t="inlineStr">
        <is>
          <t>Si</t>
        </is>
      </c>
      <c r="BO155" s="117" t="n">
        <v>46083.42569444444</v>
      </c>
      <c r="BP155" t="inlineStr">
        <is>
          <t>Magaly Guevara Perez</t>
        </is>
      </c>
      <c r="BR155" t="n">
        <v>61</v>
      </c>
      <c r="BS155" t="inlineStr">
        <is>
          <t>26/06/2026 15:29</t>
        </is>
      </c>
      <c r="BT155" t="n">
        <v>0</v>
      </c>
      <c r="BX155" t="inlineStr">
        <is>
          <t>Cobranzas_2025.csv</t>
        </is>
      </c>
      <c r="BY155" t="n">
        <v>2025</v>
      </c>
      <c r="BZ155" t="inlineStr">
        <is>
          <t>01/01/2024</t>
        </is>
      </c>
      <c r="CA155" t="inlineStr">
        <is>
          <t>30/09/2031</t>
        </is>
      </c>
    </row>
    <row r="156">
      <c r="A156" t="inlineStr">
        <is>
          <t>RESIDENCIAL BEYOND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Departamento</t>
        </is>
      </c>
      <c r="F156" t="inlineStr">
        <is>
          <t>403</t>
        </is>
      </c>
      <c r="G156" s="39" t="n">
        <v>504700</v>
      </c>
      <c r="H156" s="39" t="n">
        <v>459100</v>
      </c>
      <c r="I156" t="inlineStr">
        <is>
          <t>Edificio</t>
        </is>
      </c>
      <c r="J156" t="inlineStr">
        <is>
          <t>A</t>
        </is>
      </c>
      <c r="K156" t="inlineStr">
        <is>
          <t>Estacionamiento</t>
        </is>
      </c>
      <c r="L156" t="inlineStr">
        <is>
          <t>E 06</t>
        </is>
      </c>
      <c r="M156" s="39" t="n">
        <v>45600</v>
      </c>
      <c r="N156" s="39" t="n">
        <v>45600</v>
      </c>
      <c r="S156" s="39" t="n"/>
      <c r="T156" s="39" t="n"/>
      <c r="Y156" s="39" t="n"/>
      <c r="Z156" s="39" t="n"/>
      <c r="AA156" t="inlineStr">
        <is>
          <t>Erla Liseth Carhuavilca Pérez</t>
        </is>
      </c>
      <c r="AB156" t="inlineStr">
        <is>
          <t>40642153</t>
        </is>
      </c>
      <c r="AC156" t="inlineStr">
        <is>
          <t>Av. Bolivia 848 Dpto. 504</t>
        </is>
      </c>
      <c r="AD156" t="n">
        <v>0</v>
      </c>
      <c r="AE156" t="inlineStr">
        <is>
          <t>999200216</t>
        </is>
      </c>
      <c r="AF156" t="inlineStr">
        <is>
          <t>grecialiseth26@gmail.com</t>
        </is>
      </c>
      <c r="AG156" t="inlineStr">
        <is>
          <t>LIMA</t>
        </is>
      </c>
      <c r="AH156" t="inlineStr">
        <is>
          <t>BREÑA</t>
        </is>
      </c>
      <c r="AI156" s="116" t="n">
        <v>46001</v>
      </c>
      <c r="AJ156" s="116" t="n">
        <v>46001</v>
      </c>
      <c r="AK156" t="inlineStr">
        <is>
          <t>SEPARACION</t>
        </is>
      </c>
      <c r="AL156" t="n">
        <v>1</v>
      </c>
      <c r="AM156" t="n">
        <v>3000</v>
      </c>
      <c r="AN156" t="n">
        <v>0</v>
      </c>
      <c r="AO156" t="n">
        <v>0</v>
      </c>
      <c r="AP156" s="39" t="n">
        <v>3000</v>
      </c>
      <c r="AQ156" s="39" t="n">
        <v>3000</v>
      </c>
      <c r="AR156" s="39" t="n">
        <v>0</v>
      </c>
      <c r="AS156" t="n">
        <v>0</v>
      </c>
      <c r="AT156" t="inlineStr">
        <is>
          <t>Ahorro</t>
        </is>
      </c>
      <c r="AU156" t="inlineStr">
        <is>
          <t>Banco de Credito del Perú</t>
        </is>
      </c>
      <c r="AV156" t="inlineStr">
        <is>
          <t>194-7325779-0-65</t>
        </is>
      </c>
      <c r="AW156" t="inlineStr">
        <is>
          <t>TRANSFERENCIA BANCARIA</t>
        </is>
      </c>
      <c r="AY156" t="inlineStr">
        <is>
          <t>7844651999205</t>
        </is>
      </c>
      <c r="AZ156" t="inlineStr">
        <is>
          <t>No</t>
        </is>
      </c>
      <c r="BB156" t="n">
        <v>4</v>
      </c>
      <c r="BC156" t="inlineStr">
        <is>
          <t>CANCELADO</t>
        </is>
      </c>
      <c r="BN156" t="inlineStr">
        <is>
          <t>Si</t>
        </is>
      </c>
      <c r="BO156" s="117" t="n">
        <v>46017.42569444444</v>
      </c>
      <c r="BP156" t="inlineStr">
        <is>
          <t>Magaly Guevara Perez</t>
        </is>
      </c>
      <c r="BR156" t="n">
        <v>28</v>
      </c>
      <c r="BS156" t="inlineStr">
        <is>
          <t>01/05/2026 17:44</t>
        </is>
      </c>
      <c r="BT156" t="n">
        <v>0</v>
      </c>
      <c r="BX156" t="inlineStr">
        <is>
          <t>Cobranzas_2025.csv</t>
        </is>
      </c>
      <c r="BY156" t="n">
        <v>2025</v>
      </c>
      <c r="BZ156" t="inlineStr">
        <is>
          <t>01/01/2024</t>
        </is>
      </c>
      <c r="CA156" t="inlineStr">
        <is>
          <t>30/09/2031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39" t="n">
        <v>504700</v>
      </c>
      <c r="H157" s="39" t="n">
        <v>459100</v>
      </c>
      <c r="I157" t="inlineStr">
        <is>
          <t>Edificio</t>
        </is>
      </c>
      <c r="J157" t="inlineStr">
        <is>
          <t>A</t>
        </is>
      </c>
      <c r="K157" t="inlineStr">
        <is>
          <t>Estacionamiento</t>
        </is>
      </c>
      <c r="L157" t="inlineStr">
        <is>
          <t>E 06</t>
        </is>
      </c>
      <c r="M157" s="39" t="n">
        <v>45600</v>
      </c>
      <c r="N157" s="39" t="n">
        <v>45600</v>
      </c>
      <c r="S157" s="39" t="n"/>
      <c r="T157" s="39" t="n"/>
      <c r="Y157" s="39" t="n"/>
      <c r="Z157" s="39" t="n"/>
      <c r="AA157" t="inlineStr">
        <is>
          <t>Erla Liseth Carhuavilca Pérez</t>
        </is>
      </c>
      <c r="AB157" t="inlineStr">
        <is>
          <t>40642153</t>
        </is>
      </c>
      <c r="AC157" t="inlineStr">
        <is>
          <t>Av. Bolivia 848 Dpto. 504</t>
        </is>
      </c>
      <c r="AD157" t="n">
        <v>0</v>
      </c>
      <c r="AE157" t="inlineStr">
        <is>
          <t>999200216</t>
        </is>
      </c>
      <c r="AF157" t="inlineStr">
        <is>
          <t>grecialiseth26@gmail.com</t>
        </is>
      </c>
      <c r="AG157" t="inlineStr">
        <is>
          <t>LIMA</t>
        </is>
      </c>
      <c r="AH157" t="inlineStr">
        <is>
          <t>BREÑA</t>
        </is>
      </c>
      <c r="AI157" s="116" t="n">
        <v>46017</v>
      </c>
      <c r="AJ157" s="116" t="n">
        <v>46017</v>
      </c>
      <c r="AK157" t="inlineStr">
        <is>
          <t>CUOTA INICIAL</t>
        </is>
      </c>
      <c r="AL157" t="n">
        <v>1</v>
      </c>
      <c r="AM157" t="n">
        <v>10000</v>
      </c>
      <c r="AN157" t="n">
        <v>0</v>
      </c>
      <c r="AO157" t="n">
        <v>0</v>
      </c>
      <c r="AP157" s="39" t="n">
        <v>10000</v>
      </c>
      <c r="AQ157" s="39" t="n">
        <v>10000</v>
      </c>
      <c r="AR157" s="39" t="n">
        <v>0</v>
      </c>
      <c r="AS157" t="n">
        <v>0</v>
      </c>
      <c r="AT157" t="inlineStr">
        <is>
          <t>Ahorro</t>
        </is>
      </c>
      <c r="AU157" t="inlineStr">
        <is>
          <t>Banco de Credito del Perú</t>
        </is>
      </c>
      <c r="AV157" t="inlineStr">
        <is>
          <t>194-7325779-0-65</t>
        </is>
      </c>
      <c r="AW157" t="inlineStr">
        <is>
          <t>TRANSFERENCIA BANCARIA</t>
        </is>
      </c>
      <c r="AY157" t="inlineStr">
        <is>
          <t>784 465 192 8952</t>
        </is>
      </c>
      <c r="AZ157" t="inlineStr">
        <is>
          <t>No</t>
        </is>
      </c>
      <c r="BB157" t="n">
        <v>4</v>
      </c>
      <c r="BC157" t="inlineStr">
        <is>
          <t>CANCELADO</t>
        </is>
      </c>
      <c r="BN157" t="inlineStr">
        <is>
          <t>Si</t>
        </is>
      </c>
      <c r="BO157" s="117" t="n">
        <v>46017.42569444444</v>
      </c>
      <c r="BP157" t="inlineStr">
        <is>
          <t>Magaly Guevara Perez</t>
        </is>
      </c>
      <c r="BR157" t="n">
        <v>28</v>
      </c>
      <c r="BS157" t="inlineStr">
        <is>
          <t>27/07/2026 17:02</t>
        </is>
      </c>
      <c r="BT157" t="n">
        <v>0</v>
      </c>
      <c r="BX157" t="inlineStr">
        <is>
          <t>Cobranzas_2025.csv</t>
        </is>
      </c>
      <c r="BY157" t="n">
        <v>2025</v>
      </c>
      <c r="BZ157" t="inlineStr">
        <is>
          <t>01/01/2024</t>
        </is>
      </c>
      <c r="CA157" t="inlineStr">
        <is>
          <t>30/09/2031</t>
        </is>
      </c>
    </row>
    <row r="158">
      <c r="A158" t="inlineStr">
        <is>
          <t>RESIDENCIAL VENECIA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404</t>
        </is>
      </c>
      <c r="G158" s="39" t="n">
        <v>430000</v>
      </c>
      <c r="H158" s="39" t="n">
        <v>430000</v>
      </c>
      <c r="M158" s="39" t="n"/>
      <c r="N158" s="39" t="n"/>
      <c r="S158" s="39" t="n"/>
      <c r="T158" s="39" t="n"/>
      <c r="Y158" s="39" t="n"/>
      <c r="Z158" s="39" t="n"/>
      <c r="AA158" t="inlineStr">
        <is>
          <t>Evelyn Arciela Leon Estela</t>
        </is>
      </c>
      <c r="AB158" t="inlineStr">
        <is>
          <t>70313948</t>
        </is>
      </c>
      <c r="AC158" t="inlineStr">
        <is>
          <t xml:space="preserve">Segunda Etapa.Mz 41 Lt. 35 -Urb. Torre Blanca </t>
        </is>
      </c>
      <c r="AD158" t="n">
        <v>0</v>
      </c>
      <c r="AE158" t="inlineStr">
        <is>
          <t>980746975</t>
        </is>
      </c>
      <c r="AF158" t="inlineStr">
        <is>
          <t>eale.050791@gmail.com</t>
        </is>
      </c>
      <c r="AG158" t="inlineStr">
        <is>
          <t>LIMA</t>
        </is>
      </c>
      <c r="AH158" t="inlineStr">
        <is>
          <t>CARABAYLLO</t>
        </is>
      </c>
      <c r="AI158" s="116" t="n">
        <v>45918</v>
      </c>
      <c r="AJ158" s="116" t="n">
        <v>45918</v>
      </c>
      <c r="AK158" t="inlineStr">
        <is>
          <t>SEPARACION</t>
        </is>
      </c>
      <c r="AL158" t="n">
        <v>1</v>
      </c>
      <c r="AM158" t="n">
        <v>3000</v>
      </c>
      <c r="AN158" t="n">
        <v>0</v>
      </c>
      <c r="AO158" t="n">
        <v>0</v>
      </c>
      <c r="AP158" s="39" t="n">
        <v>3000</v>
      </c>
      <c r="AQ158" s="39" t="n">
        <v>3000</v>
      </c>
      <c r="AR158" s="39" t="n">
        <v>0</v>
      </c>
      <c r="AS158" t="n">
        <v>0</v>
      </c>
      <c r="AT158" t="inlineStr">
        <is>
          <t>Crédito Hipotecario</t>
        </is>
      </c>
      <c r="AU158" t="inlineStr">
        <is>
          <t>Scotiabank Perú</t>
        </is>
      </c>
      <c r="AV158" t="inlineStr">
        <is>
          <t>0004071419</t>
        </is>
      </c>
      <c r="AW158" t="inlineStr">
        <is>
          <t>TRANSFERENCIA BANCARIA</t>
        </is>
      </c>
      <c r="AY158" t="inlineStr">
        <is>
          <t>05327974</t>
        </is>
      </c>
      <c r="AZ158" t="inlineStr">
        <is>
          <t>No</t>
        </is>
      </c>
      <c r="BB158" t="n">
        <v>4</v>
      </c>
      <c r="BC158" t="inlineStr">
        <is>
          <t>CANCELADO</t>
        </is>
      </c>
      <c r="BN158" t="inlineStr">
        <is>
          <t>Si</t>
        </is>
      </c>
      <c r="BO158" s="117" t="n">
        <v>46178.34166666667</v>
      </c>
      <c r="BP158" t="inlineStr">
        <is>
          <t>Magaly Guevara Perez</t>
        </is>
      </c>
      <c r="BR158" t="n">
        <v>8</v>
      </c>
      <c r="BS158" t="inlineStr">
        <is>
          <t>24/05/2026 19:12</t>
        </is>
      </c>
      <c r="BT158" t="n">
        <v>0</v>
      </c>
      <c r="BX158" t="inlineStr">
        <is>
          <t>Cobranzas_2025.csv</t>
        </is>
      </c>
      <c r="BY158" t="n">
        <v>2025</v>
      </c>
      <c r="BZ158" t="inlineStr">
        <is>
          <t>01/01/2024</t>
        </is>
      </c>
      <c r="CA158" t="inlineStr">
        <is>
          <t>30/09/2031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39" t="n">
        <v>430000</v>
      </c>
      <c r="H159" s="39" t="n">
        <v>430000</v>
      </c>
      <c r="M159" s="39" t="n"/>
      <c r="N159" s="39" t="n"/>
      <c r="S159" s="39" t="n"/>
      <c r="T159" s="39" t="n"/>
      <c r="Y159" s="39" t="n"/>
      <c r="Z159" s="39" t="n"/>
      <c r="AA159" t="inlineStr">
        <is>
          <t>Evelyn Arciela Leon Estela</t>
        </is>
      </c>
      <c r="AB159" t="inlineStr">
        <is>
          <t>70313948</t>
        </is>
      </c>
      <c r="AC159" t="inlineStr">
        <is>
          <t xml:space="preserve">Segunda Etapa.Mz 41 Lt. 35 -Urb. Torre Blanca </t>
        </is>
      </c>
      <c r="AD159" t="n">
        <v>0</v>
      </c>
      <c r="AE159" t="inlineStr">
        <is>
          <t>980746975</t>
        </is>
      </c>
      <c r="AF159" t="inlineStr">
        <is>
          <t>eale.050791@gmail.com</t>
        </is>
      </c>
      <c r="AG159" t="inlineStr">
        <is>
          <t>LIMA</t>
        </is>
      </c>
      <c r="AH159" t="inlineStr">
        <is>
          <t>CARABAYLLO</t>
        </is>
      </c>
      <c r="AI159" s="116" t="n">
        <v>45932</v>
      </c>
      <c r="AJ159" s="116" t="n">
        <v>45932</v>
      </c>
      <c r="AK159" t="inlineStr">
        <is>
          <t>CUOTA INICIAL</t>
        </is>
      </c>
      <c r="AL159" t="n">
        <v>1</v>
      </c>
      <c r="AM159" t="n">
        <v>40000</v>
      </c>
      <c r="AN159" t="n">
        <v>0</v>
      </c>
      <c r="AO159" t="n">
        <v>0</v>
      </c>
      <c r="AP159" s="39" t="n">
        <v>40000</v>
      </c>
      <c r="AQ159" s="39" t="n">
        <v>40000</v>
      </c>
      <c r="AR159" s="39" t="n">
        <v>0</v>
      </c>
      <c r="AS159" t="n">
        <v>0</v>
      </c>
      <c r="AT159" t="inlineStr">
        <is>
          <t>Crédito Hipotecario</t>
        </is>
      </c>
      <c r="AU159" t="inlineStr">
        <is>
          <t>Scotiabank Perú</t>
        </is>
      </c>
      <c r="AV159" t="inlineStr">
        <is>
          <t>0004071419</t>
        </is>
      </c>
      <c r="AW159" t="inlineStr">
        <is>
          <t>TRANSFERENCIA BANCARIA</t>
        </is>
      </c>
      <c r="AY159" t="inlineStr">
        <is>
          <t>0285192</t>
        </is>
      </c>
      <c r="AZ159" t="inlineStr">
        <is>
          <t>No</t>
        </is>
      </c>
      <c r="BB159" t="n">
        <v>4</v>
      </c>
      <c r="BC159" t="inlineStr">
        <is>
          <t>CANCELADO</t>
        </is>
      </c>
      <c r="BN159" t="inlineStr">
        <is>
          <t>Si</t>
        </is>
      </c>
      <c r="BO159" s="117" t="n">
        <v>46178.34166666667</v>
      </c>
      <c r="BP159" t="inlineStr">
        <is>
          <t>Magaly Guevara Perez</t>
        </is>
      </c>
      <c r="BR159" t="n">
        <v>8</v>
      </c>
      <c r="BS159" t="inlineStr">
        <is>
          <t>24/05/2026 19:16</t>
        </is>
      </c>
      <c r="BT159" t="n">
        <v>0</v>
      </c>
      <c r="BX159" t="inlineStr">
        <is>
          <t>Cobranzas_2025.csv</t>
        </is>
      </c>
      <c r="BY159" t="n">
        <v>2025</v>
      </c>
      <c r="BZ159" t="inlineStr">
        <is>
          <t>01/01/2024</t>
        </is>
      </c>
      <c r="CA159" t="inlineStr">
        <is>
          <t>30/09/2031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Estacionamiento</t>
        </is>
      </c>
      <c r="F160" t="inlineStr">
        <is>
          <t>E 04</t>
        </is>
      </c>
      <c r="G160" s="39" t="n">
        <v>48500</v>
      </c>
      <c r="H160" s="39" t="n">
        <v>48500</v>
      </c>
      <c r="M160" s="39" t="n"/>
      <c r="N160" s="39" t="n"/>
      <c r="S160" s="39" t="n"/>
      <c r="T160" s="39" t="n"/>
      <c r="Y160" s="39" t="n"/>
      <c r="Z160" s="39" t="n"/>
      <c r="AA160" t="inlineStr">
        <is>
          <t>Evelyn Arciela Leon Estela</t>
        </is>
      </c>
      <c r="AB160" t="inlineStr">
        <is>
          <t>70313948</t>
        </is>
      </c>
      <c r="AC160" t="inlineStr">
        <is>
          <t xml:space="preserve">Segunda Etapa.Mz 41 Lt. 35 -Urb. Torre Blanca </t>
        </is>
      </c>
      <c r="AD160" t="n">
        <v>0</v>
      </c>
      <c r="AE160" t="inlineStr">
        <is>
          <t>980746975</t>
        </is>
      </c>
      <c r="AF160" t="inlineStr">
        <is>
          <t>eale.050791@gmail.com</t>
        </is>
      </c>
      <c r="AG160" t="inlineStr">
        <is>
          <t>LIMA</t>
        </is>
      </c>
      <c r="AH160" t="inlineStr">
        <is>
          <t>CARABAYLLO</t>
        </is>
      </c>
      <c r="AI160" s="116" t="n">
        <v>45928</v>
      </c>
      <c r="AJ160" s="116" t="n">
        <v>45932</v>
      </c>
      <c r="AK160" t="inlineStr">
        <is>
          <t>SEPARACION</t>
        </is>
      </c>
      <c r="AL160" t="n">
        <v>1</v>
      </c>
      <c r="AM160" t="n">
        <v>3000</v>
      </c>
      <c r="AN160" t="n">
        <v>0</v>
      </c>
      <c r="AO160" t="n">
        <v>0</v>
      </c>
      <c r="AP160" s="39" t="n">
        <v>3000</v>
      </c>
      <c r="AQ160" s="39" t="n">
        <v>3000</v>
      </c>
      <c r="AR160" s="39" t="n">
        <v>0</v>
      </c>
      <c r="AS160" t="n">
        <v>0</v>
      </c>
      <c r="AT160" t="inlineStr">
        <is>
          <t>Crédito Directo</t>
        </is>
      </c>
      <c r="AU160" t="inlineStr">
        <is>
          <t>Scotiabank Perú</t>
        </is>
      </c>
      <c r="AV160" t="inlineStr">
        <is>
          <t>0004071419</t>
        </is>
      </c>
      <c r="AW160" t="inlineStr">
        <is>
          <t>TRANSFERENCIA BANCARIA</t>
        </is>
      </c>
      <c r="AY160" t="inlineStr">
        <is>
          <t>572287</t>
        </is>
      </c>
      <c r="AZ160" t="inlineStr">
        <is>
          <t>No</t>
        </is>
      </c>
      <c r="BB160" t="n">
        <v>4</v>
      </c>
      <c r="BC160" t="inlineStr">
        <is>
          <t>CANCELADO</t>
        </is>
      </c>
      <c r="BN160" t="inlineStr">
        <is>
          <t>Si</t>
        </is>
      </c>
      <c r="BO160" s="117" t="n">
        <v>45932.67638888889</v>
      </c>
      <c r="BP160" t="inlineStr">
        <is>
          <t>Magaly Guevara Perez</t>
        </is>
      </c>
      <c r="BR160" t="n">
        <v>19</v>
      </c>
      <c r="BS160" t="inlineStr">
        <is>
          <t>21/08/2026 11:32</t>
        </is>
      </c>
      <c r="BT160" t="n">
        <v>0</v>
      </c>
      <c r="BX160" t="inlineStr">
        <is>
          <t>Cobranzas_2025.csv</t>
        </is>
      </c>
      <c r="BY160" t="n">
        <v>2025</v>
      </c>
      <c r="BZ160" t="inlineStr">
        <is>
          <t>01/01/2024</t>
        </is>
      </c>
      <c r="CA160" t="inlineStr">
        <is>
          <t>30/09/2031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39" t="n">
        <v>48500</v>
      </c>
      <c r="H161" s="39" t="n">
        <v>48500</v>
      </c>
      <c r="M161" s="39" t="n"/>
      <c r="N161" s="39" t="n"/>
      <c r="S161" s="39" t="n"/>
      <c r="T161" s="39" t="n"/>
      <c r="Y161" s="39" t="n"/>
      <c r="Z161" s="39" t="n"/>
      <c r="AA161" t="inlineStr">
        <is>
          <t>Evelyn Arciela Leon Estela</t>
        </is>
      </c>
      <c r="AB161" t="inlineStr">
        <is>
          <t>70313948</t>
        </is>
      </c>
      <c r="AC161" t="inlineStr">
        <is>
          <t xml:space="preserve">Segunda Etapa.Mz 41 Lt. 35 -Urb. Torre Blanca </t>
        </is>
      </c>
      <c r="AD161" t="n">
        <v>0</v>
      </c>
      <c r="AE161" t="inlineStr">
        <is>
          <t>980746975</t>
        </is>
      </c>
      <c r="AF161" t="inlineStr">
        <is>
          <t>eale.050791@gmail.com</t>
        </is>
      </c>
      <c r="AG161" t="inlineStr">
        <is>
          <t>LIMA</t>
        </is>
      </c>
      <c r="AH161" t="inlineStr">
        <is>
          <t>CARABAYLLO</t>
        </is>
      </c>
      <c r="AI161" s="116" t="n">
        <v>45932</v>
      </c>
      <c r="AJ161" s="116" t="n">
        <v>45932</v>
      </c>
      <c r="AK161" t="inlineStr">
        <is>
          <t>CUOTA INICIAL</t>
        </is>
      </c>
      <c r="AL161" t="n">
        <v>1</v>
      </c>
      <c r="AM161" t="n">
        <v>16400</v>
      </c>
      <c r="AN161" t="n">
        <v>0</v>
      </c>
      <c r="AO161" t="n">
        <v>0</v>
      </c>
      <c r="AP161" s="39" t="n">
        <v>16400</v>
      </c>
      <c r="AQ161" s="39" t="n">
        <v>16400</v>
      </c>
      <c r="AR161" s="39" t="n">
        <v>0</v>
      </c>
      <c r="AS161" t="n">
        <v>0</v>
      </c>
      <c r="AT161" t="inlineStr">
        <is>
          <t>Crédito Directo</t>
        </is>
      </c>
      <c r="AU161" t="inlineStr">
        <is>
          <t>Scotiabank Perú</t>
        </is>
      </c>
      <c r="AV161" t="inlineStr">
        <is>
          <t>0004071419</t>
        </is>
      </c>
      <c r="AW161" t="inlineStr">
        <is>
          <t>TRANSFERENCIA BANCARIA</t>
        </is>
      </c>
      <c r="AY161" t="inlineStr">
        <is>
          <t>572287</t>
        </is>
      </c>
      <c r="AZ161" t="inlineStr">
        <is>
          <t>No</t>
        </is>
      </c>
      <c r="BB161" t="n">
        <v>4</v>
      </c>
      <c r="BC161" t="inlineStr">
        <is>
          <t>CANCELADO</t>
        </is>
      </c>
      <c r="BN161" t="inlineStr">
        <is>
          <t>Si</t>
        </is>
      </c>
      <c r="BO161" s="117" t="n">
        <v>45932.67638888889</v>
      </c>
      <c r="BP161" t="inlineStr">
        <is>
          <t>Magaly Guevara Perez</t>
        </is>
      </c>
      <c r="BR161" t="n">
        <v>19</v>
      </c>
      <c r="BS161" t="inlineStr">
        <is>
          <t>21/08/2026 11:33</t>
        </is>
      </c>
      <c r="BT161" t="n">
        <v>0</v>
      </c>
      <c r="BX161" t="inlineStr">
        <is>
          <t>Cobranzas_2025.csv</t>
        </is>
      </c>
      <c r="BY161" t="n">
        <v>2025</v>
      </c>
      <c r="BZ161" t="inlineStr">
        <is>
          <t>01/01/2024</t>
        </is>
      </c>
      <c r="CA161" t="inlineStr">
        <is>
          <t>30/09/2031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39" t="n">
        <v>48500</v>
      </c>
      <c r="H162" s="39" t="n">
        <v>48500</v>
      </c>
      <c r="M162" s="39" t="n"/>
      <c r="N162" s="39" t="n"/>
      <c r="S162" s="39" t="n"/>
      <c r="T162" s="39" t="n"/>
      <c r="Y162" s="39" t="n"/>
      <c r="Z162" s="39" t="n"/>
      <c r="AA162" t="inlineStr">
        <is>
          <t>Evelyn Arciela Leon Estela</t>
        </is>
      </c>
      <c r="AB162" t="inlineStr">
        <is>
          <t>70313948</t>
        </is>
      </c>
      <c r="AC162" t="inlineStr">
        <is>
          <t xml:space="preserve">Segunda Etapa.Mz 41 Lt. 35 -Urb. Torre Blanca </t>
        </is>
      </c>
      <c r="AD162" t="n">
        <v>0</v>
      </c>
      <c r="AE162" t="inlineStr">
        <is>
          <t>980746975</t>
        </is>
      </c>
      <c r="AF162" t="inlineStr">
        <is>
          <t>eale.050791@gmail.com</t>
        </is>
      </c>
      <c r="AG162" t="inlineStr">
        <is>
          <t>LIMA</t>
        </is>
      </c>
      <c r="AH162" t="inlineStr">
        <is>
          <t>CARABAYLLO</t>
        </is>
      </c>
      <c r="AI162" s="116" t="n">
        <v>45961</v>
      </c>
      <c r="AJ162" s="116" t="n">
        <v>45950</v>
      </c>
      <c r="AK162" t="inlineStr">
        <is>
          <t>SALDO FINANCIAR</t>
        </is>
      </c>
      <c r="AL162" t="n">
        <v>1</v>
      </c>
      <c r="AM162" t="n">
        <v>1940</v>
      </c>
      <c r="AN162" t="n">
        <v>0</v>
      </c>
      <c r="AO162" t="n">
        <v>0</v>
      </c>
      <c r="AP162" s="39" t="n">
        <v>1940</v>
      </c>
      <c r="AQ162" s="39" t="n">
        <v>1940</v>
      </c>
      <c r="AR162" s="39" t="n">
        <v>0</v>
      </c>
      <c r="AS162" t="n">
        <v>0</v>
      </c>
      <c r="AT162" t="inlineStr">
        <is>
          <t>Crédito Directo</t>
        </is>
      </c>
      <c r="AU162" t="inlineStr">
        <is>
          <t>Scotiabank Perú</t>
        </is>
      </c>
      <c r="AV162" t="inlineStr">
        <is>
          <t>0004071419</t>
        </is>
      </c>
      <c r="AW162" t="inlineStr">
        <is>
          <t>TRANSFERENCIA BANCARIA</t>
        </is>
      </c>
      <c r="AY162" t="inlineStr">
        <is>
          <t>U100022</t>
        </is>
      </c>
      <c r="AZ162" t="inlineStr">
        <is>
          <t>No</t>
        </is>
      </c>
      <c r="BB162" t="n">
        <v>4</v>
      </c>
      <c r="BC162" t="inlineStr">
        <is>
          <t>CANCELADO</t>
        </is>
      </c>
      <c r="BN162" t="inlineStr">
        <is>
          <t>Si</t>
        </is>
      </c>
      <c r="BO162" s="117" t="n">
        <v>45932.67638888889</v>
      </c>
      <c r="BP162" t="inlineStr">
        <is>
          <t>Magaly Guevara Perez</t>
        </is>
      </c>
      <c r="BR162" t="n">
        <v>19</v>
      </c>
      <c r="BS162" t="inlineStr">
        <is>
          <t>02/07/2026 16:06</t>
        </is>
      </c>
      <c r="BT162" t="n">
        <v>0</v>
      </c>
      <c r="BX162" t="inlineStr">
        <is>
          <t>Cobranzas_2025.csv</t>
        </is>
      </c>
      <c r="BY162" t="n">
        <v>2025</v>
      </c>
      <c r="BZ162" t="inlineStr">
        <is>
          <t>01/01/2024</t>
        </is>
      </c>
      <c r="CA162" t="inlineStr">
        <is>
          <t>30/09/2031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39" t="n">
        <v>48500</v>
      </c>
      <c r="H163" s="39" t="n">
        <v>48500</v>
      </c>
      <c r="M163" s="39" t="n"/>
      <c r="N163" s="39" t="n"/>
      <c r="S163" s="39" t="n"/>
      <c r="T163" s="39" t="n"/>
      <c r="Y163" s="39" t="n"/>
      <c r="Z163" s="39" t="n"/>
      <c r="AA163" t="inlineStr">
        <is>
          <t>Evelyn Arciela Leon Estela</t>
        </is>
      </c>
      <c r="AB163" t="inlineStr">
        <is>
          <t>70313948</t>
        </is>
      </c>
      <c r="AC163" t="inlineStr">
        <is>
          <t xml:space="preserve">Segunda Etapa.Mz 41 Lt. 35 -Urb. Torre Blanca </t>
        </is>
      </c>
      <c r="AD163" t="n">
        <v>0</v>
      </c>
      <c r="AE163" t="inlineStr">
        <is>
          <t>980746975</t>
        </is>
      </c>
      <c r="AF163" t="inlineStr">
        <is>
          <t>eale.050791@gmail.com</t>
        </is>
      </c>
      <c r="AG163" t="inlineStr">
        <is>
          <t>LIMA</t>
        </is>
      </c>
      <c r="AH163" t="inlineStr">
        <is>
          <t>CARABAYLLO</t>
        </is>
      </c>
      <c r="AI163" s="116" t="n">
        <v>45991</v>
      </c>
      <c r="AJ163" s="116" t="n">
        <v>45985</v>
      </c>
      <c r="AK163" t="inlineStr">
        <is>
          <t>SALDO FINANCIAR</t>
        </is>
      </c>
      <c r="AL163" t="n">
        <v>2</v>
      </c>
      <c r="AM163" t="n">
        <v>1940</v>
      </c>
      <c r="AN163" t="n">
        <v>0</v>
      </c>
      <c r="AO163" t="n">
        <v>0</v>
      </c>
      <c r="AP163" s="39" t="n">
        <v>1940</v>
      </c>
      <c r="AQ163" s="39" t="n">
        <v>1940</v>
      </c>
      <c r="AR163" s="39" t="n">
        <v>0</v>
      </c>
      <c r="AS163" t="n">
        <v>0</v>
      </c>
      <c r="AT163" t="inlineStr">
        <is>
          <t>Crédito Directo</t>
        </is>
      </c>
      <c r="AU163" t="inlineStr">
        <is>
          <t>Scotiabank Perú</t>
        </is>
      </c>
      <c r="AV163" t="inlineStr">
        <is>
          <t>0004071419</t>
        </is>
      </c>
      <c r="AW163" t="inlineStr">
        <is>
          <t>TRANSFERENCIA BANCARIA</t>
        </is>
      </c>
      <c r="AY163" t="inlineStr">
        <is>
          <t>U27036</t>
        </is>
      </c>
      <c r="AZ163" t="inlineStr">
        <is>
          <t>No</t>
        </is>
      </c>
      <c r="BB163" t="n">
        <v>4</v>
      </c>
      <c r="BC163" t="inlineStr">
        <is>
          <t>CANCELADO</t>
        </is>
      </c>
      <c r="BN163" t="inlineStr">
        <is>
          <t>Si</t>
        </is>
      </c>
      <c r="BO163" s="117" t="n">
        <v>45932.67638888889</v>
      </c>
      <c r="BP163" t="inlineStr">
        <is>
          <t>Magaly Guevara Perez</t>
        </is>
      </c>
      <c r="BR163" t="n">
        <v>19</v>
      </c>
      <c r="BS163" t="inlineStr">
        <is>
          <t>02/07/2026 16:07</t>
        </is>
      </c>
      <c r="BT163" t="n">
        <v>0</v>
      </c>
      <c r="BX163" t="inlineStr">
        <is>
          <t>Cobranzas_2025.csv</t>
        </is>
      </c>
      <c r="BY163" t="n">
        <v>2025</v>
      </c>
      <c r="BZ163" t="inlineStr">
        <is>
          <t>01/01/2024</t>
        </is>
      </c>
      <c r="CA163" t="inlineStr">
        <is>
          <t>30/09/2031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39" t="n">
        <v>48500</v>
      </c>
      <c r="H164" s="39" t="n">
        <v>48500</v>
      </c>
      <c r="M164" s="39" t="n"/>
      <c r="N164" s="39" t="n"/>
      <c r="S164" s="39" t="n"/>
      <c r="T164" s="39" t="n"/>
      <c r="Y164" s="39" t="n"/>
      <c r="Z164" s="39" t="n"/>
      <c r="AA164" t="inlineStr">
        <is>
          <t>Evelyn Arciela Leon Estela</t>
        </is>
      </c>
      <c r="AB164" t="inlineStr">
        <is>
          <t>70313948</t>
        </is>
      </c>
      <c r="AC164" t="inlineStr">
        <is>
          <t xml:space="preserve">Segunda Etapa.Mz 41 Lt. 35 -Urb. Torre Blanca </t>
        </is>
      </c>
      <c r="AD164" t="n">
        <v>0</v>
      </c>
      <c r="AE164" t="inlineStr">
        <is>
          <t>980746975</t>
        </is>
      </c>
      <c r="AF164" t="inlineStr">
        <is>
          <t>eale.050791@gmail.com</t>
        </is>
      </c>
      <c r="AG164" t="inlineStr">
        <is>
          <t>LIMA</t>
        </is>
      </c>
      <c r="AH164" t="inlineStr">
        <is>
          <t>CARABAYLLO</t>
        </is>
      </c>
      <c r="AI164" s="116" t="n">
        <v>46022</v>
      </c>
      <c r="AJ164" s="116" t="n">
        <v>46013</v>
      </c>
      <c r="AK164" t="inlineStr">
        <is>
          <t>SALDO FINANCIAR</t>
        </is>
      </c>
      <c r="AL164" t="n">
        <v>3</v>
      </c>
      <c r="AM164" t="n">
        <v>1940</v>
      </c>
      <c r="AN164" t="n">
        <v>0</v>
      </c>
      <c r="AO164" t="n">
        <v>0</v>
      </c>
      <c r="AP164" s="39" t="n">
        <v>1940</v>
      </c>
      <c r="AQ164" s="39" t="n">
        <v>1940</v>
      </c>
      <c r="AR164" s="39" t="n">
        <v>0</v>
      </c>
      <c r="AS164" t="n">
        <v>0</v>
      </c>
      <c r="AT164" t="inlineStr">
        <is>
          <t>Crédito Directo</t>
        </is>
      </c>
      <c r="AU164" t="inlineStr">
        <is>
          <t>Scotiabank Perú</t>
        </is>
      </c>
      <c r="AV164" t="inlineStr">
        <is>
          <t>0004071419</t>
        </is>
      </c>
      <c r="AW164" t="inlineStr">
        <is>
          <t>TRANSFERENCIA BANCARIA</t>
        </is>
      </c>
      <c r="AY164" t="inlineStr">
        <is>
          <t>U28777</t>
        </is>
      </c>
      <c r="AZ164" t="inlineStr">
        <is>
          <t>No</t>
        </is>
      </c>
      <c r="BB164" t="n">
        <v>4</v>
      </c>
      <c r="BC164" t="inlineStr">
        <is>
          <t>CANCELADO</t>
        </is>
      </c>
      <c r="BN164" t="inlineStr">
        <is>
          <t>Si</t>
        </is>
      </c>
      <c r="BO164" s="117" t="n">
        <v>45932.67638888889</v>
      </c>
      <c r="BP164" t="inlineStr">
        <is>
          <t>Magaly Guevara Perez</t>
        </is>
      </c>
      <c r="BR164" t="n">
        <v>19</v>
      </c>
      <c r="BS164" t="inlineStr">
        <is>
          <t>02/07/2026 16:07</t>
        </is>
      </c>
      <c r="BT164" t="n">
        <v>0</v>
      </c>
      <c r="BX164" t="inlineStr">
        <is>
          <t>Cobranzas_2025.csv</t>
        </is>
      </c>
      <c r="BY164" t="n">
        <v>2025</v>
      </c>
      <c r="BZ164" t="inlineStr">
        <is>
          <t>01/01/2024</t>
        </is>
      </c>
      <c r="CA164" t="inlineStr">
        <is>
          <t>30/09/2031</t>
        </is>
      </c>
    </row>
    <row r="165">
      <c r="A165" t="inlineStr">
        <is>
          <t>RESIDENCIAL BEYOND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Departamento</t>
        </is>
      </c>
      <c r="F165" t="inlineStr">
        <is>
          <t>501</t>
        </is>
      </c>
      <c r="G165" s="39" t="n">
        <v>518500</v>
      </c>
      <c r="H165" s="39" t="n">
        <v>469500</v>
      </c>
      <c r="I165" t="inlineStr">
        <is>
          <t>Edificio</t>
        </is>
      </c>
      <c r="J165" t="inlineStr">
        <is>
          <t>A</t>
        </is>
      </c>
      <c r="K165" t="inlineStr">
        <is>
          <t>Estacionamiento</t>
        </is>
      </c>
      <c r="L165" t="inlineStr">
        <is>
          <t>E 14 - D 12</t>
        </is>
      </c>
      <c r="M165" s="39" t="n">
        <v>55000</v>
      </c>
      <c r="N165" s="39" t="n">
        <v>55000</v>
      </c>
      <c r="S165" s="39" t="n"/>
      <c r="T165" s="39" t="n"/>
      <c r="Y165" s="39" t="n"/>
      <c r="Z165" s="39" t="n"/>
      <c r="AA165" t="inlineStr">
        <is>
          <t>Francesca Giuliana Ramos Ortiz</t>
        </is>
      </c>
      <c r="AB165" t="inlineStr">
        <is>
          <t>29412010</t>
        </is>
      </c>
      <c r="AC165" t="inlineStr">
        <is>
          <t>Jr. Cotabambas 306</t>
        </is>
      </c>
      <c r="AD165" t="n">
        <v>0</v>
      </c>
      <c r="AE165" t="inlineStr">
        <is>
          <t>996655477</t>
        </is>
      </c>
      <c r="AF165" t="inlineStr">
        <is>
          <t>cheskagro@gmail.com</t>
        </is>
      </c>
      <c r="AG165" t="inlineStr">
        <is>
          <t>LIMA</t>
        </is>
      </c>
      <c r="AH165" t="inlineStr">
        <is>
          <t>CERCADO DE LIMA</t>
        </is>
      </c>
      <c r="AI165" s="116" t="n">
        <v>45899</v>
      </c>
      <c r="AJ165" s="116" t="n">
        <v>45899</v>
      </c>
      <c r="AK165" t="inlineStr">
        <is>
          <t>SEPARACION</t>
        </is>
      </c>
      <c r="AL165" t="n">
        <v>1</v>
      </c>
      <c r="AM165" t="n">
        <v>3000</v>
      </c>
      <c r="AN165" t="n">
        <v>0</v>
      </c>
      <c r="AO165" t="n">
        <v>0</v>
      </c>
      <c r="AP165" s="39" t="n">
        <v>3000</v>
      </c>
      <c r="AQ165" s="39" t="n">
        <v>3000</v>
      </c>
      <c r="AR165" s="39" t="n">
        <v>0</v>
      </c>
      <c r="AS165" t="n">
        <v>0</v>
      </c>
      <c r="AT165" t="inlineStr">
        <is>
          <t>Ahorro</t>
        </is>
      </c>
      <c r="AU165" t="inlineStr">
        <is>
          <t>Banco de Credito del Perú</t>
        </is>
      </c>
      <c r="AV165" t="inlineStr">
        <is>
          <t>194-7325779-0-65</t>
        </is>
      </c>
      <c r="AW165" t="inlineStr">
        <is>
          <t>TRANSFERENCIA BANCARIA</t>
        </is>
      </c>
      <c r="AY165" t="inlineStr">
        <is>
          <t>02596461</t>
        </is>
      </c>
      <c r="AZ165" t="inlineStr">
        <is>
          <t>No</t>
        </is>
      </c>
      <c r="BB165" t="n">
        <v>4</v>
      </c>
      <c r="BC165" t="inlineStr">
        <is>
          <t>CANCELADO</t>
        </is>
      </c>
      <c r="BN165" t="inlineStr">
        <is>
          <t>Si</t>
        </is>
      </c>
      <c r="BO165" s="117" t="n">
        <v>45911.39305555556</v>
      </c>
      <c r="BP165" t="inlineStr">
        <is>
          <t>Magaly Guevara Perez</t>
        </is>
      </c>
      <c r="BR165" t="n">
        <v>30</v>
      </c>
      <c r="BS165" t="inlineStr">
        <is>
          <t>01/05/2026 18:27</t>
        </is>
      </c>
      <c r="BT165" t="n">
        <v>0</v>
      </c>
      <c r="BX165" t="inlineStr">
        <is>
          <t>Cobranzas_2025.csv</t>
        </is>
      </c>
      <c r="BY165" t="n">
        <v>2025</v>
      </c>
      <c r="BZ165" t="inlineStr">
        <is>
          <t>01/01/2024</t>
        </is>
      </c>
      <c r="CA165" t="inlineStr">
        <is>
          <t>30/09/2031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39" t="n">
        <v>518500</v>
      </c>
      <c r="H166" s="39" t="n">
        <v>469500</v>
      </c>
      <c r="I166" t="inlineStr">
        <is>
          <t>Edificio</t>
        </is>
      </c>
      <c r="J166" t="inlineStr">
        <is>
          <t>A</t>
        </is>
      </c>
      <c r="K166" t="inlineStr">
        <is>
          <t>Estacionamiento</t>
        </is>
      </c>
      <c r="L166" t="inlineStr">
        <is>
          <t>E 14 - D 12</t>
        </is>
      </c>
      <c r="M166" s="39" t="n">
        <v>55000</v>
      </c>
      <c r="N166" s="39" t="n">
        <v>55000</v>
      </c>
      <c r="S166" s="39" t="n"/>
      <c r="T166" s="39" t="n"/>
      <c r="Y166" s="39" t="n"/>
      <c r="Z166" s="39" t="n"/>
      <c r="AA166" t="inlineStr">
        <is>
          <t>Francesca Giuliana Ramos Ortiz</t>
        </is>
      </c>
      <c r="AB166" t="inlineStr">
        <is>
          <t>29412010</t>
        </is>
      </c>
      <c r="AC166" t="inlineStr">
        <is>
          <t>Jr. Cotabambas 306</t>
        </is>
      </c>
      <c r="AD166" t="n">
        <v>0</v>
      </c>
      <c r="AE166" t="inlineStr">
        <is>
          <t>996655477</t>
        </is>
      </c>
      <c r="AF166" t="inlineStr">
        <is>
          <t>cheskagro@gmail.com</t>
        </is>
      </c>
      <c r="AG166" t="inlineStr">
        <is>
          <t>LIMA</t>
        </is>
      </c>
      <c r="AH166" t="inlineStr">
        <is>
          <t>CERCADO DE LIMA</t>
        </is>
      </c>
      <c r="AI166" s="116" t="n">
        <v>45911</v>
      </c>
      <c r="AJ166" s="116" t="n">
        <v>45911</v>
      </c>
      <c r="AK166" t="inlineStr">
        <is>
          <t>CUOTA INICIAL</t>
        </is>
      </c>
      <c r="AL166" t="n">
        <v>1</v>
      </c>
      <c r="AM166" t="n">
        <v>50950</v>
      </c>
      <c r="AN166" t="n">
        <v>0</v>
      </c>
      <c r="AO166" t="n">
        <v>0</v>
      </c>
      <c r="AP166" s="39" t="n">
        <v>50950</v>
      </c>
      <c r="AQ166" s="39" t="n">
        <v>50950</v>
      </c>
      <c r="AR166" s="39" t="n">
        <v>0</v>
      </c>
      <c r="AS166" t="n">
        <v>0</v>
      </c>
      <c r="AT166" t="inlineStr">
        <is>
          <t>Ahorro</t>
        </is>
      </c>
      <c r="AU166" t="inlineStr">
        <is>
          <t>Banco de Credito del Perú</t>
        </is>
      </c>
      <c r="AV166" t="inlineStr">
        <is>
          <t>194-7325779-0-65</t>
        </is>
      </c>
      <c r="AW166" t="inlineStr">
        <is>
          <t>TRANSFERENCIA BANCARIA</t>
        </is>
      </c>
      <c r="AY166" t="inlineStr">
        <is>
          <t>0861507</t>
        </is>
      </c>
      <c r="AZ166" t="inlineStr">
        <is>
          <t>No</t>
        </is>
      </c>
      <c r="BB166" t="n">
        <v>4</v>
      </c>
      <c r="BC166" t="inlineStr">
        <is>
          <t>CANCELADO</t>
        </is>
      </c>
      <c r="BN166" t="inlineStr">
        <is>
          <t>Si</t>
        </is>
      </c>
      <c r="BO166" s="117" t="n">
        <v>45911.39305555556</v>
      </c>
      <c r="BP166" t="inlineStr">
        <is>
          <t>Magaly Guevara Perez</t>
        </is>
      </c>
      <c r="BR166" t="n">
        <v>30</v>
      </c>
      <c r="BS166" t="inlineStr">
        <is>
          <t>13/08/2026 14:51</t>
        </is>
      </c>
      <c r="BT166" t="n">
        <v>0</v>
      </c>
      <c r="BX166" t="inlineStr">
        <is>
          <t>Cobranzas_2025.csv</t>
        </is>
      </c>
      <c r="BY166" t="n">
        <v>2025</v>
      </c>
      <c r="BZ166" t="inlineStr">
        <is>
          <t>01/01/2024</t>
        </is>
      </c>
      <c r="CA166" t="inlineStr">
        <is>
          <t>30/09/2031</t>
        </is>
      </c>
    </row>
    <row r="167">
      <c r="A167" t="inlineStr">
        <is>
          <t>RESIDENCIAL PRADA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802</t>
        </is>
      </c>
      <c r="G167" s="39" t="n">
        <v>420000</v>
      </c>
      <c r="H167" s="39" t="n">
        <v>420000</v>
      </c>
      <c r="M167" s="39" t="n"/>
      <c r="N167" s="39" t="n"/>
      <c r="S167" s="39" t="n"/>
      <c r="T167" s="39" t="n"/>
      <c r="Y167" s="39" t="n"/>
      <c r="Z167" s="39" t="n"/>
      <c r="AA167" t="inlineStr">
        <is>
          <t xml:space="preserve">Gersom Juver Gonzalez Alfaro </t>
        </is>
      </c>
      <c r="AB167" t="inlineStr">
        <is>
          <t>42539680</t>
        </is>
      </c>
      <c r="AC167" t="inlineStr">
        <is>
          <t>Jr. Grl. Zegarra 854 Dpto. 21 P. 4</t>
        </is>
      </c>
      <c r="AD167" t="n">
        <v>958600003</v>
      </c>
      <c r="AE167" t="inlineStr">
        <is>
          <t>958600003</t>
        </is>
      </c>
      <c r="AF167" t="inlineStr">
        <is>
          <t>gersonalfaro@gmail.com</t>
        </is>
      </c>
      <c r="AG167" t="inlineStr">
        <is>
          <t>LIMA</t>
        </is>
      </c>
      <c r="AH167" t="inlineStr">
        <is>
          <t>JESUS MARIA</t>
        </is>
      </c>
      <c r="AI167" s="116" t="n">
        <v>45815</v>
      </c>
      <c r="AJ167" s="116" t="n">
        <v>45815</v>
      </c>
      <c r="AK167" t="inlineStr">
        <is>
          <t>SEPARACION</t>
        </is>
      </c>
      <c r="AL167" t="n">
        <v>1</v>
      </c>
      <c r="AM167" t="n">
        <v>3000</v>
      </c>
      <c r="AN167" t="n">
        <v>0</v>
      </c>
      <c r="AO167" t="n">
        <v>0</v>
      </c>
      <c r="AP167" s="39" t="n">
        <v>3000</v>
      </c>
      <c r="AQ167" s="39" t="n">
        <v>3000</v>
      </c>
      <c r="AR167" s="39" t="n">
        <v>0</v>
      </c>
      <c r="AS167" t="n">
        <v>0</v>
      </c>
      <c r="AT167" t="inlineStr">
        <is>
          <t>Crédito Hipotecario</t>
        </is>
      </c>
      <c r="AU167" t="inlineStr">
        <is>
          <t>Scotiabank Perú</t>
        </is>
      </c>
      <c r="AV167" t="inlineStr">
        <is>
          <t>000-2768484</t>
        </is>
      </c>
      <c r="AW167" t="inlineStr">
        <is>
          <t>TRANSFERENCIA BANCARIA</t>
        </is>
      </c>
      <c r="AX167" t="inlineStr">
        <is>
          <t>42539680</t>
        </is>
      </c>
      <c r="AY167" t="inlineStr">
        <is>
          <t>00002392000000000</t>
        </is>
      </c>
      <c r="AZ167" t="inlineStr">
        <is>
          <t>No</t>
        </is>
      </c>
      <c r="BA167" t="inlineStr">
        <is>
          <t>NO PRECISA</t>
        </is>
      </c>
      <c r="BB167" t="n">
        <v>4</v>
      </c>
      <c r="BC167" t="inlineStr">
        <is>
          <t>CANCELADO</t>
        </is>
      </c>
      <c r="BN167" t="inlineStr">
        <is>
          <t>Si</t>
        </is>
      </c>
      <c r="BO167" s="117" t="n">
        <v>45832.51944444444</v>
      </c>
      <c r="BP167" t="inlineStr">
        <is>
          <t>Carla Michue M</t>
        </is>
      </c>
      <c r="BR167" t="n">
        <v>45</v>
      </c>
      <c r="BS167" t="inlineStr">
        <is>
          <t>03/06/2026 09:06</t>
        </is>
      </c>
      <c r="BT167" t="n">
        <v>0</v>
      </c>
      <c r="BX167" t="inlineStr">
        <is>
          <t>Cobranzas_2025.csv</t>
        </is>
      </c>
      <c r="BY167" t="n">
        <v>2025</v>
      </c>
      <c r="BZ167" t="inlineStr">
        <is>
          <t>01/01/2024</t>
        </is>
      </c>
      <c r="CA167" t="inlineStr">
        <is>
          <t>30/09/2031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39" t="n">
        <v>420000</v>
      </c>
      <c r="H168" s="39" t="n">
        <v>420000</v>
      </c>
      <c r="M168" s="39" t="n"/>
      <c r="N168" s="39" t="n"/>
      <c r="S168" s="39" t="n"/>
      <c r="T168" s="39" t="n"/>
      <c r="Y168" s="39" t="n"/>
      <c r="Z168" s="39" t="n"/>
      <c r="AA168" t="inlineStr">
        <is>
          <t xml:space="preserve">Gersom Juver Gonzalez Alfaro </t>
        </is>
      </c>
      <c r="AB168" t="inlineStr">
        <is>
          <t>42539680</t>
        </is>
      </c>
      <c r="AC168" t="inlineStr">
        <is>
          <t>Jr. Grl. Zegarra 854 Dpto. 21 P. 4</t>
        </is>
      </c>
      <c r="AD168" t="n">
        <v>958600003</v>
      </c>
      <c r="AE168" t="inlineStr">
        <is>
          <t>958600003</t>
        </is>
      </c>
      <c r="AF168" t="inlineStr">
        <is>
          <t>gersonalfaro@gmail.com</t>
        </is>
      </c>
      <c r="AG168" t="inlineStr">
        <is>
          <t>LIMA</t>
        </is>
      </c>
      <c r="AH168" t="inlineStr">
        <is>
          <t>JESUS MARIA</t>
        </is>
      </c>
      <c r="AI168" s="116" t="n">
        <v>45832</v>
      </c>
      <c r="AJ168" s="116" t="n">
        <v>45832</v>
      </c>
      <c r="AK168" t="inlineStr">
        <is>
          <t>CUOTA INICIAL</t>
        </is>
      </c>
      <c r="AL168" t="n">
        <v>1</v>
      </c>
      <c r="AM168" t="n">
        <v>9400</v>
      </c>
      <c r="AN168" t="n">
        <v>0</v>
      </c>
      <c r="AO168" t="n">
        <v>0</v>
      </c>
      <c r="AP168" s="39" t="n">
        <v>9400</v>
      </c>
      <c r="AQ168" s="39" t="n">
        <v>9400</v>
      </c>
      <c r="AR168" s="39" t="n">
        <v>0</v>
      </c>
      <c r="AS168" t="n">
        <v>0</v>
      </c>
      <c r="AT168" t="inlineStr">
        <is>
          <t>Crédito Hipotecario</t>
        </is>
      </c>
      <c r="AU168" t="inlineStr">
        <is>
          <t>Scotiabank Perú</t>
        </is>
      </c>
      <c r="AV168" t="inlineStr">
        <is>
          <t>000-2768484</t>
        </is>
      </c>
      <c r="AW168" t="inlineStr">
        <is>
          <t>TRANSFERENCIA BANCARIA</t>
        </is>
      </c>
      <c r="AX168" t="inlineStr">
        <is>
          <t>42539680</t>
        </is>
      </c>
      <c r="AY168" t="inlineStr">
        <is>
          <t>00002419000000000</t>
        </is>
      </c>
      <c r="AZ168" t="inlineStr">
        <is>
          <t>No</t>
        </is>
      </c>
      <c r="BA168" t="inlineStr">
        <is>
          <t>NO PRECISA</t>
        </is>
      </c>
      <c r="BB168" t="n">
        <v>4</v>
      </c>
      <c r="BC168" t="inlineStr">
        <is>
          <t>CANCELADO</t>
        </is>
      </c>
      <c r="BN168" t="inlineStr">
        <is>
          <t>Si</t>
        </is>
      </c>
      <c r="BO168" s="117" t="n">
        <v>45832.51944444444</v>
      </c>
      <c r="BP168" t="inlineStr">
        <is>
          <t>Carla Michue M</t>
        </is>
      </c>
      <c r="BR168" t="n">
        <v>45</v>
      </c>
      <c r="BS168" t="inlineStr">
        <is>
          <t>05/06/2026 12:18</t>
        </is>
      </c>
      <c r="BT168" t="n">
        <v>0</v>
      </c>
      <c r="BX168" t="inlineStr">
        <is>
          <t>Cobranzas_2025.csv</t>
        </is>
      </c>
      <c r="BY168" t="n">
        <v>2025</v>
      </c>
      <c r="BZ168" t="inlineStr">
        <is>
          <t>01/01/2024</t>
        </is>
      </c>
      <c r="CA168" t="inlineStr">
        <is>
          <t>30/09/2031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39" t="n">
        <v>420000</v>
      </c>
      <c r="H169" s="39" t="n">
        <v>420000</v>
      </c>
      <c r="M169" s="39" t="n"/>
      <c r="N169" s="39" t="n"/>
      <c r="S169" s="39" t="n"/>
      <c r="T169" s="39" t="n"/>
      <c r="Y169" s="39" t="n"/>
      <c r="Z169" s="39" t="n"/>
      <c r="AA169" t="inlineStr">
        <is>
          <t xml:space="preserve">Gersom Juver Gonzalez Alfaro </t>
        </is>
      </c>
      <c r="AB169" t="inlineStr">
        <is>
          <t>42539680</t>
        </is>
      </c>
      <c r="AC169" t="inlineStr">
        <is>
          <t>Jr. Grl. Zegarra 854 Dpto. 21 P. 4</t>
        </is>
      </c>
      <c r="AD169" t="n">
        <v>958600003</v>
      </c>
      <c r="AE169" t="inlineStr">
        <is>
          <t>958600003</t>
        </is>
      </c>
      <c r="AF169" t="inlineStr">
        <is>
          <t>gersonalfaro@gmail.com</t>
        </is>
      </c>
      <c r="AG169" t="inlineStr">
        <is>
          <t>LIMA</t>
        </is>
      </c>
      <c r="AH169" t="inlineStr">
        <is>
          <t>JESUS MARIA</t>
        </is>
      </c>
      <c r="AI169" s="116" t="n">
        <v>45991</v>
      </c>
      <c r="AJ169" s="116" t="n">
        <v>46077</v>
      </c>
      <c r="AK169" t="inlineStr">
        <is>
          <t>CUOTA INICIAL</t>
        </is>
      </c>
      <c r="AL169" t="n">
        <v>2</v>
      </c>
      <c r="AM169" t="n">
        <v>23514</v>
      </c>
      <c r="AN169" t="n">
        <v>0</v>
      </c>
      <c r="AO169" t="n">
        <v>0</v>
      </c>
      <c r="AP169" s="39" t="n">
        <v>23514</v>
      </c>
      <c r="AQ169" s="39" t="n">
        <v>23514</v>
      </c>
      <c r="AR169" s="39" t="n">
        <v>0</v>
      </c>
      <c r="AS169" t="n">
        <v>0</v>
      </c>
      <c r="AT169" t="inlineStr">
        <is>
          <t>Crédito Hipotecario</t>
        </is>
      </c>
      <c r="AU169" t="inlineStr">
        <is>
          <t>Scotiabank Perú</t>
        </is>
      </c>
      <c r="AV169" t="inlineStr">
        <is>
          <t>000-2768484</t>
        </is>
      </c>
      <c r="AW169" t="inlineStr">
        <is>
          <t>TRANSFERENCIA BANCARIA</t>
        </is>
      </c>
      <c r="AX169" t="inlineStr">
        <is>
          <t>42539680</t>
        </is>
      </c>
      <c r="AY169" t="inlineStr">
        <is>
          <t>503251</t>
        </is>
      </c>
      <c r="AZ169" t="inlineStr">
        <is>
          <t>No</t>
        </is>
      </c>
      <c r="BA169" t="inlineStr">
        <is>
          <t>NO PRECISA</t>
        </is>
      </c>
      <c r="BB169" t="n">
        <v>4</v>
      </c>
      <c r="BC169" t="inlineStr">
        <is>
          <t>CANCELADO</t>
        </is>
      </c>
      <c r="BN169" t="inlineStr">
        <is>
          <t>Si</t>
        </is>
      </c>
      <c r="BO169" s="117" t="n">
        <v>45832.51944444444</v>
      </c>
      <c r="BP169" t="inlineStr">
        <is>
          <t>Carla Michue M</t>
        </is>
      </c>
      <c r="BR169" t="n">
        <v>45</v>
      </c>
      <c r="BS169" t="inlineStr">
        <is>
          <t>05/06/2026 12:20</t>
        </is>
      </c>
      <c r="BT169" t="n">
        <v>0</v>
      </c>
      <c r="BX169" t="inlineStr">
        <is>
          <t>Cobranzas_2025.csv</t>
        </is>
      </c>
      <c r="BY169" t="n">
        <v>2025</v>
      </c>
      <c r="BZ169" t="inlineStr">
        <is>
          <t>01/01/2024</t>
        </is>
      </c>
      <c r="CA169" t="inlineStr">
        <is>
          <t>30/09/2031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39" t="n">
        <v>420000</v>
      </c>
      <c r="H170" s="39" t="n">
        <v>420000</v>
      </c>
      <c r="M170" s="39" t="n"/>
      <c r="N170" s="39" t="n"/>
      <c r="S170" s="39" t="n"/>
      <c r="T170" s="39" t="n"/>
      <c r="Y170" s="39" t="n"/>
      <c r="Z170" s="39" t="n"/>
      <c r="AA170" t="inlineStr">
        <is>
          <t xml:space="preserve">Gersom Juver Gonzalez Alfaro </t>
        </is>
      </c>
      <c r="AB170" t="inlineStr">
        <is>
          <t>42539680</t>
        </is>
      </c>
      <c r="AC170" t="inlineStr">
        <is>
          <t>Jr. Grl. Zegarra 854 Dpto. 21 P. 4</t>
        </is>
      </c>
      <c r="AD170" t="n">
        <v>958600003</v>
      </c>
      <c r="AE170" t="inlineStr">
        <is>
          <t>958600003</t>
        </is>
      </c>
      <c r="AF170" t="inlineStr">
        <is>
          <t>gersonalfaro@gmail.com</t>
        </is>
      </c>
      <c r="AG170" t="inlineStr">
        <is>
          <t>LIMA</t>
        </is>
      </c>
      <c r="AH170" t="inlineStr">
        <is>
          <t>JESUS MARIA</t>
        </is>
      </c>
      <c r="AI170" s="116" t="n">
        <v>45991</v>
      </c>
      <c r="AJ170" s="116" t="n">
        <v>46127</v>
      </c>
      <c r="AK170" t="inlineStr">
        <is>
          <t>CUOTA INICIAL</t>
        </is>
      </c>
      <c r="AL170" t="n">
        <v>3</v>
      </c>
      <c r="AM170" t="n">
        <v>12086</v>
      </c>
      <c r="AN170" t="n">
        <v>0</v>
      </c>
      <c r="AO170" t="n">
        <v>0</v>
      </c>
      <c r="AP170" s="39" t="n">
        <v>12086</v>
      </c>
      <c r="AQ170" s="39" t="n">
        <v>4210.3</v>
      </c>
      <c r="AR170" s="39" t="n">
        <v>0</v>
      </c>
      <c r="AS170" t="n">
        <v>0</v>
      </c>
      <c r="AT170" t="inlineStr">
        <is>
          <t>Crédito Hipotecario</t>
        </is>
      </c>
      <c r="AU170" t="inlineStr">
        <is>
          <t>Scotiabank Perú</t>
        </is>
      </c>
      <c r="AV170" t="inlineStr">
        <is>
          <t>000-2768484</t>
        </is>
      </c>
      <c r="AW170" t="inlineStr">
        <is>
          <t>TRANSFERENCIA BANCARIA</t>
        </is>
      </c>
      <c r="AX170" t="inlineStr">
        <is>
          <t>42539680</t>
        </is>
      </c>
      <c r="AY170" t="inlineStr">
        <is>
          <t>00003077000000000</t>
        </is>
      </c>
      <c r="AZ170" t="inlineStr">
        <is>
          <t>No</t>
        </is>
      </c>
      <c r="BA170" t="inlineStr">
        <is>
          <t>NO PRECISA</t>
        </is>
      </c>
      <c r="BB170" t="n">
        <v>4</v>
      </c>
      <c r="BC170" t="inlineStr">
        <is>
          <t>CANCELADO</t>
        </is>
      </c>
      <c r="BN170" t="inlineStr">
        <is>
          <t>Si</t>
        </is>
      </c>
      <c r="BO170" s="117" t="n">
        <v>45832.51944444444</v>
      </c>
      <c r="BP170" t="inlineStr">
        <is>
          <t>Carla Michue M</t>
        </is>
      </c>
      <c r="BR170" t="n">
        <v>45</v>
      </c>
      <c r="BS170" t="inlineStr">
        <is>
          <t>05/06/2026 12:27</t>
        </is>
      </c>
      <c r="BT170" t="n">
        <v>0</v>
      </c>
      <c r="BX170" t="inlineStr">
        <is>
          <t>Cobranzas_2025.csv</t>
        </is>
      </c>
      <c r="BY170" t="n">
        <v>2025</v>
      </c>
      <c r="BZ170" t="inlineStr">
        <is>
          <t>01/01/2024</t>
        </is>
      </c>
      <c r="CA170" t="inlineStr">
        <is>
          <t>30/09/2031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39" t="n">
        <v>420000</v>
      </c>
      <c r="H171" s="39" t="n">
        <v>420000</v>
      </c>
      <c r="M171" s="39" t="n"/>
      <c r="N171" s="39" t="n"/>
      <c r="S171" s="39" t="n"/>
      <c r="T171" s="39" t="n"/>
      <c r="Y171" s="39" t="n"/>
      <c r="Z171" s="39" t="n"/>
      <c r="AA171" t="inlineStr">
        <is>
          <t xml:space="preserve">Gersom Juver Gonzalez Alfaro </t>
        </is>
      </c>
      <c r="AB171" t="inlineStr">
        <is>
          <t>42539680</t>
        </is>
      </c>
      <c r="AC171" t="inlineStr">
        <is>
          <t>Jr. Grl. Zegarra 854 Dpto. 21 P. 4</t>
        </is>
      </c>
      <c r="AD171" t="n">
        <v>958600003</v>
      </c>
      <c r="AE171" t="inlineStr">
        <is>
          <t>958600003</t>
        </is>
      </c>
      <c r="AF171" t="inlineStr">
        <is>
          <t>gersonalfaro@gmail.com</t>
        </is>
      </c>
      <c r="AG171" t="inlineStr">
        <is>
          <t>LIMA</t>
        </is>
      </c>
      <c r="AH171" t="inlineStr">
        <is>
          <t>JESUS MARIA</t>
        </is>
      </c>
      <c r="AI171" s="116" t="n">
        <v>45991</v>
      </c>
      <c r="AJ171" s="116" t="n">
        <v>46086</v>
      </c>
      <c r="AK171" t="inlineStr">
        <is>
          <t>CUOTA INICIAL</t>
        </is>
      </c>
      <c r="AL171" t="n">
        <v>3</v>
      </c>
      <c r="AM171" t="n">
        <v>0</v>
      </c>
      <c r="AN171" t="n">
        <v>0</v>
      </c>
      <c r="AO171" t="n">
        <v>0</v>
      </c>
      <c r="AP171" s="39" t="n">
        <v>0</v>
      </c>
      <c r="AQ171" s="39" t="n">
        <v>7875.7</v>
      </c>
      <c r="AR171" s="39" t="n">
        <v>0</v>
      </c>
      <c r="AS171" t="n">
        <v>0</v>
      </c>
      <c r="AT171" t="inlineStr">
        <is>
          <t>Crédito Hipotecario</t>
        </is>
      </c>
      <c r="AU171" t="inlineStr">
        <is>
          <t>Scotiabank Perú</t>
        </is>
      </c>
      <c r="AV171" t="inlineStr">
        <is>
          <t>000-2768484</t>
        </is>
      </c>
      <c r="AW171" t="inlineStr">
        <is>
          <t>TRANSFERENCIA BANCARIA</t>
        </is>
      </c>
      <c r="AY171" t="inlineStr">
        <is>
          <t>05032026</t>
        </is>
      </c>
      <c r="AZ171" t="inlineStr">
        <is>
          <t>No</t>
        </is>
      </c>
      <c r="BB171" t="n">
        <v>4</v>
      </c>
      <c r="BC171" t="inlineStr">
        <is>
          <t>CANCELADO</t>
        </is>
      </c>
      <c r="BN171" t="inlineStr">
        <is>
          <t>Si</t>
        </is>
      </c>
      <c r="BO171" s="117" t="n">
        <v>45832.51944444444</v>
      </c>
      <c r="BP171" t="inlineStr">
        <is>
          <t>Carla Michue M</t>
        </is>
      </c>
      <c r="BR171" t="n">
        <v>45</v>
      </c>
      <c r="BS171" t="inlineStr">
        <is>
          <t>07/07/2026 12:27</t>
        </is>
      </c>
      <c r="BT171" t="n">
        <v>0</v>
      </c>
      <c r="BX171" t="inlineStr">
        <is>
          <t>Cobranzas_2025.csv</t>
        </is>
      </c>
      <c r="BY171" t="n">
        <v>2025</v>
      </c>
      <c r="BZ171" t="inlineStr">
        <is>
          <t>01/01/2024</t>
        </is>
      </c>
      <c r="CA171" t="inlineStr">
        <is>
          <t>30/09/2031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Estacionamiento</t>
        </is>
      </c>
      <c r="F172" t="inlineStr">
        <is>
          <t>E 25 - D 19</t>
        </is>
      </c>
      <c r="G172" s="39" t="n">
        <v>60400</v>
      </c>
      <c r="H172" s="39" t="n">
        <v>60400</v>
      </c>
      <c r="M172" s="39" t="n"/>
      <c r="N172" s="39" t="n"/>
      <c r="S172" s="39" t="n"/>
      <c r="T172" s="39" t="n"/>
      <c r="Y172" s="39" t="n"/>
      <c r="Z172" s="39" t="n"/>
      <c r="AA172" t="inlineStr">
        <is>
          <t>Gersom Juver Gonzalez Alfaro</t>
        </is>
      </c>
      <c r="AB172" t="inlineStr">
        <is>
          <t>42539680</t>
        </is>
      </c>
      <c r="AC172" t="inlineStr">
        <is>
          <t>Jr. Grl. Zegarra 854 Dpto. 21 P. 4</t>
        </is>
      </c>
      <c r="AD172" t="n">
        <v>0</v>
      </c>
      <c r="AE172" t="inlineStr">
        <is>
          <t>958600003</t>
        </is>
      </c>
      <c r="AF172" t="inlineStr">
        <is>
          <t>gersomalfaro@gmail.com</t>
        </is>
      </c>
      <c r="AG172" t="inlineStr">
        <is>
          <t>LIMA</t>
        </is>
      </c>
      <c r="AH172" t="inlineStr">
        <is>
          <t>JESUS MARIA</t>
        </is>
      </c>
      <c r="AI172" s="116" t="n">
        <v>45886</v>
      </c>
      <c r="AJ172" s="116" t="n">
        <v>45886</v>
      </c>
      <c r="AK172" t="inlineStr">
        <is>
          <t>SEPARACION</t>
        </is>
      </c>
      <c r="AL172" t="n">
        <v>1</v>
      </c>
      <c r="AM172" t="n">
        <v>5000</v>
      </c>
      <c r="AN172" t="n">
        <v>0</v>
      </c>
      <c r="AO172" t="n">
        <v>0</v>
      </c>
      <c r="AP172" s="39" t="n">
        <v>5000</v>
      </c>
      <c r="AQ172" s="39" t="n">
        <v>5000</v>
      </c>
      <c r="AR172" s="39" t="n">
        <v>0</v>
      </c>
      <c r="AS172" t="n">
        <v>0</v>
      </c>
      <c r="AT172" t="inlineStr">
        <is>
          <t>Crédito Directo</t>
        </is>
      </c>
      <c r="AU172" t="inlineStr">
        <is>
          <t>Scotiabank Perú</t>
        </is>
      </c>
      <c r="AV172" t="inlineStr">
        <is>
          <t>00917000000276848424</t>
        </is>
      </c>
      <c r="AW172" t="inlineStr">
        <is>
          <t>TRANSFERENCIA BANCARIA</t>
        </is>
      </c>
      <c r="AY172" t="inlineStr">
        <is>
          <t>00002539000000000</t>
        </is>
      </c>
      <c r="AZ172" t="inlineStr">
        <is>
          <t>No</t>
        </is>
      </c>
      <c r="BB172" t="n">
        <v>4</v>
      </c>
      <c r="BC172" t="inlineStr">
        <is>
          <t>CANCELADO</t>
        </is>
      </c>
      <c r="BN172" t="inlineStr">
        <is>
          <t>Si</t>
        </is>
      </c>
      <c r="BO172" s="117" t="n">
        <v>46031.56527777778</v>
      </c>
      <c r="BP172" t="inlineStr">
        <is>
          <t>Carla Michue M</t>
        </is>
      </c>
      <c r="BR172" t="n">
        <v>63</v>
      </c>
      <c r="BS172" t="inlineStr">
        <is>
          <t>23/08/2026 13:29</t>
        </is>
      </c>
      <c r="BT172" t="n">
        <v>0</v>
      </c>
      <c r="BX172" t="inlineStr">
        <is>
          <t>Cobranzas_2025.csv</t>
        </is>
      </c>
      <c r="BY172" t="n">
        <v>2025</v>
      </c>
      <c r="BZ172" t="inlineStr">
        <is>
          <t>01/01/2024</t>
        </is>
      </c>
      <c r="CA172" t="inlineStr">
        <is>
          <t>30/09/2031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Departamento</t>
        </is>
      </c>
      <c r="F173" t="inlineStr">
        <is>
          <t>203</t>
        </is>
      </c>
      <c r="G173" s="39" t="n">
        <v>654000</v>
      </c>
      <c r="H173" s="39" t="n">
        <v>654000</v>
      </c>
      <c r="I173" t="inlineStr">
        <is>
          <t>Edificio</t>
        </is>
      </c>
      <c r="J173" t="inlineStr">
        <is>
          <t>A</t>
        </is>
      </c>
      <c r="K173" t="inlineStr">
        <is>
          <t>Estacionamiento</t>
        </is>
      </c>
      <c r="L173" t="inlineStr">
        <is>
          <t>E 12 - D 09</t>
        </is>
      </c>
      <c r="M173" s="39" t="n">
        <v>56300</v>
      </c>
      <c r="N173" s="39" t="n">
        <v>56300</v>
      </c>
      <c r="S173" s="39" t="n"/>
      <c r="T173" s="39" t="n"/>
      <c r="Y173" s="39" t="n"/>
      <c r="Z173" s="39" t="n"/>
      <c r="AA173" t="inlineStr">
        <is>
          <t>Gilberto Videla Flores</t>
        </is>
      </c>
      <c r="AB173" t="inlineStr">
        <is>
          <t>06571347</t>
        </is>
      </c>
      <c r="AC173" t="inlineStr">
        <is>
          <t>Mz D Lt 7 Urb. La Estrella</t>
        </is>
      </c>
      <c r="AE173" t="inlineStr">
        <is>
          <t>969742622</t>
        </is>
      </c>
      <c r="AF173" t="inlineStr">
        <is>
          <t>gvidelaf@gmail.com</t>
        </is>
      </c>
      <c r="AG173" t="inlineStr">
        <is>
          <t>LIMA</t>
        </is>
      </c>
      <c r="AH173" t="inlineStr">
        <is>
          <t>LOS OLIVOS</t>
        </is>
      </c>
      <c r="AI173" s="116" t="n">
        <v>45750</v>
      </c>
      <c r="AJ173" s="116" t="n">
        <v>45750</v>
      </c>
      <c r="AK173" t="inlineStr">
        <is>
          <t>SALDO FINANCIAR</t>
        </is>
      </c>
      <c r="AL173" t="n">
        <v>4</v>
      </c>
      <c r="AM173" t="n">
        <v>20000</v>
      </c>
      <c r="AN173" t="n">
        <v>0</v>
      </c>
      <c r="AO173" t="n">
        <v>0</v>
      </c>
      <c r="AP173" s="39" t="n">
        <v>20000</v>
      </c>
      <c r="AQ173" s="39" t="n">
        <v>20000</v>
      </c>
      <c r="AR173" s="39" t="n">
        <v>0</v>
      </c>
      <c r="AS173" t="n">
        <v>0</v>
      </c>
      <c r="AT173" t="inlineStr">
        <is>
          <t>Crédito Directo</t>
        </is>
      </c>
      <c r="AU173" t="inlineStr">
        <is>
          <t>Scotiabank Perú</t>
        </is>
      </c>
      <c r="AV173" t="inlineStr">
        <is>
          <t>000-2768484</t>
        </is>
      </c>
      <c r="AW173" t="inlineStr">
        <is>
          <t>TRANSFERENCIA BANCARIA</t>
        </is>
      </c>
      <c r="AY173" t="inlineStr">
        <is>
          <t>02908619</t>
        </is>
      </c>
      <c r="AZ173" t="inlineStr">
        <is>
          <t>No</t>
        </is>
      </c>
      <c r="BB173" t="n">
        <v>4</v>
      </c>
      <c r="BC173" t="inlineStr">
        <is>
          <t>CANCELADO</t>
        </is>
      </c>
      <c r="BN173" t="inlineStr">
        <is>
          <t>Si</t>
        </is>
      </c>
      <c r="BO173" s="117" t="n">
        <v>45539.38055555556</v>
      </c>
      <c r="BP173" t="inlineStr">
        <is>
          <t>Carla Michue M</t>
        </is>
      </c>
      <c r="BR173" t="n">
        <v>24</v>
      </c>
      <c r="BS173" t="inlineStr">
        <is>
          <t>30/06/2026 16:50</t>
        </is>
      </c>
      <c r="BT173" t="n">
        <v>0</v>
      </c>
      <c r="BX173" t="inlineStr">
        <is>
          <t>Cobranzas_2025.csv</t>
        </is>
      </c>
      <c r="BY173" t="n">
        <v>2025</v>
      </c>
      <c r="BZ173" t="inlineStr">
        <is>
          <t>01/01/2024</t>
        </is>
      </c>
      <c r="CA173" t="inlineStr">
        <is>
          <t>30/09/2031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39" t="n">
        <v>654000</v>
      </c>
      <c r="H174" s="39" t="n">
        <v>654000</v>
      </c>
      <c r="I174" t="inlineStr">
        <is>
          <t>Edificio</t>
        </is>
      </c>
      <c r="J174" t="inlineStr">
        <is>
          <t>A</t>
        </is>
      </c>
      <c r="K174" t="inlineStr">
        <is>
          <t>Estacionamiento</t>
        </is>
      </c>
      <c r="L174" t="inlineStr">
        <is>
          <t>E 12 - D 09</t>
        </is>
      </c>
      <c r="M174" s="39" t="n">
        <v>56300</v>
      </c>
      <c r="N174" s="39" t="n">
        <v>56300</v>
      </c>
      <c r="S174" s="39" t="n"/>
      <c r="T174" s="39" t="n"/>
      <c r="Y174" s="39" t="n"/>
      <c r="Z174" s="39" t="n"/>
      <c r="AA174" t="inlineStr">
        <is>
          <t>Gilberto Videla Flores</t>
        </is>
      </c>
      <c r="AB174" t="inlineStr">
        <is>
          <t>06571347</t>
        </is>
      </c>
      <c r="AC174" t="inlineStr">
        <is>
          <t>Mz D Lt 7 Urb. La Estrella</t>
        </is>
      </c>
      <c r="AE174" t="inlineStr">
        <is>
          <t>969742622</t>
        </is>
      </c>
      <c r="AF174" t="inlineStr">
        <is>
          <t>gvidelaf@gmail.com</t>
        </is>
      </c>
      <c r="AG174" t="inlineStr">
        <is>
          <t>LIMA</t>
        </is>
      </c>
      <c r="AH174" t="inlineStr">
        <is>
          <t>LOS OLIVOS</t>
        </is>
      </c>
      <c r="AI174" s="116" t="n">
        <v>45751</v>
      </c>
      <c r="AJ174" s="116" t="n">
        <v>45751</v>
      </c>
      <c r="AK174" t="inlineStr">
        <is>
          <t>SALDO FINANCIAR</t>
        </is>
      </c>
      <c r="AL174" t="n">
        <v>5</v>
      </c>
      <c r="AM174" t="n">
        <v>15515</v>
      </c>
      <c r="AN174" t="n">
        <v>0</v>
      </c>
      <c r="AO174" t="n">
        <v>0</v>
      </c>
      <c r="AP174" s="39" t="n">
        <v>15515</v>
      </c>
      <c r="AQ174" s="39" t="n">
        <v>15515</v>
      </c>
      <c r="AR174" s="39" t="n">
        <v>0</v>
      </c>
      <c r="AS174" t="n">
        <v>0</v>
      </c>
      <c r="AT174" t="inlineStr">
        <is>
          <t>Crédito Directo</t>
        </is>
      </c>
      <c r="AU174" t="inlineStr">
        <is>
          <t>Scotiabank Perú</t>
        </is>
      </c>
      <c r="AV174" t="inlineStr">
        <is>
          <t>000-2768484</t>
        </is>
      </c>
      <c r="AW174" t="inlineStr">
        <is>
          <t>TRANSFERENCIA BANCARIA</t>
        </is>
      </c>
      <c r="AY174" t="inlineStr">
        <is>
          <t>00616715</t>
        </is>
      </c>
      <c r="AZ174" t="inlineStr">
        <is>
          <t>No</t>
        </is>
      </c>
      <c r="BB174" t="n">
        <v>4</v>
      </c>
      <c r="BC174" t="inlineStr">
        <is>
          <t>CANCELADO</t>
        </is>
      </c>
      <c r="BN174" t="inlineStr">
        <is>
          <t>Si</t>
        </is>
      </c>
      <c r="BO174" s="117" t="n">
        <v>45539.38055555556</v>
      </c>
      <c r="BP174" t="inlineStr">
        <is>
          <t>Carla Michue M</t>
        </is>
      </c>
      <c r="BR174" t="n">
        <v>24</v>
      </c>
      <c r="BS174" t="inlineStr">
        <is>
          <t>30/06/2026 16:54</t>
        </is>
      </c>
      <c r="BT174" t="n">
        <v>0</v>
      </c>
      <c r="BX174" t="inlineStr">
        <is>
          <t>Cobranzas_2025.csv</t>
        </is>
      </c>
      <c r="BY174" t="n">
        <v>2025</v>
      </c>
      <c r="BZ174" t="inlineStr">
        <is>
          <t>01/01/2024</t>
        </is>
      </c>
      <c r="CA174" t="inlineStr">
        <is>
          <t>30/09/2031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39" t="n">
        <v>654000</v>
      </c>
      <c r="H175" s="39" t="n">
        <v>654000</v>
      </c>
      <c r="I175" t="inlineStr">
        <is>
          <t>Edificio</t>
        </is>
      </c>
      <c r="J175" t="inlineStr">
        <is>
          <t>A</t>
        </is>
      </c>
      <c r="K175" t="inlineStr">
        <is>
          <t>Estacionamiento</t>
        </is>
      </c>
      <c r="L175" t="inlineStr">
        <is>
          <t>E 12 - D 09</t>
        </is>
      </c>
      <c r="M175" s="39" t="n">
        <v>56300</v>
      </c>
      <c r="N175" s="39" t="n">
        <v>56300</v>
      </c>
      <c r="S175" s="39" t="n"/>
      <c r="T175" s="39" t="n"/>
      <c r="Y175" s="39" t="n"/>
      <c r="Z175" s="39" t="n"/>
      <c r="AA175" t="inlineStr">
        <is>
          <t>Gilberto Videla Flores</t>
        </is>
      </c>
      <c r="AB175" t="inlineStr">
        <is>
          <t>06571347</t>
        </is>
      </c>
      <c r="AC175" t="inlineStr">
        <is>
          <t>Mz D Lt 7 Urb. La Estrella</t>
        </is>
      </c>
      <c r="AE175" t="inlineStr">
        <is>
          <t>969742622</t>
        </is>
      </c>
      <c r="AF175" t="inlineStr">
        <is>
          <t>gvidelaf@gmail.com</t>
        </is>
      </c>
      <c r="AG175" t="inlineStr">
        <is>
          <t>LIMA</t>
        </is>
      </c>
      <c r="AH175" t="inlineStr">
        <is>
          <t>LOS OLIVOS</t>
        </is>
      </c>
      <c r="AI175" s="116" t="n">
        <v>45793</v>
      </c>
      <c r="AJ175" s="116" t="n">
        <v>45793</v>
      </c>
      <c r="AK175" t="inlineStr">
        <is>
          <t>SALDO FINANCIAR</t>
        </is>
      </c>
      <c r="AL175" t="n">
        <v>6</v>
      </c>
      <c r="AM175" t="n">
        <v>35515</v>
      </c>
      <c r="AN175" t="n">
        <v>0</v>
      </c>
      <c r="AO175" t="n">
        <v>0</v>
      </c>
      <c r="AP175" s="39" t="n">
        <v>35515</v>
      </c>
      <c r="AQ175" s="39" t="n">
        <v>35515</v>
      </c>
      <c r="AR175" s="39" t="n">
        <v>0</v>
      </c>
      <c r="AS175" t="n">
        <v>0</v>
      </c>
      <c r="AT175" t="inlineStr">
        <is>
          <t>Crédito Directo</t>
        </is>
      </c>
      <c r="AU175" t="inlineStr">
        <is>
          <t>Scotiabank Perú</t>
        </is>
      </c>
      <c r="AV175" t="inlineStr">
        <is>
          <t>000-2768484</t>
        </is>
      </c>
      <c r="AW175" t="inlineStr">
        <is>
          <t>TRANSFERENCIA BANCARIA</t>
        </is>
      </c>
      <c r="AY175" t="inlineStr">
        <is>
          <t>02719890</t>
        </is>
      </c>
      <c r="AZ175" t="inlineStr">
        <is>
          <t>No</t>
        </is>
      </c>
      <c r="BB175" t="n">
        <v>4</v>
      </c>
      <c r="BC175" t="inlineStr">
        <is>
          <t>CANCELADO</t>
        </is>
      </c>
      <c r="BN175" t="inlineStr">
        <is>
          <t>Si</t>
        </is>
      </c>
      <c r="BO175" s="117" t="n">
        <v>45539.38055555556</v>
      </c>
      <c r="BP175" t="inlineStr">
        <is>
          <t>Carla Michue M</t>
        </is>
      </c>
      <c r="BR175" t="n">
        <v>24</v>
      </c>
      <c r="BS175" t="inlineStr">
        <is>
          <t>30/06/2026 17:00</t>
        </is>
      </c>
      <c r="BT175" t="n">
        <v>0</v>
      </c>
      <c r="BX175" t="inlineStr">
        <is>
          <t>Cobranzas_2025.csv</t>
        </is>
      </c>
      <c r="BY175" t="n">
        <v>2025</v>
      </c>
      <c r="BZ175" t="inlineStr">
        <is>
          <t>01/01/2024</t>
        </is>
      </c>
      <c r="CA175" t="inlineStr">
        <is>
          <t>30/09/2031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104</t>
        </is>
      </c>
      <c r="G176" s="39" t="n">
        <v>609100</v>
      </c>
      <c r="H176" s="39" t="n">
        <v>609100</v>
      </c>
      <c r="I176" t="inlineStr">
        <is>
          <t>Edificio</t>
        </is>
      </c>
      <c r="J176" t="inlineStr">
        <is>
          <t>A</t>
        </is>
      </c>
      <c r="K176" t="inlineStr">
        <is>
          <t>Estacionamiento</t>
        </is>
      </c>
      <c r="L176" t="inlineStr">
        <is>
          <t>E 26 - D 20</t>
        </is>
      </c>
      <c r="M176" s="39" t="n">
        <v>64600</v>
      </c>
      <c r="N176" s="39" t="n">
        <v>64600</v>
      </c>
      <c r="S176" s="39" t="n"/>
      <c r="T176" s="39" t="n"/>
      <c r="Y176" s="39" t="n"/>
      <c r="Z176" s="39" t="n"/>
      <c r="AA176" t="inlineStr">
        <is>
          <t>Gilda Victoria Sampi González</t>
        </is>
      </c>
      <c r="AB176" t="inlineStr">
        <is>
          <t>43636501</t>
        </is>
      </c>
      <c r="AC176" t="inlineStr">
        <is>
          <t>Av. Brasil 863 departamento 702-A</t>
        </is>
      </c>
      <c r="AD176" t="n">
        <v>966422784</v>
      </c>
      <c r="AE176" t="inlineStr">
        <is>
          <t xml:space="preserve">966422784		</t>
        </is>
      </c>
      <c r="AF176" t="inlineStr">
        <is>
          <t>victoria.sampi@gmail.com</t>
        </is>
      </c>
      <c r="AG176" t="inlineStr">
        <is>
          <t>LIMA</t>
        </is>
      </c>
      <c r="AH176" t="inlineStr">
        <is>
          <t>JESUS MARIA</t>
        </is>
      </c>
      <c r="AI176" s="116" t="n">
        <v>45869</v>
      </c>
      <c r="AJ176" s="116" t="n">
        <v>45900</v>
      </c>
      <c r="AK176" t="inlineStr">
        <is>
          <t>SALDO FINANCIAR</t>
        </is>
      </c>
      <c r="AL176" t="n">
        <v>1</v>
      </c>
      <c r="AM176" t="n">
        <v>535960</v>
      </c>
      <c r="AN176" t="n">
        <v>0</v>
      </c>
      <c r="AO176" t="n">
        <v>0</v>
      </c>
      <c r="AP176" s="39" t="n">
        <v>535960</v>
      </c>
      <c r="AQ176" s="39" t="n">
        <v>535960</v>
      </c>
      <c r="AR176" s="39" t="n">
        <v>0</v>
      </c>
      <c r="AS176" t="n">
        <v>0</v>
      </c>
      <c r="AT176" t="inlineStr">
        <is>
          <t>Crédito Hipotecario</t>
        </is>
      </c>
      <c r="AU176" t="inlineStr">
        <is>
          <t>Scotiabank Perú</t>
        </is>
      </c>
      <c r="AV176" t="inlineStr">
        <is>
          <t>000-2768484</t>
        </is>
      </c>
      <c r="AW176" t="inlineStr">
        <is>
          <t>TRANSFERENCIA BANCARIA</t>
        </is>
      </c>
      <c r="AZ176" t="inlineStr">
        <is>
          <t>Si</t>
        </is>
      </c>
      <c r="BB176" t="n">
        <v>4</v>
      </c>
      <c r="BC176" t="inlineStr">
        <is>
          <t>CANCELADO</t>
        </is>
      </c>
      <c r="BN176" t="inlineStr">
        <is>
          <t>Si</t>
        </is>
      </c>
      <c r="BO176" s="117" t="n">
        <v>45537.59305555555</v>
      </c>
      <c r="BP176" t="inlineStr">
        <is>
          <t>Kenny Salazar S</t>
        </is>
      </c>
      <c r="BR176" t="n">
        <v>32</v>
      </c>
      <c r="BS176" t="inlineStr">
        <is>
          <t>07/07/2026 08:32</t>
        </is>
      </c>
      <c r="BT176" t="n">
        <v>0</v>
      </c>
      <c r="BX176" t="inlineStr">
        <is>
          <t>Cobranzas_2025.csv</t>
        </is>
      </c>
      <c r="BY176" t="n">
        <v>2025</v>
      </c>
      <c r="BZ176" t="inlineStr">
        <is>
          <t>01/01/2024</t>
        </is>
      </c>
      <c r="CA176" t="inlineStr">
        <is>
          <t>30/09/2031</t>
        </is>
      </c>
    </row>
    <row r="177">
      <c r="A177" t="inlineStr">
        <is>
          <t>RESIDENCIAL VENECIA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304</t>
        </is>
      </c>
      <c r="G177" s="39" t="n">
        <v>438000</v>
      </c>
      <c r="H177" s="39" t="n">
        <v>438000</v>
      </c>
      <c r="I177" t="inlineStr">
        <is>
          <t>Edificio</t>
        </is>
      </c>
      <c r="J177" t="inlineStr">
        <is>
          <t>A</t>
        </is>
      </c>
      <c r="K177" t="inlineStr">
        <is>
          <t>Estacionamiento</t>
        </is>
      </c>
      <c r="L177" t="inlineStr">
        <is>
          <t>E 28 - D 15</t>
        </is>
      </c>
      <c r="M177" s="39" t="n">
        <v>43000</v>
      </c>
      <c r="N177" s="39" t="n">
        <v>43000</v>
      </c>
      <c r="S177" s="39" t="n"/>
      <c r="T177" s="39" t="n"/>
      <c r="Y177" s="39" t="n"/>
      <c r="Z177" s="39" t="n"/>
      <c r="AA177" t="inlineStr">
        <is>
          <t>Giovani Chumioque Garcia</t>
        </is>
      </c>
      <c r="AB177" t="inlineStr">
        <is>
          <t>46074285</t>
        </is>
      </c>
      <c r="AC177" t="inlineStr">
        <is>
          <t xml:space="preserve">JR.CANGALLO Nº185 </t>
        </is>
      </c>
      <c r="AD177" t="n">
        <v>0</v>
      </c>
      <c r="AE177" t="inlineStr">
        <is>
          <t>970793151</t>
        </is>
      </c>
      <c r="AF177" t="inlineStr">
        <is>
          <t>giojoy@hotmail.com</t>
        </is>
      </c>
      <c r="AG177" t="inlineStr">
        <is>
          <t>LIMA</t>
        </is>
      </c>
      <c r="AH177" t="inlineStr">
        <is>
          <t>CERCADO DE LIMA</t>
        </is>
      </c>
      <c r="AI177" s="116" t="n">
        <v>45940</v>
      </c>
      <c r="AJ177" s="116" t="n">
        <v>45940</v>
      </c>
      <c r="AK177" t="inlineStr">
        <is>
          <t>SEPARACION</t>
        </is>
      </c>
      <c r="AL177" t="n">
        <v>1</v>
      </c>
      <c r="AM177" t="n">
        <v>3000</v>
      </c>
      <c r="AN177" t="n">
        <v>0</v>
      </c>
      <c r="AO177" t="n">
        <v>0</v>
      </c>
      <c r="AP177" s="39" t="n">
        <v>3000</v>
      </c>
      <c r="AQ177" s="39" t="n">
        <v>3000</v>
      </c>
      <c r="AR177" s="39" t="n">
        <v>0</v>
      </c>
      <c r="AS177" t="n">
        <v>0</v>
      </c>
      <c r="AT177" t="inlineStr">
        <is>
          <t>Crédito Hipotecario</t>
        </is>
      </c>
      <c r="AU177" t="inlineStr">
        <is>
          <t>Scotiabank Perú</t>
        </is>
      </c>
      <c r="AV177" t="inlineStr">
        <is>
          <t>0004071419</t>
        </is>
      </c>
      <c r="AW177" t="inlineStr">
        <is>
          <t>POS VISA</t>
        </is>
      </c>
      <c r="AY177" t="inlineStr">
        <is>
          <t>852856</t>
        </is>
      </c>
      <c r="AZ177" t="inlineStr">
        <is>
          <t>No</t>
        </is>
      </c>
      <c r="BB177" t="n">
        <v>4</v>
      </c>
      <c r="BC177" t="inlineStr">
        <is>
          <t>CANCELADO</t>
        </is>
      </c>
      <c r="BN177" t="inlineStr">
        <is>
          <t>Si</t>
        </is>
      </c>
      <c r="BO177" s="117" t="n">
        <v>46178.33888888889</v>
      </c>
      <c r="BP177" t="inlineStr">
        <is>
          <t>Magaly Guevara Perez</t>
        </is>
      </c>
      <c r="BR177" t="n">
        <v>6</v>
      </c>
      <c r="BS177" t="inlineStr">
        <is>
          <t>24/05/2026 16:37</t>
        </is>
      </c>
      <c r="BT177" t="n">
        <v>0</v>
      </c>
      <c r="BX177" t="inlineStr">
        <is>
          <t>Cobranzas_2025.csv</t>
        </is>
      </c>
      <c r="BY177" t="n">
        <v>2025</v>
      </c>
      <c r="BZ177" t="inlineStr">
        <is>
          <t>01/01/2024</t>
        </is>
      </c>
      <c r="CA177" t="inlineStr">
        <is>
          <t>30/09/2031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39" t="n">
        <v>438000</v>
      </c>
      <c r="H178" s="39" t="n">
        <v>438000</v>
      </c>
      <c r="I178" t="inlineStr">
        <is>
          <t>Edificio</t>
        </is>
      </c>
      <c r="J178" t="inlineStr">
        <is>
          <t>A</t>
        </is>
      </c>
      <c r="K178" t="inlineStr">
        <is>
          <t>Estacionamiento</t>
        </is>
      </c>
      <c r="L178" t="inlineStr">
        <is>
          <t>E 28 - D 15</t>
        </is>
      </c>
      <c r="M178" s="39" t="n">
        <v>43000</v>
      </c>
      <c r="N178" s="39" t="n">
        <v>43000</v>
      </c>
      <c r="S178" s="39" t="n"/>
      <c r="T178" s="39" t="n"/>
      <c r="Y178" s="39" t="n"/>
      <c r="Z178" s="39" t="n"/>
      <c r="AA178" t="inlineStr">
        <is>
          <t>Giovani Chumioque Garcia</t>
        </is>
      </c>
      <c r="AB178" t="inlineStr">
        <is>
          <t>46074285</t>
        </is>
      </c>
      <c r="AC178" t="inlineStr">
        <is>
          <t xml:space="preserve">JR.CANGALLO Nº185 </t>
        </is>
      </c>
      <c r="AD178" t="n">
        <v>0</v>
      </c>
      <c r="AE178" t="inlineStr">
        <is>
          <t>970793151</t>
        </is>
      </c>
      <c r="AF178" t="inlineStr">
        <is>
          <t>giojoy@hotmail.com</t>
        </is>
      </c>
      <c r="AG178" t="inlineStr">
        <is>
          <t>LIMA</t>
        </is>
      </c>
      <c r="AH178" t="inlineStr">
        <is>
          <t>CERCADO DE LIMA</t>
        </is>
      </c>
      <c r="AI178" s="116" t="n">
        <v>45951</v>
      </c>
      <c r="AJ178" s="116" t="n">
        <v>45951</v>
      </c>
      <c r="AK178" t="inlineStr">
        <is>
          <t>CUOTA INICIAL</t>
        </is>
      </c>
      <c r="AL178" t="n">
        <v>1</v>
      </c>
      <c r="AM178" t="n">
        <v>126000</v>
      </c>
      <c r="AN178" t="n">
        <v>0</v>
      </c>
      <c r="AO178" t="n">
        <v>0</v>
      </c>
      <c r="AP178" s="39" t="n">
        <v>126000</v>
      </c>
      <c r="AQ178" s="39" t="n">
        <v>126000</v>
      </c>
      <c r="AR178" s="39" t="n">
        <v>0</v>
      </c>
      <c r="AS178" t="n">
        <v>0</v>
      </c>
      <c r="AT178" t="inlineStr">
        <is>
          <t>Crédito Hipotecario</t>
        </is>
      </c>
      <c r="AU178" t="inlineStr">
        <is>
          <t>Scotiabank Perú</t>
        </is>
      </c>
      <c r="AV178" t="inlineStr">
        <is>
          <t>0004071419</t>
        </is>
      </c>
      <c r="AW178" t="inlineStr">
        <is>
          <t>TRANSFERENCIA BANCARIA</t>
        </is>
      </c>
      <c r="AY178" t="inlineStr">
        <is>
          <t>u27329</t>
        </is>
      </c>
      <c r="AZ178" t="inlineStr">
        <is>
          <t>No</t>
        </is>
      </c>
      <c r="BB178" t="n">
        <v>4</v>
      </c>
      <c r="BC178" t="inlineStr">
        <is>
          <t>CANCELADO</t>
        </is>
      </c>
      <c r="BN178" t="inlineStr">
        <is>
          <t>Si</t>
        </is>
      </c>
      <c r="BO178" s="117" t="n">
        <v>46178.33888888889</v>
      </c>
      <c r="BP178" t="inlineStr">
        <is>
          <t>Magaly Guevara Perez</t>
        </is>
      </c>
      <c r="BR178" t="n">
        <v>6</v>
      </c>
      <c r="BS178" t="inlineStr">
        <is>
          <t>24/05/2026 16:39</t>
        </is>
      </c>
      <c r="BT178" t="n">
        <v>0</v>
      </c>
      <c r="BX178" t="inlineStr">
        <is>
          <t>Cobranzas_2025.csv</t>
        </is>
      </c>
      <c r="BY178" t="n">
        <v>2025</v>
      </c>
      <c r="BZ178" t="inlineStr">
        <is>
          <t>01/01/2024</t>
        </is>
      </c>
      <c r="CA178" t="inlineStr">
        <is>
          <t>30/09/2031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39" t="n">
        <v>438000</v>
      </c>
      <c r="H179" s="39" t="n">
        <v>438000</v>
      </c>
      <c r="I179" t="inlineStr">
        <is>
          <t>Edificio</t>
        </is>
      </c>
      <c r="J179" t="inlineStr">
        <is>
          <t>A</t>
        </is>
      </c>
      <c r="K179" t="inlineStr">
        <is>
          <t>Estacionamiento</t>
        </is>
      </c>
      <c r="L179" t="inlineStr">
        <is>
          <t>E 28 - D 15</t>
        </is>
      </c>
      <c r="M179" s="39" t="n">
        <v>43000</v>
      </c>
      <c r="N179" s="39" t="n">
        <v>43000</v>
      </c>
      <c r="S179" s="39" t="n"/>
      <c r="T179" s="39" t="n"/>
      <c r="Y179" s="39" t="n"/>
      <c r="Z179" s="39" t="n"/>
      <c r="AA179" t="inlineStr">
        <is>
          <t>Giovani Chumioque Garcia</t>
        </is>
      </c>
      <c r="AB179" t="inlineStr">
        <is>
          <t>46074285</t>
        </is>
      </c>
      <c r="AC179" t="inlineStr">
        <is>
          <t xml:space="preserve">JR.CANGALLO Nº185 </t>
        </is>
      </c>
      <c r="AD179" t="n">
        <v>0</v>
      </c>
      <c r="AE179" t="inlineStr">
        <is>
          <t>970793151</t>
        </is>
      </c>
      <c r="AF179" t="inlineStr">
        <is>
          <t>giojoy@hotmail.com</t>
        </is>
      </c>
      <c r="AG179" t="inlineStr">
        <is>
          <t>LIMA</t>
        </is>
      </c>
      <c r="AH179" t="inlineStr">
        <is>
          <t>CERCADO DE LIMA</t>
        </is>
      </c>
      <c r="AI179" s="116" t="n">
        <v>46007</v>
      </c>
      <c r="AJ179" s="116" t="n">
        <v>46007</v>
      </c>
      <c r="AK179" t="inlineStr">
        <is>
          <t>CUOTA INICIAL</t>
        </is>
      </c>
      <c r="AL179" t="n">
        <v>2</v>
      </c>
      <c r="AM179" t="n">
        <v>21000</v>
      </c>
      <c r="AN179" t="n">
        <v>0</v>
      </c>
      <c r="AO179" t="n">
        <v>0</v>
      </c>
      <c r="AP179" s="39" t="n">
        <v>21000</v>
      </c>
      <c r="AQ179" s="39" t="n">
        <v>21000</v>
      </c>
      <c r="AR179" s="39" t="n">
        <v>0</v>
      </c>
      <c r="AS179" t="n">
        <v>0</v>
      </c>
      <c r="AT179" t="inlineStr">
        <is>
          <t>Crédito Hipotecario</t>
        </is>
      </c>
      <c r="AU179" t="inlineStr">
        <is>
          <t>Scotiabank Perú</t>
        </is>
      </c>
      <c r="AV179" t="inlineStr">
        <is>
          <t>0004071419</t>
        </is>
      </c>
      <c r="AW179" t="inlineStr">
        <is>
          <t>TRANSFERENCIA BANCARIA</t>
        </is>
      </c>
      <c r="AY179" t="inlineStr">
        <is>
          <t>u28740</t>
        </is>
      </c>
      <c r="AZ179" t="inlineStr">
        <is>
          <t>No</t>
        </is>
      </c>
      <c r="BB179" t="n">
        <v>4</v>
      </c>
      <c r="BC179" t="inlineStr">
        <is>
          <t>CANCELADO</t>
        </is>
      </c>
      <c r="BN179" t="inlineStr">
        <is>
          <t>Si</t>
        </is>
      </c>
      <c r="BO179" s="117" t="n">
        <v>46178.33888888889</v>
      </c>
      <c r="BP179" t="inlineStr">
        <is>
          <t>Magaly Guevara Perez</t>
        </is>
      </c>
      <c r="BR179" t="n">
        <v>6</v>
      </c>
      <c r="BS179" t="inlineStr">
        <is>
          <t>24/05/2026 16:40</t>
        </is>
      </c>
      <c r="BT179" t="n">
        <v>0</v>
      </c>
      <c r="BX179" t="inlineStr">
        <is>
          <t>Cobranzas_2025.csv</t>
        </is>
      </c>
      <c r="BY179" t="n">
        <v>2025</v>
      </c>
      <c r="BZ179" t="inlineStr">
        <is>
          <t>01/01/2024</t>
        </is>
      </c>
      <c r="CA179" t="inlineStr">
        <is>
          <t>30/09/2031</t>
        </is>
      </c>
    </row>
    <row r="180">
      <c r="A180" t="inlineStr">
        <is>
          <t>RESIDENCIAL PRADA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401</t>
        </is>
      </c>
      <c r="G180" s="39" t="n">
        <v>630000</v>
      </c>
      <c r="H180" s="39" t="n">
        <v>630000</v>
      </c>
      <c r="M180" s="39" t="n"/>
      <c r="N180" s="39" t="n"/>
      <c r="S180" s="39" t="n"/>
      <c r="T180" s="39" t="n"/>
      <c r="Y180" s="39" t="n"/>
      <c r="Z180" s="39" t="n"/>
      <c r="AA180" t="inlineStr">
        <is>
          <t>Gladys Marta Moreano Bellido</t>
        </is>
      </c>
      <c r="AB180" t="inlineStr">
        <is>
          <t>23951642</t>
        </is>
      </c>
      <c r="AC180" t="inlineStr">
        <is>
          <t>General Sta. Cruz 416 interior 311</t>
        </is>
      </c>
      <c r="AD180" t="n">
        <v>0</v>
      </c>
      <c r="AE180" t="inlineStr">
        <is>
          <t>944421327</t>
        </is>
      </c>
      <c r="AF180" t="inlineStr">
        <is>
          <t>cuscoya@gmail.com</t>
        </is>
      </c>
      <c r="AG180" t="inlineStr">
        <is>
          <t>LIMA</t>
        </is>
      </c>
      <c r="AH180" t="inlineStr">
        <is>
          <t>JESUS MARIA</t>
        </is>
      </c>
      <c r="AI180" s="116" t="n">
        <v>45751</v>
      </c>
      <c r="AJ180" s="116" t="n">
        <v>45751</v>
      </c>
      <c r="AK180" t="inlineStr">
        <is>
          <t>SEPARACION</t>
        </is>
      </c>
      <c r="AL180" t="n">
        <v>1</v>
      </c>
      <c r="AM180" t="n">
        <v>3000</v>
      </c>
      <c r="AN180" t="n">
        <v>0</v>
      </c>
      <c r="AO180" t="n">
        <v>0</v>
      </c>
      <c r="AP180" s="39" t="n">
        <v>3000</v>
      </c>
      <c r="AQ180" s="39" t="n">
        <v>3000</v>
      </c>
      <c r="AR180" s="39" t="n">
        <v>0</v>
      </c>
      <c r="AS180" t="n">
        <v>0</v>
      </c>
      <c r="AT180" t="inlineStr">
        <is>
          <t>Crédito Directo</t>
        </is>
      </c>
      <c r="AU180" t="inlineStr">
        <is>
          <t>Scotiabank Perú</t>
        </is>
      </c>
      <c r="AV180" t="inlineStr">
        <is>
          <t>000-2768484</t>
        </is>
      </c>
      <c r="AW180" t="inlineStr">
        <is>
          <t>TRANSFERENCIA BANCARIA</t>
        </is>
      </c>
      <c r="AX180" t="inlineStr">
        <is>
          <t>23951642</t>
        </is>
      </c>
      <c r="AY180" t="inlineStr">
        <is>
          <t>00005585000000000</t>
        </is>
      </c>
      <c r="AZ180" t="inlineStr">
        <is>
          <t>No</t>
        </is>
      </c>
      <c r="BA180" t="inlineStr">
        <is>
          <t>NO PRECISA</t>
        </is>
      </c>
      <c r="BB180" t="n">
        <v>4</v>
      </c>
      <c r="BC180" t="inlineStr">
        <is>
          <t>CANCELADO</t>
        </is>
      </c>
      <c r="BN180" t="inlineStr">
        <is>
          <t>Si</t>
        </is>
      </c>
      <c r="BO180" s="117" t="n">
        <v>45773.61388888889</v>
      </c>
      <c r="BP180" t="inlineStr">
        <is>
          <t>Kenny Salazar S</t>
        </is>
      </c>
      <c r="BR180" t="n">
        <v>35</v>
      </c>
      <c r="BS180" t="inlineStr">
        <is>
          <t>02/06/2026 15:57</t>
        </is>
      </c>
      <c r="BT180" t="n">
        <v>0</v>
      </c>
      <c r="BX180" t="inlineStr">
        <is>
          <t>Cobranzas_2025.csv</t>
        </is>
      </c>
      <c r="BY180" t="n">
        <v>2025</v>
      </c>
      <c r="BZ180" t="inlineStr">
        <is>
          <t>01/01/2024</t>
        </is>
      </c>
      <c r="CA180" t="inlineStr">
        <is>
          <t>30/09/2031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39" t="n">
        <v>630000</v>
      </c>
      <c r="H181" s="39" t="n">
        <v>630000</v>
      </c>
      <c r="M181" s="39" t="n"/>
      <c r="N181" s="39" t="n"/>
      <c r="S181" s="39" t="n"/>
      <c r="T181" s="39" t="n"/>
      <c r="Y181" s="39" t="n"/>
      <c r="Z181" s="39" t="n"/>
      <c r="AA181" t="inlineStr">
        <is>
          <t>Gladys Marta Moreano Bellido</t>
        </is>
      </c>
      <c r="AB181" t="inlineStr">
        <is>
          <t>23951642</t>
        </is>
      </c>
      <c r="AC181" t="inlineStr">
        <is>
          <t>General Sta. Cruz 416 interior 311</t>
        </is>
      </c>
      <c r="AD181" t="n">
        <v>0</v>
      </c>
      <c r="AE181" t="inlineStr">
        <is>
          <t>944421327</t>
        </is>
      </c>
      <c r="AF181" t="inlineStr">
        <is>
          <t>cuscoya@gmail.com</t>
        </is>
      </c>
      <c r="AG181" t="inlineStr">
        <is>
          <t>LIMA</t>
        </is>
      </c>
      <c r="AH181" t="inlineStr">
        <is>
          <t>JESUS MARIA</t>
        </is>
      </c>
      <c r="AI181" s="116" t="n">
        <v>45773</v>
      </c>
      <c r="AJ181" s="116" t="n">
        <v>45771</v>
      </c>
      <c r="AK181" t="inlineStr">
        <is>
          <t>CUOTA INICIAL</t>
        </is>
      </c>
      <c r="AL181" t="n">
        <v>1</v>
      </c>
      <c r="AM181" t="n">
        <v>187000</v>
      </c>
      <c r="AN181" t="n">
        <v>0</v>
      </c>
      <c r="AO181" t="n">
        <v>0</v>
      </c>
      <c r="AP181" s="39" t="n">
        <v>187000</v>
      </c>
      <c r="AQ181" s="39" t="n">
        <v>187000</v>
      </c>
      <c r="AR181" s="39" t="n">
        <v>0</v>
      </c>
      <c r="AS181" t="n">
        <v>0</v>
      </c>
      <c r="AT181" t="inlineStr">
        <is>
          <t>Crédito Directo</t>
        </is>
      </c>
      <c r="AU181" t="inlineStr">
        <is>
          <t>Scotiabank Perú</t>
        </is>
      </c>
      <c r="AV181" t="inlineStr">
        <is>
          <t>000-2768484</t>
        </is>
      </c>
      <c r="AW181" t="inlineStr">
        <is>
          <t>TRANSFERENCIA BANCARIA</t>
        </is>
      </c>
      <c r="AY181" t="inlineStr">
        <is>
          <t>004626773</t>
        </is>
      </c>
      <c r="AZ181" t="inlineStr">
        <is>
          <t>No</t>
        </is>
      </c>
      <c r="BB181" t="n">
        <v>4</v>
      </c>
      <c r="BC181" t="inlineStr">
        <is>
          <t>CANCELADO</t>
        </is>
      </c>
      <c r="BN181" t="inlineStr">
        <is>
          <t>Si</t>
        </is>
      </c>
      <c r="BO181" s="117" t="n">
        <v>45773.61388888889</v>
      </c>
      <c r="BP181" t="inlineStr">
        <is>
          <t>Kenny Salazar S</t>
        </is>
      </c>
      <c r="BR181" t="n">
        <v>35</v>
      </c>
      <c r="BS181" t="inlineStr">
        <is>
          <t>03/07/2026 11:38</t>
        </is>
      </c>
      <c r="BT181" t="n">
        <v>0</v>
      </c>
      <c r="BX181" t="inlineStr">
        <is>
          <t>Cobranzas_2025.csv</t>
        </is>
      </c>
      <c r="BY181" t="n">
        <v>2025</v>
      </c>
      <c r="BZ181" t="inlineStr">
        <is>
          <t>01/01/2024</t>
        </is>
      </c>
      <c r="CA181" t="inlineStr">
        <is>
          <t>30/09/2031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39" t="n">
        <v>630000</v>
      </c>
      <c r="H182" s="39" t="n">
        <v>630000</v>
      </c>
      <c r="M182" s="39" t="n"/>
      <c r="N182" s="39" t="n"/>
      <c r="S182" s="39" t="n"/>
      <c r="T182" s="39" t="n"/>
      <c r="Y182" s="39" t="n"/>
      <c r="Z182" s="39" t="n"/>
      <c r="AA182" t="inlineStr">
        <is>
          <t>Gladys Marta Moreano Bellido</t>
        </is>
      </c>
      <c r="AB182" t="inlineStr">
        <is>
          <t>23951642</t>
        </is>
      </c>
      <c r="AC182" t="inlineStr">
        <is>
          <t>General Sta. Cruz 416 interior 311</t>
        </is>
      </c>
      <c r="AD182" t="n">
        <v>0</v>
      </c>
      <c r="AE182" t="inlineStr">
        <is>
          <t>944421327</t>
        </is>
      </c>
      <c r="AF182" t="inlineStr">
        <is>
          <t>cuscoya@gmail.com</t>
        </is>
      </c>
      <c r="AG182" t="inlineStr">
        <is>
          <t>LIMA</t>
        </is>
      </c>
      <c r="AH182" t="inlineStr">
        <is>
          <t>JESUS MARIA</t>
        </is>
      </c>
      <c r="AI182" s="116" t="n">
        <v>45864</v>
      </c>
      <c r="AJ182" s="116" t="n">
        <v>45864</v>
      </c>
      <c r="AK182" t="inlineStr">
        <is>
          <t>SALDO FINANCIAR</t>
        </is>
      </c>
      <c r="AL182" t="n">
        <v>1</v>
      </c>
      <c r="AM182" t="n">
        <v>73333.33</v>
      </c>
      <c r="AN182" t="n">
        <v>0</v>
      </c>
      <c r="AO182" t="n">
        <v>0</v>
      </c>
      <c r="AP182" s="39" t="n">
        <v>73333.33</v>
      </c>
      <c r="AQ182" s="39" t="n">
        <v>73333.33</v>
      </c>
      <c r="AR182" s="39" t="n">
        <v>0</v>
      </c>
      <c r="AS182" t="n">
        <v>0</v>
      </c>
      <c r="AT182" t="inlineStr">
        <is>
          <t>Crédito Directo</t>
        </is>
      </c>
      <c r="AU182" t="inlineStr">
        <is>
          <t>Scotiabank Perú</t>
        </is>
      </c>
      <c r="AV182" t="inlineStr">
        <is>
          <t>000-2768484</t>
        </is>
      </c>
      <c r="AW182" t="inlineStr">
        <is>
          <t>DEPOSITO EN CUENTA</t>
        </is>
      </c>
      <c r="AY182" t="inlineStr">
        <is>
          <t>007089743</t>
        </is>
      </c>
      <c r="AZ182" t="inlineStr">
        <is>
          <t>No</t>
        </is>
      </c>
      <c r="BB182" t="n">
        <v>4</v>
      </c>
      <c r="BC182" t="inlineStr">
        <is>
          <t>CANCELADO</t>
        </is>
      </c>
      <c r="BN182" t="inlineStr">
        <is>
          <t>Si</t>
        </is>
      </c>
      <c r="BO182" s="117" t="n">
        <v>45773.61388888889</v>
      </c>
      <c r="BP182" t="inlineStr">
        <is>
          <t>Kenny Salazar S</t>
        </is>
      </c>
      <c r="BR182" t="n">
        <v>35</v>
      </c>
      <c r="BS182" t="inlineStr">
        <is>
          <t>03/07/2026 11:50</t>
        </is>
      </c>
      <c r="BT182" t="n">
        <v>0</v>
      </c>
      <c r="BX182" t="inlineStr">
        <is>
          <t>Cobranzas_2025.csv</t>
        </is>
      </c>
      <c r="BY182" t="n">
        <v>2025</v>
      </c>
      <c r="BZ182" t="inlineStr">
        <is>
          <t>01/01/2024</t>
        </is>
      </c>
      <c r="CA182" t="inlineStr">
        <is>
          <t>30/09/2031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39" t="n">
        <v>630000</v>
      </c>
      <c r="H183" s="39" t="n">
        <v>630000</v>
      </c>
      <c r="M183" s="39" t="n"/>
      <c r="N183" s="39" t="n"/>
      <c r="S183" s="39" t="n"/>
      <c r="T183" s="39" t="n"/>
      <c r="Y183" s="39" t="n"/>
      <c r="Z183" s="39" t="n"/>
      <c r="AA183" t="inlineStr">
        <is>
          <t>Gladys Marta Moreano Bellido</t>
        </is>
      </c>
      <c r="AB183" t="inlineStr">
        <is>
          <t>23951642</t>
        </is>
      </c>
      <c r="AC183" t="inlineStr">
        <is>
          <t>General Sta. Cruz 416 interior 311</t>
        </is>
      </c>
      <c r="AD183" t="n">
        <v>0</v>
      </c>
      <c r="AE183" t="inlineStr">
        <is>
          <t>944421327</t>
        </is>
      </c>
      <c r="AF183" t="inlineStr">
        <is>
          <t>cuscoya@gmail.com</t>
        </is>
      </c>
      <c r="AG183" t="inlineStr">
        <is>
          <t>LIMA</t>
        </is>
      </c>
      <c r="AH183" t="inlineStr">
        <is>
          <t>JESUS MARIA</t>
        </is>
      </c>
      <c r="AI183" s="116" t="n">
        <v>45956</v>
      </c>
      <c r="AJ183" s="116" t="n">
        <v>45864</v>
      </c>
      <c r="AK183" t="inlineStr">
        <is>
          <t>SALDO FINANCIAR</t>
        </is>
      </c>
      <c r="AL183" t="n">
        <v>2</v>
      </c>
      <c r="AM183" t="n">
        <v>0</v>
      </c>
      <c r="AN183" t="n">
        <v>0</v>
      </c>
      <c r="AO183" t="n">
        <v>0</v>
      </c>
      <c r="AP183" s="39" t="n">
        <v>73333.33</v>
      </c>
      <c r="AQ183" s="39" t="n">
        <v>46666.67</v>
      </c>
      <c r="AR183" s="39" t="n">
        <v>0</v>
      </c>
      <c r="AS183" t="n">
        <v>0</v>
      </c>
      <c r="AT183" t="inlineStr">
        <is>
          <t>Crédito Directo</t>
        </is>
      </c>
      <c r="AU183" t="inlineStr">
        <is>
          <t>Scotiabank Perú</t>
        </is>
      </c>
      <c r="AV183" t="inlineStr">
        <is>
          <t>000-2768484</t>
        </is>
      </c>
      <c r="AW183" t="inlineStr">
        <is>
          <t>DEPOSITO EN CUENTA</t>
        </is>
      </c>
      <c r="AY183" t="inlineStr">
        <is>
          <t>007089743</t>
        </is>
      </c>
      <c r="AZ183" t="inlineStr">
        <is>
          <t>No</t>
        </is>
      </c>
      <c r="BB183" t="n">
        <v>4</v>
      </c>
      <c r="BC183" t="inlineStr">
        <is>
          <t>CANCELADO</t>
        </is>
      </c>
      <c r="BN183" t="inlineStr">
        <is>
          <t>Si</t>
        </is>
      </c>
      <c r="BO183" s="117" t="n">
        <v>45773.61388888889</v>
      </c>
      <c r="BP183" t="inlineStr">
        <is>
          <t>Kenny Salazar S</t>
        </is>
      </c>
      <c r="BR183" t="n">
        <v>35</v>
      </c>
      <c r="BS183" t="inlineStr">
        <is>
          <t>03/07/2026 11:50</t>
        </is>
      </c>
      <c r="BT183" t="n">
        <v>0</v>
      </c>
      <c r="BX183" t="inlineStr">
        <is>
          <t>Cobranzas_2025.csv</t>
        </is>
      </c>
      <c r="BY183" t="n">
        <v>2025</v>
      </c>
      <c r="BZ183" t="inlineStr">
        <is>
          <t>01/01/2024</t>
        </is>
      </c>
      <c r="CA183" t="inlineStr">
        <is>
          <t>30/09/2031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39" t="n">
        <v>630000</v>
      </c>
      <c r="H184" s="39" t="n">
        <v>630000</v>
      </c>
      <c r="M184" s="39" t="n"/>
      <c r="N184" s="39" t="n"/>
      <c r="S184" s="39" t="n"/>
      <c r="T184" s="39" t="n"/>
      <c r="Y184" s="39" t="n"/>
      <c r="Z184" s="39" t="n"/>
      <c r="AA184" t="inlineStr">
        <is>
          <t>Gladys Marta Moreano Bellido</t>
        </is>
      </c>
      <c r="AB184" t="inlineStr">
        <is>
          <t>23951642</t>
        </is>
      </c>
      <c r="AC184" t="inlineStr">
        <is>
          <t>General Sta. Cruz 416 interior 311</t>
        </is>
      </c>
      <c r="AD184" t="n">
        <v>0</v>
      </c>
      <c r="AE184" t="inlineStr">
        <is>
          <t>944421327</t>
        </is>
      </c>
      <c r="AF184" t="inlineStr">
        <is>
          <t>cuscoya@gmail.com</t>
        </is>
      </c>
      <c r="AG184" t="inlineStr">
        <is>
          <t>LIMA</t>
        </is>
      </c>
      <c r="AH184" t="inlineStr">
        <is>
          <t>JESUS MARIA</t>
        </is>
      </c>
      <c r="AI184" s="116" t="n">
        <v>45956</v>
      </c>
      <c r="AJ184" s="116" t="n">
        <v>45955</v>
      </c>
      <c r="AK184" t="inlineStr">
        <is>
          <t>SALDO FINANCIAR</t>
        </is>
      </c>
      <c r="AL184" t="n">
        <v>2</v>
      </c>
      <c r="AM184" t="n">
        <v>73333.33</v>
      </c>
      <c r="AN184" t="n">
        <v>0</v>
      </c>
      <c r="AO184" t="n">
        <v>0</v>
      </c>
      <c r="AP184" s="39" t="n">
        <v>0</v>
      </c>
      <c r="AQ184" s="39" t="n">
        <v>26666.66</v>
      </c>
      <c r="AR184" s="39" t="n">
        <v>0</v>
      </c>
      <c r="AS184" t="n">
        <v>0</v>
      </c>
      <c r="AT184" t="inlineStr">
        <is>
          <t>Crédito Directo</t>
        </is>
      </c>
      <c r="AU184" t="inlineStr">
        <is>
          <t>Scotiabank Perú</t>
        </is>
      </c>
      <c r="AV184" t="inlineStr">
        <is>
          <t>000-2768484</t>
        </is>
      </c>
      <c r="AW184" t="inlineStr">
        <is>
          <t>TRANSFERENCIA BANCARIA</t>
        </is>
      </c>
      <c r="AY184" t="inlineStr">
        <is>
          <t>009331226</t>
        </is>
      </c>
      <c r="AZ184" t="inlineStr">
        <is>
          <t>No</t>
        </is>
      </c>
      <c r="BB184" t="n">
        <v>4</v>
      </c>
      <c r="BC184" t="inlineStr">
        <is>
          <t>CANCELADO</t>
        </is>
      </c>
      <c r="BN184" t="inlineStr">
        <is>
          <t>Si</t>
        </is>
      </c>
      <c r="BO184" s="117" t="n">
        <v>45773.61388888889</v>
      </c>
      <c r="BP184" t="inlineStr">
        <is>
          <t>Kenny Salazar S</t>
        </is>
      </c>
      <c r="BR184" t="n">
        <v>35</v>
      </c>
      <c r="BS184" t="inlineStr">
        <is>
          <t>03/07/2026 11:54</t>
        </is>
      </c>
      <c r="BT184" t="n">
        <v>0</v>
      </c>
      <c r="BX184" t="inlineStr">
        <is>
          <t>Cobranzas_2025.csv</t>
        </is>
      </c>
      <c r="BY184" t="n">
        <v>2025</v>
      </c>
      <c r="BZ184" t="inlineStr">
        <is>
          <t>01/01/2024</t>
        </is>
      </c>
      <c r="CA184" t="inlineStr">
        <is>
          <t>30/09/2031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39" t="n">
        <v>630000</v>
      </c>
      <c r="H185" s="39" t="n">
        <v>630000</v>
      </c>
      <c r="M185" s="39" t="n"/>
      <c r="N185" s="39" t="n"/>
      <c r="S185" s="39" t="n"/>
      <c r="T185" s="39" t="n"/>
      <c r="Y185" s="39" t="n"/>
      <c r="Z185" s="39" t="n"/>
      <c r="AA185" t="inlineStr">
        <is>
          <t>Gladys Marta Moreano Bellido</t>
        </is>
      </c>
      <c r="AB185" t="inlineStr">
        <is>
          <t>23951642</t>
        </is>
      </c>
      <c r="AC185" t="inlineStr">
        <is>
          <t>General Sta. Cruz 416 interior 311</t>
        </is>
      </c>
      <c r="AD185" t="n">
        <v>0</v>
      </c>
      <c r="AE185" t="inlineStr">
        <is>
          <t>944421327</t>
        </is>
      </c>
      <c r="AF185" t="inlineStr">
        <is>
          <t>cuscoya@gmail.com</t>
        </is>
      </c>
      <c r="AG185" t="inlineStr">
        <is>
          <t>LIMA</t>
        </is>
      </c>
      <c r="AH185" t="inlineStr">
        <is>
          <t>JESUS MARIA</t>
        </is>
      </c>
      <c r="AI185" s="116" t="n">
        <v>46017</v>
      </c>
      <c r="AJ185" s="116" t="n">
        <v>45955</v>
      </c>
      <c r="AK185" t="inlineStr">
        <is>
          <t>SALDO FINANCIAR</t>
        </is>
      </c>
      <c r="AL185" t="n">
        <v>3</v>
      </c>
      <c r="AM185" t="n">
        <v>73333.33</v>
      </c>
      <c r="AN185" t="n">
        <v>0</v>
      </c>
      <c r="AO185" t="n">
        <v>0</v>
      </c>
      <c r="AP185" s="39" t="n">
        <v>73333.33</v>
      </c>
      <c r="AQ185" s="39" t="n">
        <v>73333.33</v>
      </c>
      <c r="AR185" s="39" t="n">
        <v>0</v>
      </c>
      <c r="AS185" t="n">
        <v>0</v>
      </c>
      <c r="AT185" t="inlineStr">
        <is>
          <t>Crédito Directo</t>
        </is>
      </c>
      <c r="AU185" t="inlineStr">
        <is>
          <t>Scotiabank Perú</t>
        </is>
      </c>
      <c r="AV185" t="inlineStr">
        <is>
          <t>000-2768484</t>
        </is>
      </c>
      <c r="AW185" t="inlineStr">
        <is>
          <t>TRANSFERENCIA BANCARIA</t>
        </is>
      </c>
      <c r="AY185" t="inlineStr">
        <is>
          <t>009331226</t>
        </is>
      </c>
      <c r="AZ185" t="inlineStr">
        <is>
          <t>No</t>
        </is>
      </c>
      <c r="BB185" t="n">
        <v>4</v>
      </c>
      <c r="BC185" t="inlineStr">
        <is>
          <t>CANCELADO</t>
        </is>
      </c>
      <c r="BN185" t="inlineStr">
        <is>
          <t>Si</t>
        </is>
      </c>
      <c r="BO185" s="117" t="n">
        <v>45773.61388888889</v>
      </c>
      <c r="BP185" t="inlineStr">
        <is>
          <t>Kenny Salazar S</t>
        </is>
      </c>
      <c r="BR185" t="n">
        <v>35</v>
      </c>
      <c r="BS185" t="inlineStr">
        <is>
          <t>03/07/2026 11:54</t>
        </is>
      </c>
      <c r="BT185" t="n">
        <v>0</v>
      </c>
      <c r="BX185" t="inlineStr">
        <is>
          <t>Cobranzas_2025.csv</t>
        </is>
      </c>
      <c r="BY185" t="n">
        <v>2025</v>
      </c>
      <c r="BZ185" t="inlineStr">
        <is>
          <t>01/01/2024</t>
        </is>
      </c>
      <c r="CA185" t="inlineStr">
        <is>
          <t>30/09/2031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39" t="n">
        <v>630000</v>
      </c>
      <c r="H186" s="39" t="n">
        <v>630000</v>
      </c>
      <c r="M186" s="39" t="n"/>
      <c r="N186" s="39" t="n"/>
      <c r="S186" s="39" t="n"/>
      <c r="T186" s="39" t="n"/>
      <c r="Y186" s="39" t="n"/>
      <c r="Z186" s="39" t="n"/>
      <c r="AA186" t="inlineStr">
        <is>
          <t>Gladys Marta Moreano Bellido</t>
        </is>
      </c>
      <c r="AB186" t="inlineStr">
        <is>
          <t>23951642</t>
        </is>
      </c>
      <c r="AC186" t="inlineStr">
        <is>
          <t>General Sta. Cruz 416 interior 311</t>
        </is>
      </c>
      <c r="AD186" t="n">
        <v>0</v>
      </c>
      <c r="AE186" t="inlineStr">
        <is>
          <t>944421327</t>
        </is>
      </c>
      <c r="AF186" t="inlineStr">
        <is>
          <t>cuscoya@gmail.com</t>
        </is>
      </c>
      <c r="AG186" t="inlineStr">
        <is>
          <t>LIMA</t>
        </is>
      </c>
      <c r="AH186" t="inlineStr">
        <is>
          <t>JESUS MARIA</t>
        </is>
      </c>
      <c r="AI186" s="116" t="n">
        <v>46017</v>
      </c>
      <c r="AJ186" s="116" t="n">
        <v>45955</v>
      </c>
      <c r="AK186" t="inlineStr">
        <is>
          <t>SALDO FINANCIAR</t>
        </is>
      </c>
      <c r="AL186" t="n">
        <v>4</v>
      </c>
      <c r="AM186" t="n">
        <v>0</v>
      </c>
      <c r="AN186" t="n">
        <v>0</v>
      </c>
      <c r="AO186" t="n">
        <v>0</v>
      </c>
      <c r="AP186" s="39" t="n">
        <v>73333.33</v>
      </c>
      <c r="AQ186" s="39" t="n">
        <v>55000.01</v>
      </c>
      <c r="AR186" s="39" t="n">
        <v>0</v>
      </c>
      <c r="AS186" t="n">
        <v>0</v>
      </c>
      <c r="AT186" t="inlineStr">
        <is>
          <t>Crédito Directo</t>
        </is>
      </c>
      <c r="AU186" t="inlineStr">
        <is>
          <t>Scotiabank Perú</t>
        </is>
      </c>
      <c r="AV186" t="inlineStr">
        <is>
          <t>000-2768484</t>
        </is>
      </c>
      <c r="AW186" t="inlineStr">
        <is>
          <t>TRANSFERENCIA BANCARIA</t>
        </is>
      </c>
      <c r="AY186" t="inlineStr">
        <is>
          <t>009331226</t>
        </is>
      </c>
      <c r="AZ186" t="inlineStr">
        <is>
          <t>No</t>
        </is>
      </c>
      <c r="BB186" t="n">
        <v>4</v>
      </c>
      <c r="BC186" t="inlineStr">
        <is>
          <t>CANCELADO</t>
        </is>
      </c>
      <c r="BN186" t="inlineStr">
        <is>
          <t>Si</t>
        </is>
      </c>
      <c r="BO186" s="117" t="n">
        <v>45773.61388888889</v>
      </c>
      <c r="BP186" t="inlineStr">
        <is>
          <t>Kenny Salazar S</t>
        </is>
      </c>
      <c r="BR186" t="n">
        <v>35</v>
      </c>
      <c r="BS186" t="inlineStr">
        <is>
          <t>03/07/2026 11:54</t>
        </is>
      </c>
      <c r="BT186" t="n">
        <v>0</v>
      </c>
      <c r="BX186" t="inlineStr">
        <is>
          <t>Cobranzas_2025.csv</t>
        </is>
      </c>
      <c r="BY186" t="n">
        <v>2025</v>
      </c>
      <c r="BZ186" t="inlineStr">
        <is>
          <t>01/01/2024</t>
        </is>
      </c>
      <c r="CA186" t="inlineStr">
        <is>
          <t>30/09/2031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39" t="n">
        <v>630000</v>
      </c>
      <c r="H187" s="39" t="n">
        <v>630000</v>
      </c>
      <c r="M187" s="39" t="n"/>
      <c r="N187" s="39" t="n"/>
      <c r="S187" s="39" t="n"/>
      <c r="T187" s="39" t="n"/>
      <c r="Y187" s="39" t="n"/>
      <c r="Z187" s="39" t="n"/>
      <c r="AA187" t="inlineStr">
        <is>
          <t>Gladys Marta Moreano Bellido</t>
        </is>
      </c>
      <c r="AB187" t="inlineStr">
        <is>
          <t>23951642</t>
        </is>
      </c>
      <c r="AC187" t="inlineStr">
        <is>
          <t>General Sta. Cruz 416 interior 311</t>
        </is>
      </c>
      <c r="AD187" t="n">
        <v>0</v>
      </c>
      <c r="AE187" t="inlineStr">
        <is>
          <t>944421327</t>
        </is>
      </c>
      <c r="AF187" t="inlineStr">
        <is>
          <t>cuscoya@gmail.com</t>
        </is>
      </c>
      <c r="AG187" t="inlineStr">
        <is>
          <t>LIMA</t>
        </is>
      </c>
      <c r="AH187" t="inlineStr">
        <is>
          <t>JESUS MARIA</t>
        </is>
      </c>
      <c r="AI187" s="116" t="n">
        <v>46017</v>
      </c>
      <c r="AJ187" s="116" t="n">
        <v>46017</v>
      </c>
      <c r="AK187" t="inlineStr">
        <is>
          <t>SALDO FINANCIAR</t>
        </is>
      </c>
      <c r="AL187" t="n">
        <v>4</v>
      </c>
      <c r="AM187" t="n">
        <v>0</v>
      </c>
      <c r="AN187" t="n">
        <v>0</v>
      </c>
      <c r="AO187" t="n">
        <v>0</v>
      </c>
      <c r="AP187" s="39" t="n">
        <v>0</v>
      </c>
      <c r="AQ187" s="39" t="n">
        <v>12000</v>
      </c>
      <c r="AR187" s="39" t="n">
        <v>0</v>
      </c>
      <c r="AS187" t="n">
        <v>0</v>
      </c>
      <c r="AT187" t="inlineStr">
        <is>
          <t>Crédito Directo</t>
        </is>
      </c>
      <c r="AU187" t="inlineStr">
        <is>
          <t>Scotiabank Perú</t>
        </is>
      </c>
      <c r="AV187" t="inlineStr">
        <is>
          <t>000-2768484</t>
        </is>
      </c>
      <c r="AW187" t="inlineStr">
        <is>
          <t>TRANSFERENCIA BANCARIA</t>
        </is>
      </c>
      <c r="AY187" t="inlineStr">
        <is>
          <t>01291941</t>
        </is>
      </c>
      <c r="AZ187" t="inlineStr">
        <is>
          <t>No</t>
        </is>
      </c>
      <c r="BB187" t="n">
        <v>4</v>
      </c>
      <c r="BC187" t="inlineStr">
        <is>
          <t>CANCELADO</t>
        </is>
      </c>
      <c r="BN187" t="inlineStr">
        <is>
          <t>Si</t>
        </is>
      </c>
      <c r="BO187" s="117" t="n">
        <v>45773.61388888889</v>
      </c>
      <c r="BP187" t="inlineStr">
        <is>
          <t>Kenny Salazar S</t>
        </is>
      </c>
      <c r="BR187" t="n">
        <v>35</v>
      </c>
      <c r="BS187" t="inlineStr">
        <is>
          <t>03/07/2026 11:55</t>
        </is>
      </c>
      <c r="BT187" t="n">
        <v>0</v>
      </c>
      <c r="BX187" t="inlineStr">
        <is>
          <t>Cobranzas_2025.csv</t>
        </is>
      </c>
      <c r="BY187" t="n">
        <v>2025</v>
      </c>
      <c r="BZ187" t="inlineStr">
        <is>
          <t>01/01/2024</t>
        </is>
      </c>
      <c r="CA187" t="inlineStr">
        <is>
          <t>30/09/2031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39" t="n">
        <v>630000</v>
      </c>
      <c r="H188" s="39" t="n">
        <v>630000</v>
      </c>
      <c r="M188" s="39" t="n"/>
      <c r="N188" s="39" t="n"/>
      <c r="S188" s="39" t="n"/>
      <c r="T188" s="39" t="n"/>
      <c r="Y188" s="39" t="n"/>
      <c r="Z188" s="39" t="n"/>
      <c r="AA188" t="inlineStr">
        <is>
          <t>Gladys Marta Moreano Bellido</t>
        </is>
      </c>
      <c r="AB188" t="inlineStr">
        <is>
          <t>23951642</t>
        </is>
      </c>
      <c r="AC188" t="inlineStr">
        <is>
          <t>General Sta. Cruz 416 interior 311</t>
        </is>
      </c>
      <c r="AD188" t="n">
        <v>0</v>
      </c>
      <c r="AE188" t="inlineStr">
        <is>
          <t>944421327</t>
        </is>
      </c>
      <c r="AF188" t="inlineStr">
        <is>
          <t>cuscoya@gmail.com</t>
        </is>
      </c>
      <c r="AG188" t="inlineStr">
        <is>
          <t>LIMA</t>
        </is>
      </c>
      <c r="AH188" t="inlineStr">
        <is>
          <t>JESUS MARIA</t>
        </is>
      </c>
      <c r="AI188" s="116" t="n">
        <v>46017</v>
      </c>
      <c r="AJ188" s="116" t="n">
        <v>46017</v>
      </c>
      <c r="AK188" t="inlineStr">
        <is>
          <t>SALDO FINANCIAR</t>
        </is>
      </c>
      <c r="AL188" t="n">
        <v>4</v>
      </c>
      <c r="AM188" t="n">
        <v>73333.33</v>
      </c>
      <c r="AN188" t="n">
        <v>0</v>
      </c>
      <c r="AO188" t="n">
        <v>0</v>
      </c>
      <c r="AP188" s="39" t="n">
        <v>0</v>
      </c>
      <c r="AQ188" s="39" t="n">
        <v>6333.32</v>
      </c>
      <c r="AR188" s="39" t="n">
        <v>0</v>
      </c>
      <c r="AS188" t="n">
        <v>0</v>
      </c>
      <c r="AT188" t="inlineStr">
        <is>
          <t>Crédito Directo</t>
        </is>
      </c>
      <c r="AU188" t="inlineStr">
        <is>
          <t>Scotiabank Perú</t>
        </is>
      </c>
      <c r="AV188" t="inlineStr">
        <is>
          <t>000-2768484</t>
        </is>
      </c>
      <c r="AW188" t="inlineStr">
        <is>
          <t>TRANSFERENCIA BANCARIA</t>
        </is>
      </c>
      <c r="AY188" t="inlineStr">
        <is>
          <t>01346005</t>
        </is>
      </c>
      <c r="AZ188" t="inlineStr">
        <is>
          <t>No</t>
        </is>
      </c>
      <c r="BB188" t="n">
        <v>4</v>
      </c>
      <c r="BC188" t="inlineStr">
        <is>
          <t>CANCELADO</t>
        </is>
      </c>
      <c r="BN188" t="inlineStr">
        <is>
          <t>Si</t>
        </is>
      </c>
      <c r="BO188" s="117" t="n">
        <v>45773.61388888889</v>
      </c>
      <c r="BP188" t="inlineStr">
        <is>
          <t>Kenny Salazar S</t>
        </is>
      </c>
      <c r="BR188" t="n">
        <v>35</v>
      </c>
      <c r="BS188" t="inlineStr">
        <is>
          <t>03/07/2026 11:57</t>
        </is>
      </c>
      <c r="BT188" t="n">
        <v>0</v>
      </c>
      <c r="BX188" t="inlineStr">
        <is>
          <t>Cobranzas_2025.csv</t>
        </is>
      </c>
      <c r="BY188" t="n">
        <v>2025</v>
      </c>
      <c r="BZ188" t="inlineStr">
        <is>
          <t>01/01/2024</t>
        </is>
      </c>
      <c r="CA188" t="inlineStr">
        <is>
          <t>30/09/2031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Estacionamiento</t>
        </is>
      </c>
      <c r="F189" t="inlineStr">
        <is>
          <t>E 16</t>
        </is>
      </c>
      <c r="G189" s="39" t="n">
        <v>50500</v>
      </c>
      <c r="H189" s="39" t="n">
        <v>50500</v>
      </c>
      <c r="M189" s="39" t="n"/>
      <c r="N189" s="39" t="n"/>
      <c r="S189" s="39" t="n"/>
      <c r="T189" s="39" t="n"/>
      <c r="Y189" s="39" t="n"/>
      <c r="Z189" s="39" t="n"/>
      <c r="AA189" t="inlineStr">
        <is>
          <t>Gladys Marta Moreano Bellido</t>
        </is>
      </c>
      <c r="AB189" t="inlineStr">
        <is>
          <t>23951642</t>
        </is>
      </c>
      <c r="AC189" t="inlineStr">
        <is>
          <t>General Sta. Cruz 416 interior 311</t>
        </is>
      </c>
      <c r="AD189" t="n">
        <v>0</v>
      </c>
      <c r="AE189" t="inlineStr">
        <is>
          <t>944421327</t>
        </is>
      </c>
      <c r="AF189" t="inlineStr">
        <is>
          <t>cuscoya@gmail.com</t>
        </is>
      </c>
      <c r="AG189" t="inlineStr">
        <is>
          <t>LIMA</t>
        </is>
      </c>
      <c r="AH189" t="inlineStr">
        <is>
          <t>JESUS MARIA</t>
        </is>
      </c>
      <c r="AI189" s="116" t="n">
        <v>45849</v>
      </c>
      <c r="AJ189" s="116" t="n">
        <v>45849</v>
      </c>
      <c r="AK189" t="inlineStr">
        <is>
          <t>SEPARACION</t>
        </is>
      </c>
      <c r="AL189" t="n">
        <v>1</v>
      </c>
      <c r="AM189" t="n">
        <v>3000</v>
      </c>
      <c r="AN189" t="n">
        <v>0</v>
      </c>
      <c r="AO189" t="n">
        <v>0</v>
      </c>
      <c r="AP189" s="39" t="n">
        <v>3000</v>
      </c>
      <c r="AQ189" s="39" t="n">
        <v>3000</v>
      </c>
      <c r="AR189" s="39" t="n">
        <v>0</v>
      </c>
      <c r="AS189" t="n">
        <v>0</v>
      </c>
      <c r="AT189" t="inlineStr">
        <is>
          <t>Crédito Directo</t>
        </is>
      </c>
      <c r="AU189" t="inlineStr">
        <is>
          <t>Scotiabank Perú</t>
        </is>
      </c>
      <c r="AV189" t="inlineStr">
        <is>
          <t>000-2768484</t>
        </is>
      </c>
      <c r="AW189" t="inlineStr">
        <is>
          <t>TRANSFERENCIA BANCARIA</t>
        </is>
      </c>
      <c r="AY189" t="inlineStr">
        <is>
          <t>11072025</t>
        </is>
      </c>
      <c r="AZ189" t="inlineStr">
        <is>
          <t>Si</t>
        </is>
      </c>
      <c r="BB189" t="n">
        <v>4</v>
      </c>
      <c r="BC189" t="inlineStr">
        <is>
          <t>CANCELADO</t>
        </is>
      </c>
      <c r="BN189" t="inlineStr">
        <is>
          <t>Si</t>
        </is>
      </c>
      <c r="BO189" s="117" t="n">
        <v>46218.65555555555</v>
      </c>
      <c r="BP189" t="inlineStr">
        <is>
          <t>Carla Michue M</t>
        </is>
      </c>
      <c r="BR189" t="n">
        <v>58</v>
      </c>
      <c r="BS189" t="inlineStr">
        <is>
          <t>03/07/2026 12:08</t>
        </is>
      </c>
      <c r="BT189" t="n">
        <v>0</v>
      </c>
      <c r="BX189" t="inlineStr">
        <is>
          <t>Cobranzas_2025.csv</t>
        </is>
      </c>
      <c r="BY189" t="n">
        <v>2025</v>
      </c>
      <c r="BZ189" t="inlineStr">
        <is>
          <t>01/01/2024</t>
        </is>
      </c>
      <c r="CA189" t="inlineStr">
        <is>
          <t>30/09/2031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39" t="n">
        <v>50500</v>
      </c>
      <c r="H190" s="39" t="n">
        <v>50500</v>
      </c>
      <c r="M190" s="39" t="n"/>
      <c r="N190" s="39" t="n"/>
      <c r="S190" s="39" t="n"/>
      <c r="T190" s="39" t="n"/>
      <c r="Y190" s="39" t="n"/>
      <c r="Z190" s="39" t="n"/>
      <c r="AA190" t="inlineStr">
        <is>
          <t>Gladys Marta Moreano Bellido</t>
        </is>
      </c>
      <c r="AB190" t="inlineStr">
        <is>
          <t>23951642</t>
        </is>
      </c>
      <c r="AC190" t="inlineStr">
        <is>
          <t>General Sta. Cruz 416 interior 311</t>
        </is>
      </c>
      <c r="AD190" t="n">
        <v>0</v>
      </c>
      <c r="AE190" t="inlineStr">
        <is>
          <t>944421327</t>
        </is>
      </c>
      <c r="AF190" t="inlineStr">
        <is>
          <t>cuscoya@gmail.com</t>
        </is>
      </c>
      <c r="AG190" t="inlineStr">
        <is>
          <t>LIMA</t>
        </is>
      </c>
      <c r="AH190" t="inlineStr">
        <is>
          <t>JESUS MARIA</t>
        </is>
      </c>
      <c r="AI190" s="116" t="n">
        <v>45853</v>
      </c>
      <c r="AJ190" s="116" t="n">
        <v>45853</v>
      </c>
      <c r="AK190" t="inlineStr">
        <is>
          <t>CUOTA INICIAL</t>
        </is>
      </c>
      <c r="AL190" t="n">
        <v>1</v>
      </c>
      <c r="AM190" t="n">
        <v>5000</v>
      </c>
      <c r="AN190" t="n">
        <v>0</v>
      </c>
      <c r="AO190" t="n">
        <v>0</v>
      </c>
      <c r="AP190" s="39" t="n">
        <v>5000</v>
      </c>
      <c r="AQ190" s="39" t="n">
        <v>5000</v>
      </c>
      <c r="AR190" s="39" t="n">
        <v>0</v>
      </c>
      <c r="AS190" t="n">
        <v>0</v>
      </c>
      <c r="AT190" t="inlineStr">
        <is>
          <t>Crédito Directo</t>
        </is>
      </c>
      <c r="AU190" t="inlineStr">
        <is>
          <t>Scotiabank Perú</t>
        </is>
      </c>
      <c r="AV190" t="inlineStr">
        <is>
          <t>000-2768484</t>
        </is>
      </c>
      <c r="AW190" t="inlineStr">
        <is>
          <t>TRANSFERENCIA BANCARIA</t>
        </is>
      </c>
      <c r="AY190" t="inlineStr">
        <is>
          <t>15072025</t>
        </is>
      </c>
      <c r="AZ190" t="inlineStr">
        <is>
          <t>Si</t>
        </is>
      </c>
      <c r="BB190" t="n">
        <v>4</v>
      </c>
      <c r="BC190" t="inlineStr">
        <is>
          <t>CANCELADO</t>
        </is>
      </c>
      <c r="BN190" t="inlineStr">
        <is>
          <t>Si</t>
        </is>
      </c>
      <c r="BO190" s="117" t="n">
        <v>46218.65555555555</v>
      </c>
      <c r="BP190" t="inlineStr">
        <is>
          <t>Carla Michue M</t>
        </is>
      </c>
      <c r="BR190" t="n">
        <v>58</v>
      </c>
      <c r="BS190" t="inlineStr">
        <is>
          <t>03/07/2026 12:18</t>
        </is>
      </c>
      <c r="BT190" t="n">
        <v>0</v>
      </c>
      <c r="BX190" t="inlineStr">
        <is>
          <t>Cobranzas_2025.csv</t>
        </is>
      </c>
      <c r="BY190" t="n">
        <v>2025</v>
      </c>
      <c r="BZ190" t="inlineStr">
        <is>
          <t>01/01/2024</t>
        </is>
      </c>
      <c r="CA190" t="inlineStr">
        <is>
          <t>30/09/2031</t>
        </is>
      </c>
    </row>
    <row r="191">
      <c r="A191" t="inlineStr">
        <is>
          <t>RESIDENCIAL BEYOND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Departamento</t>
        </is>
      </c>
      <c r="F191" t="inlineStr">
        <is>
          <t>805</t>
        </is>
      </c>
      <c r="G191" s="39" t="n">
        <v>532100</v>
      </c>
      <c r="H191" s="39" t="n">
        <v>485300</v>
      </c>
      <c r="I191" t="inlineStr">
        <is>
          <t>Edificio</t>
        </is>
      </c>
      <c r="J191" t="inlineStr">
        <is>
          <t>A</t>
        </is>
      </c>
      <c r="K191" t="inlineStr">
        <is>
          <t>Estacionamiento</t>
        </is>
      </c>
      <c r="L191" t="inlineStr">
        <is>
          <t>E 18</t>
        </is>
      </c>
      <c r="M191" s="39" t="n">
        <v>46800</v>
      </c>
      <c r="N191" s="39" t="n">
        <v>46800</v>
      </c>
      <c r="S191" s="39" t="n"/>
      <c r="T191" s="39" t="n"/>
      <c r="Y191" s="39" t="n"/>
      <c r="Z191" s="39" t="n"/>
      <c r="AA191" t="inlineStr">
        <is>
          <t>Harry Anderson Yance Ruiz</t>
        </is>
      </c>
      <c r="AB191" t="inlineStr">
        <is>
          <t>10582963</t>
        </is>
      </c>
      <c r="AC191" t="inlineStr">
        <is>
          <t xml:space="preserve">Calle Las Pajillas 2329 - Urb. Mangomarca </t>
        </is>
      </c>
      <c r="AD191" t="n">
        <v>0</v>
      </c>
      <c r="AE191" t="inlineStr">
        <is>
          <t>948519070</t>
        </is>
      </c>
      <c r="AF191" t="inlineStr">
        <is>
          <t>harry_yance@hotmail.com</t>
        </is>
      </c>
      <c r="AG191" t="inlineStr">
        <is>
          <t>LIMA</t>
        </is>
      </c>
      <c r="AH191" t="inlineStr">
        <is>
          <t>SAN JUAN DE LURIGANCHO</t>
        </is>
      </c>
      <c r="AI191" s="116" t="n">
        <v>46017</v>
      </c>
      <c r="AJ191" s="116" t="n">
        <v>46017</v>
      </c>
      <c r="AK191" t="inlineStr">
        <is>
          <t>SEPARACION</t>
        </is>
      </c>
      <c r="AL191" t="n">
        <v>1</v>
      </c>
      <c r="AM191" t="n">
        <v>3000</v>
      </c>
      <c r="AN191" t="n">
        <v>0</v>
      </c>
      <c r="AO191" t="n">
        <v>0</v>
      </c>
      <c r="AP191" s="39" t="n">
        <v>3000</v>
      </c>
      <c r="AQ191" s="39" t="n">
        <v>3000</v>
      </c>
      <c r="AR191" s="39" t="n">
        <v>0</v>
      </c>
      <c r="AS191" t="n">
        <v>0</v>
      </c>
      <c r="AT191" t="inlineStr">
        <is>
          <t>Crédito Hipotecario</t>
        </is>
      </c>
      <c r="AU191" t="inlineStr">
        <is>
          <t>Banco de Credito del Perú</t>
        </is>
      </c>
      <c r="AV191" t="inlineStr">
        <is>
          <t>194-7325779-0-65</t>
        </is>
      </c>
      <c r="AW191" t="inlineStr">
        <is>
          <t>TRANSFERENCIA BANCARIA</t>
        </is>
      </c>
      <c r="AY191" t="inlineStr">
        <is>
          <t>01808405</t>
        </is>
      </c>
      <c r="AZ191" t="inlineStr">
        <is>
          <t>No</t>
        </is>
      </c>
      <c r="BB191" t="n">
        <v>4</v>
      </c>
      <c r="BC191" t="inlineStr">
        <is>
          <t>CANCELADO</t>
        </is>
      </c>
      <c r="BN191" t="inlineStr">
        <is>
          <t>Si</t>
        </is>
      </c>
      <c r="BO191" s="117" t="n">
        <v>46039.41944444444</v>
      </c>
      <c r="BP191" t="inlineStr">
        <is>
          <t>Carla Michue M</t>
        </is>
      </c>
      <c r="BR191" t="n">
        <v>17</v>
      </c>
      <c r="BS191" t="inlineStr">
        <is>
          <t>23/05/2026 22:39</t>
        </is>
      </c>
      <c r="BT191" t="n">
        <v>0</v>
      </c>
      <c r="BX191" t="inlineStr">
        <is>
          <t>Cobranzas_2025.csv</t>
        </is>
      </c>
      <c r="BY191" t="n">
        <v>2025</v>
      </c>
      <c r="BZ191" t="inlineStr">
        <is>
          <t>01/01/2024</t>
        </is>
      </c>
      <c r="CA191" t="inlineStr">
        <is>
          <t>30/09/2031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204</t>
        </is>
      </c>
      <c r="G192" s="39" t="n">
        <v>498000</v>
      </c>
      <c r="H192" s="39" t="n">
        <v>450000</v>
      </c>
      <c r="M192" s="39" t="n"/>
      <c r="N192" s="39" t="n"/>
      <c r="S192" s="39" t="n"/>
      <c r="T192" s="39" t="n"/>
      <c r="Y192" s="39" t="n"/>
      <c r="Z192" s="39" t="n"/>
      <c r="AA192" t="inlineStr">
        <is>
          <t>Jhoully Kattherine Moreno Saavedra</t>
        </is>
      </c>
      <c r="AB192" t="inlineStr">
        <is>
          <t>73600966</t>
        </is>
      </c>
      <c r="AC192" t="inlineStr">
        <is>
          <t>Emilio de la Barrera 264</t>
        </is>
      </c>
      <c r="AD192" t="n">
        <v>0</v>
      </c>
      <c r="AE192" t="inlineStr">
        <is>
          <t>934027061</t>
        </is>
      </c>
      <c r="AF192" t="inlineStr">
        <is>
          <t>jhoullym@gmail.com</t>
        </is>
      </c>
      <c r="AG192" t="inlineStr">
        <is>
          <t>LIMA</t>
        </is>
      </c>
      <c r="AH192" t="inlineStr">
        <is>
          <t>SAN MARTIN DE PORRES</t>
        </is>
      </c>
      <c r="AI192" s="116" t="n">
        <v>45953</v>
      </c>
      <c r="AJ192" s="116" t="n">
        <v>45953</v>
      </c>
      <c r="AK192" t="inlineStr">
        <is>
          <t>SEPARACION</t>
        </is>
      </c>
      <c r="AL192" t="n">
        <v>1</v>
      </c>
      <c r="AM192" t="n">
        <v>3000</v>
      </c>
      <c r="AN192" t="n">
        <v>0</v>
      </c>
      <c r="AO192" t="n">
        <v>0</v>
      </c>
      <c r="AP192" s="39" t="n">
        <v>3000</v>
      </c>
      <c r="AQ192" s="39" t="n">
        <v>3000</v>
      </c>
      <c r="AR192" s="39" t="n">
        <v>0</v>
      </c>
      <c r="AS192" t="n">
        <v>0</v>
      </c>
      <c r="AT192" t="inlineStr">
        <is>
          <t>Crédito Hipotecario</t>
        </is>
      </c>
      <c r="AU192" t="inlineStr">
        <is>
          <t>Banco de Credito del Perú</t>
        </is>
      </c>
      <c r="AV192" t="inlineStr">
        <is>
          <t>194-7325779-0-65</t>
        </is>
      </c>
      <c r="AW192" t="inlineStr">
        <is>
          <t>TRANSFERENCIA BANCARIA</t>
        </is>
      </c>
      <c r="AX192" t="inlineStr">
        <is>
          <t>73600966</t>
        </is>
      </c>
      <c r="AY192" t="inlineStr">
        <is>
          <t>04205706</t>
        </is>
      </c>
      <c r="AZ192" t="inlineStr">
        <is>
          <t>No</t>
        </is>
      </c>
      <c r="BA192" t="inlineStr">
        <is>
          <t>NO PRECISA</t>
        </is>
      </c>
      <c r="BB192" t="n">
        <v>4</v>
      </c>
      <c r="BC192" t="inlineStr">
        <is>
          <t>CANCELADO</t>
        </is>
      </c>
      <c r="BN192" t="inlineStr">
        <is>
          <t>Si</t>
        </is>
      </c>
      <c r="BO192" s="117" t="n">
        <v>45971.18472222222</v>
      </c>
      <c r="BP192" t="inlineStr">
        <is>
          <t>Carla Michue M</t>
        </is>
      </c>
      <c r="BR192" t="n">
        <v>3</v>
      </c>
      <c r="BS192" t="inlineStr">
        <is>
          <t>01/05/2026 10:13</t>
        </is>
      </c>
      <c r="BT192" t="n">
        <v>0</v>
      </c>
      <c r="BX192" t="inlineStr">
        <is>
          <t>Cobranzas_2025.csv</t>
        </is>
      </c>
      <c r="BY192" t="n">
        <v>2025</v>
      </c>
      <c r="BZ192" t="inlineStr">
        <is>
          <t>01/01/2024</t>
        </is>
      </c>
      <c r="CA192" t="inlineStr">
        <is>
          <t>30/09/2031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39" t="n">
        <v>498000</v>
      </c>
      <c r="H193" s="39" t="n">
        <v>450000</v>
      </c>
      <c r="M193" s="39" t="n"/>
      <c r="N193" s="39" t="n"/>
      <c r="S193" s="39" t="n"/>
      <c r="T193" s="39" t="n"/>
      <c r="Y193" s="39" t="n"/>
      <c r="Z193" s="39" t="n"/>
      <c r="AA193" t="inlineStr">
        <is>
          <t>Jhoully Kattherine Moreno Saavedra</t>
        </is>
      </c>
      <c r="AB193" t="inlineStr">
        <is>
          <t>73600966</t>
        </is>
      </c>
      <c r="AC193" t="inlineStr">
        <is>
          <t>Emilio de la Barrera 264</t>
        </is>
      </c>
      <c r="AD193" t="n">
        <v>0</v>
      </c>
      <c r="AE193" t="inlineStr">
        <is>
          <t>934027061</t>
        </is>
      </c>
      <c r="AF193" t="inlineStr">
        <is>
          <t>jhoullym@gmail.com</t>
        </is>
      </c>
      <c r="AG193" t="inlineStr">
        <is>
          <t>LIMA</t>
        </is>
      </c>
      <c r="AH193" t="inlineStr">
        <is>
          <t>SAN MARTIN DE PORRES</t>
        </is>
      </c>
      <c r="AI193" s="116" t="n">
        <v>45971</v>
      </c>
      <c r="AJ193" s="116" t="n">
        <v>45971</v>
      </c>
      <c r="AK193" t="inlineStr">
        <is>
          <t>CUOTA INICIAL</t>
        </is>
      </c>
      <c r="AL193" t="n">
        <v>1</v>
      </c>
      <c r="AM193" t="n">
        <v>19500</v>
      </c>
      <c r="AN193" t="n">
        <v>0</v>
      </c>
      <c r="AO193" t="n">
        <v>0</v>
      </c>
      <c r="AP193" s="39" t="n">
        <v>19500</v>
      </c>
      <c r="AQ193" s="39" t="n">
        <v>19500</v>
      </c>
      <c r="AR193" s="39" t="n">
        <v>0</v>
      </c>
      <c r="AS193" t="n">
        <v>0</v>
      </c>
      <c r="AT193" t="inlineStr">
        <is>
          <t>Crédito Hipotecario</t>
        </is>
      </c>
      <c r="AU193" t="inlineStr">
        <is>
          <t>Banco de Credito del Perú</t>
        </is>
      </c>
      <c r="AV193" t="inlineStr">
        <is>
          <t>194-7325779-0-65</t>
        </is>
      </c>
      <c r="AW193" t="inlineStr">
        <is>
          <t>TRANSFERENCIA BANCARIA</t>
        </is>
      </c>
      <c r="AX193" t="inlineStr">
        <is>
          <t>73600966</t>
        </is>
      </c>
      <c r="AY193" t="inlineStr">
        <is>
          <t>03263249</t>
        </is>
      </c>
      <c r="AZ193" t="inlineStr">
        <is>
          <t>No</t>
        </is>
      </c>
      <c r="BA193" t="inlineStr">
        <is>
          <t>NO PRECISA</t>
        </is>
      </c>
      <c r="BB193" t="n">
        <v>4</v>
      </c>
      <c r="BC193" t="inlineStr">
        <is>
          <t>CANCELADO</t>
        </is>
      </c>
      <c r="BN193" t="inlineStr">
        <is>
          <t>Si</t>
        </is>
      </c>
      <c r="BO193" s="117" t="n">
        <v>45971.18472222222</v>
      </c>
      <c r="BP193" t="inlineStr">
        <is>
          <t>Carla Michue M</t>
        </is>
      </c>
      <c r="BR193" t="n">
        <v>3</v>
      </c>
      <c r="BS193" t="inlineStr">
        <is>
          <t>18/05/2026 04:33</t>
        </is>
      </c>
      <c r="BT193" t="n">
        <v>0</v>
      </c>
      <c r="BX193" t="inlineStr">
        <is>
          <t>Cobranzas_2025.csv</t>
        </is>
      </c>
      <c r="BY193" t="n">
        <v>2025</v>
      </c>
      <c r="BZ193" t="inlineStr">
        <is>
          <t>01/01/2024</t>
        </is>
      </c>
      <c r="CA193" t="inlineStr">
        <is>
          <t>30/09/2031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601</t>
        </is>
      </c>
      <c r="G194" s="39" t="n">
        <v>518500</v>
      </c>
      <c r="H194" s="39" t="n">
        <v>470000</v>
      </c>
      <c r="M194" s="39" t="n"/>
      <c r="N194" s="39" t="n"/>
      <c r="S194" s="39" t="n"/>
      <c r="T194" s="39" t="n"/>
      <c r="Y194" s="39" t="n"/>
      <c r="Z194" s="39" t="n"/>
      <c r="AA194" t="inlineStr">
        <is>
          <t>Jimmy Luis Andrade Morveli</t>
        </is>
      </c>
      <c r="AB194" t="inlineStr">
        <is>
          <t>40071918</t>
        </is>
      </c>
      <c r="AC194" t="inlineStr">
        <is>
          <t>Av. Brasil 1836 Edif Bh South Dpto. 409</t>
        </is>
      </c>
      <c r="AD194" t="n">
        <v>0</v>
      </c>
      <c r="AE194" t="inlineStr">
        <is>
          <t>924430158</t>
        </is>
      </c>
      <c r="AF194" t="inlineStr">
        <is>
          <t>Jimmyandrademorveli@gmail.com</t>
        </is>
      </c>
      <c r="AG194" t="inlineStr">
        <is>
          <t>LIMA</t>
        </is>
      </c>
      <c r="AH194" t="inlineStr">
        <is>
          <t>PUEBLO LIBRE</t>
        </is>
      </c>
      <c r="AI194" s="116" t="n">
        <v>45958</v>
      </c>
      <c r="AJ194" s="116" t="n">
        <v>45958</v>
      </c>
      <c r="AK194" t="inlineStr">
        <is>
          <t>SEPARACION</t>
        </is>
      </c>
      <c r="AL194" t="n">
        <v>1</v>
      </c>
      <c r="AM194" t="n">
        <v>3000</v>
      </c>
      <c r="AN194" t="n">
        <v>0</v>
      </c>
      <c r="AO194" t="n">
        <v>0</v>
      </c>
      <c r="AP194" s="39" t="n">
        <v>3000</v>
      </c>
      <c r="AQ194" s="39" t="n">
        <v>3000</v>
      </c>
      <c r="AR194" s="39" t="n">
        <v>0</v>
      </c>
      <c r="AS194" t="n">
        <v>0</v>
      </c>
      <c r="AT194" t="inlineStr">
        <is>
          <t>Crédito Hipotecario</t>
        </is>
      </c>
      <c r="AU194" t="inlineStr">
        <is>
          <t>Banco de Credito del Perú</t>
        </is>
      </c>
      <c r="AV194" t="inlineStr">
        <is>
          <t>194-7325779-0-65</t>
        </is>
      </c>
      <c r="AW194" t="inlineStr">
        <is>
          <t>TRANSFERENCIA BANCARIA</t>
        </is>
      </c>
      <c r="AY194" t="inlineStr">
        <is>
          <t>02080794</t>
        </is>
      </c>
      <c r="AZ194" t="inlineStr">
        <is>
          <t>No</t>
        </is>
      </c>
      <c r="BB194" t="n">
        <v>4</v>
      </c>
      <c r="BC194" t="inlineStr">
        <is>
          <t>CANCELADO</t>
        </is>
      </c>
      <c r="BN194" t="inlineStr">
        <is>
          <t>Si</t>
        </is>
      </c>
      <c r="BO194" s="117" t="n">
        <v>46028.40416666667</v>
      </c>
      <c r="BP194" t="inlineStr">
        <is>
          <t>Magaly Guevara Perez</t>
        </is>
      </c>
      <c r="BR194" t="n">
        <v>33</v>
      </c>
      <c r="BS194" t="inlineStr">
        <is>
          <t>16/07/2026 14:29</t>
        </is>
      </c>
      <c r="BT194" t="n">
        <v>0</v>
      </c>
      <c r="BX194" t="inlineStr">
        <is>
          <t>Cobranzas_2025.csv</t>
        </is>
      </c>
      <c r="BY194" t="n">
        <v>2025</v>
      </c>
      <c r="BZ194" t="inlineStr">
        <is>
          <t>01/01/2024</t>
        </is>
      </c>
      <c r="CA194" t="inlineStr">
        <is>
          <t>30/09/2031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Estacionamiento</t>
        </is>
      </c>
      <c r="F195" t="inlineStr">
        <is>
          <t>E 19 - D 14</t>
        </is>
      </c>
      <c r="G195" s="39" t="n">
        <v>54500</v>
      </c>
      <c r="H195" s="39" t="n">
        <v>54500</v>
      </c>
      <c r="M195" s="39" t="n"/>
      <c r="N195" s="39" t="n"/>
      <c r="S195" s="39" t="n"/>
      <c r="T195" s="39" t="n"/>
      <c r="Y195" s="39" t="n"/>
      <c r="Z195" s="39" t="n"/>
      <c r="AA195" t="inlineStr">
        <is>
          <t>Jimmy Luis Andrade Morveli</t>
        </is>
      </c>
      <c r="AB195" t="inlineStr">
        <is>
          <t>40071918</t>
        </is>
      </c>
      <c r="AC195" t="inlineStr">
        <is>
          <t>Av. Brasil 1836 Edif Bh South Dpto. 409</t>
        </is>
      </c>
      <c r="AD195" t="n">
        <v>0</v>
      </c>
      <c r="AE195" t="inlineStr">
        <is>
          <t>924430158</t>
        </is>
      </c>
      <c r="AF195" t="inlineStr">
        <is>
          <t>Jimmyandrademorveli@gmail.com</t>
        </is>
      </c>
      <c r="AG195" t="inlineStr">
        <is>
          <t>LIMA</t>
        </is>
      </c>
      <c r="AH195" t="inlineStr">
        <is>
          <t>PUEBLO LIBRE</t>
        </is>
      </c>
      <c r="AI195" s="116" t="n">
        <v>45985</v>
      </c>
      <c r="AJ195" s="116" t="n">
        <v>45985</v>
      </c>
      <c r="AK195" t="inlineStr">
        <is>
          <t>CUOTA INICIAL</t>
        </is>
      </c>
      <c r="AL195" t="n">
        <v>1</v>
      </c>
      <c r="AM195" t="n">
        <v>3000</v>
      </c>
      <c r="AN195" t="n">
        <v>0</v>
      </c>
      <c r="AO195" t="n">
        <v>0</v>
      </c>
      <c r="AP195" s="39" t="n">
        <v>3000</v>
      </c>
      <c r="AQ195" s="39" t="n">
        <v>3000</v>
      </c>
      <c r="AR195" s="39" t="n">
        <v>0</v>
      </c>
      <c r="AS195" t="n">
        <v>0</v>
      </c>
      <c r="AT195" t="inlineStr">
        <is>
          <t>Crédito Directo</t>
        </is>
      </c>
      <c r="AU195" t="inlineStr">
        <is>
          <t>Banco de Credito del Perú</t>
        </is>
      </c>
      <c r="AV195" t="inlineStr">
        <is>
          <t>194-7325779-0-65</t>
        </is>
      </c>
      <c r="AW195" t="inlineStr">
        <is>
          <t>TRANSFERENCIA BANCARIA</t>
        </is>
      </c>
      <c r="AY195" t="inlineStr">
        <is>
          <t>01922234</t>
        </is>
      </c>
      <c r="AZ195" t="inlineStr">
        <is>
          <t>No</t>
        </is>
      </c>
      <c r="BB195" t="n">
        <v>4</v>
      </c>
      <c r="BC195" t="inlineStr">
        <is>
          <t>CANCELADO</t>
        </is>
      </c>
      <c r="BN195" t="inlineStr">
        <is>
          <t>Si</t>
        </is>
      </c>
      <c r="BO195" s="117" t="n">
        <v>45985.77916666667</v>
      </c>
      <c r="BP195" t="inlineStr">
        <is>
          <t>Magaly Guevara Perez</t>
        </is>
      </c>
      <c r="BR195" t="n">
        <v>60</v>
      </c>
      <c r="BS195" t="inlineStr">
        <is>
          <t>29/08/2026 18:47</t>
        </is>
      </c>
      <c r="BT195" t="n">
        <v>0</v>
      </c>
      <c r="BX195" t="inlineStr">
        <is>
          <t>Cobranzas_2025.csv</t>
        </is>
      </c>
      <c r="BY195" t="n">
        <v>2025</v>
      </c>
      <c r="BZ195" t="inlineStr">
        <is>
          <t>01/01/2024</t>
        </is>
      </c>
      <c r="CA195" t="inlineStr">
        <is>
          <t>30/09/2031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39" t="n">
        <v>428000</v>
      </c>
      <c r="H196" s="39" t="n">
        <v>428000</v>
      </c>
      <c r="M196" s="39" t="n"/>
      <c r="N196" s="39" t="n"/>
      <c r="S196" s="39" t="n"/>
      <c r="T196" s="39" t="n"/>
      <c r="Y196" s="39" t="n"/>
      <c r="Z196" s="39" t="n"/>
      <c r="AA196" t="inlineStr">
        <is>
          <t>Jose Edgardo Camacho Cespedes</t>
        </is>
      </c>
      <c r="AB196" t="inlineStr">
        <is>
          <t>16631860</t>
        </is>
      </c>
      <c r="AC196" t="inlineStr">
        <is>
          <t>Jr. Huamachuco 1961Urb.Fundo Oyague</t>
        </is>
      </c>
      <c r="AD196" t="n">
        <v>0</v>
      </c>
      <c r="AE196" t="inlineStr">
        <is>
          <t>985758164</t>
        </is>
      </c>
      <c r="AF196" t="inlineStr">
        <is>
          <t>edgardocc1ro@gmail.com</t>
        </is>
      </c>
      <c r="AG196" t="inlineStr">
        <is>
          <t>LIMA</t>
        </is>
      </c>
      <c r="AH196" t="inlineStr">
        <is>
          <t>JESUS MARIA</t>
        </is>
      </c>
      <c r="AI196" s="116" t="n">
        <v>46009</v>
      </c>
      <c r="AJ196" s="116" t="n">
        <v>46009</v>
      </c>
      <c r="AK196" t="inlineStr">
        <is>
          <t>SEPARACION</t>
        </is>
      </c>
      <c r="AL196" t="n">
        <v>1</v>
      </c>
      <c r="AM196" t="n">
        <v>3000</v>
      </c>
      <c r="AN196" t="n">
        <v>0</v>
      </c>
      <c r="AO196" t="n">
        <v>0</v>
      </c>
      <c r="AP196" s="39" t="n">
        <v>3000</v>
      </c>
      <c r="AQ196" s="39" t="n">
        <v>3000</v>
      </c>
      <c r="AR196" s="39" t="n">
        <v>0</v>
      </c>
      <c r="AS196" t="n">
        <v>0</v>
      </c>
      <c r="AT196" t="inlineStr">
        <is>
          <t>Crédito Hipotecario</t>
        </is>
      </c>
      <c r="AU196" t="inlineStr">
        <is>
          <t>Scotiabank Perú</t>
        </is>
      </c>
      <c r="AV196" t="inlineStr">
        <is>
          <t>0004071419</t>
        </is>
      </c>
      <c r="AW196" t="inlineStr">
        <is>
          <t>TRANSFERENCIA BANCARIA</t>
        </is>
      </c>
      <c r="AY196" t="inlineStr">
        <is>
          <t>55556001</t>
        </is>
      </c>
      <c r="AZ196" t="inlineStr">
        <is>
          <t>No</t>
        </is>
      </c>
      <c r="BB196" t="n">
        <v>4</v>
      </c>
      <c r="BC196" t="inlineStr">
        <is>
          <t>CANCELADO</t>
        </is>
      </c>
      <c r="BN196" t="inlineStr">
        <is>
          <t>Si</t>
        </is>
      </c>
      <c r="BO196" s="117" t="n">
        <v>46049.34444444445</v>
      </c>
      <c r="BP196" t="inlineStr">
        <is>
          <t>Magaly Guevara Perez</t>
        </is>
      </c>
      <c r="BR196" t="n">
        <v>10</v>
      </c>
      <c r="BS196" t="inlineStr">
        <is>
          <t>24/05/2026 20:03</t>
        </is>
      </c>
      <c r="BT196" t="n">
        <v>0</v>
      </c>
      <c r="BX196" t="inlineStr">
        <is>
          <t>Cobranzas_2025.csv</t>
        </is>
      </c>
      <c r="BY196" t="n">
        <v>2025</v>
      </c>
      <c r="BZ196" t="inlineStr">
        <is>
          <t>01/01/2024</t>
        </is>
      </c>
      <c r="CA196" t="inlineStr">
        <is>
          <t>30/09/2031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39" t="n">
        <v>501000</v>
      </c>
      <c r="H197" s="39" t="n">
        <v>501000</v>
      </c>
      <c r="I197" t="inlineStr">
        <is>
          <t>Edificio</t>
        </is>
      </c>
      <c r="J197" t="inlineStr">
        <is>
          <t>A</t>
        </is>
      </c>
      <c r="K197" t="inlineStr">
        <is>
          <t>Estacionamiento</t>
        </is>
      </c>
      <c r="L197" t="inlineStr">
        <is>
          <t>E 07 - D 05</t>
        </is>
      </c>
      <c r="M197" s="39" t="n">
        <v>57300</v>
      </c>
      <c r="N197" s="39" t="n">
        <v>57300</v>
      </c>
      <c r="S197" s="39" t="n"/>
      <c r="T197" s="39" t="n"/>
      <c r="Y197" s="39" t="n"/>
      <c r="Z197" s="39" t="n"/>
      <c r="AA197" t="inlineStr">
        <is>
          <t>Jose Humberto Pehovaz Diez</t>
        </is>
      </c>
      <c r="AB197" t="inlineStr">
        <is>
          <t>49073756</t>
        </is>
      </c>
      <c r="AC197" t="inlineStr">
        <is>
          <t>-</t>
        </is>
      </c>
      <c r="AE197" t="inlineStr">
        <is>
          <t>952256518</t>
        </is>
      </c>
      <c r="AF197" t="inlineStr">
        <is>
          <t>josehp99@gmail.com</t>
        </is>
      </c>
      <c r="AG197" t="inlineStr">
        <is>
          <t>LIMA</t>
        </is>
      </c>
      <c r="AH197" t="inlineStr">
        <is>
          <t>MAGDALENA DEL MAR</t>
        </is>
      </c>
      <c r="AI197" s="116" t="n">
        <v>45713</v>
      </c>
      <c r="AJ197" s="116" t="n">
        <v>45709</v>
      </c>
      <c r="AK197" t="inlineStr">
        <is>
          <t>CUOTA INICIAL</t>
        </is>
      </c>
      <c r="AL197" t="n">
        <v>1</v>
      </c>
      <c r="AM197" t="n">
        <v>52830</v>
      </c>
      <c r="AN197" t="n">
        <v>0</v>
      </c>
      <c r="AO197" t="n">
        <v>0</v>
      </c>
      <c r="AP197" s="39" t="n">
        <v>52830</v>
      </c>
      <c r="AQ197" s="39" t="n">
        <v>52830</v>
      </c>
      <c r="AR197" s="39" t="n">
        <v>0</v>
      </c>
      <c r="AS197" t="n">
        <v>0</v>
      </c>
      <c r="AT197" t="inlineStr">
        <is>
          <t>Crédito Hipotecario</t>
        </is>
      </c>
      <c r="AU197" t="inlineStr">
        <is>
          <t>Scotiabank Perú</t>
        </is>
      </c>
      <c r="AV197" t="inlineStr">
        <is>
          <t>000-2768484</t>
        </is>
      </c>
      <c r="AW197" t="inlineStr">
        <is>
          <t>TRANSFERENCIA BANCARIA</t>
        </is>
      </c>
      <c r="AY197" t="inlineStr">
        <is>
          <t>u22607</t>
        </is>
      </c>
      <c r="AZ197" t="inlineStr">
        <is>
          <t>No</t>
        </is>
      </c>
      <c r="BB197" t="n">
        <v>4</v>
      </c>
      <c r="BC197" t="inlineStr">
        <is>
          <t>CANCELADO</t>
        </is>
      </c>
      <c r="BN197" t="inlineStr">
        <is>
          <t>Si</t>
        </is>
      </c>
      <c r="BO197" s="117" t="n">
        <v>45709.69652777778</v>
      </c>
      <c r="BP197" t="inlineStr">
        <is>
          <t>Carla Michue M</t>
        </is>
      </c>
      <c r="BR197" t="n">
        <v>10</v>
      </c>
      <c r="BS197" t="inlineStr">
        <is>
          <t>07/07/2026 16:31</t>
        </is>
      </c>
      <c r="BT197" t="n">
        <v>0</v>
      </c>
      <c r="BX197" t="inlineStr">
        <is>
          <t>Cobranzas_2025.csv</t>
        </is>
      </c>
      <c r="BY197" t="n">
        <v>2025</v>
      </c>
      <c r="BZ197" t="inlineStr">
        <is>
          <t>01/01/2024</t>
        </is>
      </c>
      <c r="CA197" t="inlineStr">
        <is>
          <t>30/09/2031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39" t="n">
        <v>501000</v>
      </c>
      <c r="H198" s="39" t="n">
        <v>501000</v>
      </c>
      <c r="I198" t="inlineStr">
        <is>
          <t>Edificio</t>
        </is>
      </c>
      <c r="J198" t="inlineStr">
        <is>
          <t>A</t>
        </is>
      </c>
      <c r="K198" t="inlineStr">
        <is>
          <t>Estacionamiento</t>
        </is>
      </c>
      <c r="L198" t="inlineStr">
        <is>
          <t>E 07 - D 05</t>
        </is>
      </c>
      <c r="M198" s="39" t="n">
        <v>57300</v>
      </c>
      <c r="N198" s="39" t="n">
        <v>57300</v>
      </c>
      <c r="S198" s="39" t="n"/>
      <c r="T198" s="39" t="n"/>
      <c r="Y198" s="39" t="n"/>
      <c r="Z198" s="39" t="n"/>
      <c r="AA198" t="inlineStr">
        <is>
          <t>Jose Humberto Pehovaz Diez</t>
        </is>
      </c>
      <c r="AB198" t="inlineStr">
        <is>
          <t>49073756</t>
        </is>
      </c>
      <c r="AC198" t="inlineStr">
        <is>
          <t>-</t>
        </is>
      </c>
      <c r="AE198" t="inlineStr">
        <is>
          <t>952256518</t>
        </is>
      </c>
      <c r="AF198" t="inlineStr">
        <is>
          <t>josehp99@gmail.com</t>
        </is>
      </c>
      <c r="AG198" t="inlineStr">
        <is>
          <t>LIMA</t>
        </is>
      </c>
      <c r="AH198" t="inlineStr">
        <is>
          <t>MAGDALENA DEL MAR</t>
        </is>
      </c>
      <c r="AI198" s="116" t="n">
        <v>45746</v>
      </c>
      <c r="AJ198" s="116" t="n">
        <v>45747</v>
      </c>
      <c r="AK198" t="inlineStr">
        <is>
          <t>SALDO FINANCIAR</t>
        </is>
      </c>
      <c r="AL198" t="n">
        <v>1</v>
      </c>
      <c r="AM198" t="n">
        <v>502470</v>
      </c>
      <c r="AN198" t="n">
        <v>0</v>
      </c>
      <c r="AO198" t="n">
        <v>0</v>
      </c>
      <c r="AP198" s="39" t="n">
        <v>502470</v>
      </c>
      <c r="AQ198" s="39" t="n">
        <v>502470</v>
      </c>
      <c r="AR198" s="39" t="n">
        <v>0</v>
      </c>
      <c r="AS198" t="n">
        <v>0</v>
      </c>
      <c r="AT198" t="inlineStr">
        <is>
          <t>Crédito Hipotecario</t>
        </is>
      </c>
      <c r="AU198" t="inlineStr">
        <is>
          <t>Scotiabank Perú</t>
        </is>
      </c>
      <c r="AV198" t="inlineStr">
        <is>
          <t>000-2768484</t>
        </is>
      </c>
      <c r="AW198" t="inlineStr">
        <is>
          <t>TRANSFERENCIA BANCARIA</t>
        </is>
      </c>
      <c r="AY198" t="inlineStr">
        <is>
          <t>30032025</t>
        </is>
      </c>
      <c r="AZ198" t="inlineStr">
        <is>
          <t>No</t>
        </is>
      </c>
      <c r="BB198" t="n">
        <v>4</v>
      </c>
      <c r="BC198" t="inlineStr">
        <is>
          <t>CANCELADO</t>
        </is>
      </c>
      <c r="BN198" t="inlineStr">
        <is>
          <t>Si</t>
        </is>
      </c>
      <c r="BO198" s="117" t="n">
        <v>45709.69652777778</v>
      </c>
      <c r="BP198" t="inlineStr">
        <is>
          <t>Carla Michue M</t>
        </is>
      </c>
      <c r="BR198" t="n">
        <v>10</v>
      </c>
      <c r="BS198" t="inlineStr">
        <is>
          <t>07/07/2026 16:31</t>
        </is>
      </c>
      <c r="BT198" t="n">
        <v>0</v>
      </c>
      <c r="BX198" t="inlineStr">
        <is>
          <t>Cobranzas_2025.csv</t>
        </is>
      </c>
      <c r="BY198" t="n">
        <v>2025</v>
      </c>
      <c r="BZ198" t="inlineStr">
        <is>
          <t>01/01/2024</t>
        </is>
      </c>
      <c r="CA198" t="inlineStr">
        <is>
          <t>30/09/2031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39" t="n">
        <v>622500</v>
      </c>
      <c r="H199" s="39" t="n">
        <v>622500</v>
      </c>
      <c r="M199" s="39" t="n"/>
      <c r="N199" s="39" t="n"/>
      <c r="S199" s="39" t="n"/>
      <c r="T199" s="39" t="n"/>
      <c r="Y199" s="39" t="n"/>
      <c r="Z199" s="39" t="n"/>
      <c r="AA199" t="inlineStr">
        <is>
          <t>Joseluis Gaspar Zapata Flores</t>
        </is>
      </c>
      <c r="AB199" t="inlineStr">
        <is>
          <t>46730672</t>
        </is>
      </c>
      <c r="AC199" t="inlineStr">
        <is>
          <t>Jr. Los Clavles 141 P. J  El Progreso 1er Sector</t>
        </is>
      </c>
      <c r="AE199" t="inlineStr">
        <is>
          <t>948041027</t>
        </is>
      </c>
      <c r="AF199" t="inlineStr">
        <is>
          <t>jlzapata91@gmail.com</t>
        </is>
      </c>
      <c r="AG199" t="inlineStr">
        <is>
          <t>LIMA</t>
        </is>
      </c>
      <c r="AH199" t="inlineStr">
        <is>
          <t>CARABAYLLO</t>
        </is>
      </c>
      <c r="AI199" s="116" t="n">
        <v>45688</v>
      </c>
      <c r="AJ199" s="116" t="n">
        <v>45722</v>
      </c>
      <c r="AK199" t="inlineStr">
        <is>
          <t>SALDO FINANCIAR</t>
        </is>
      </c>
      <c r="AL199" t="n">
        <v>1</v>
      </c>
      <c r="AM199" t="n">
        <v>532500</v>
      </c>
      <c r="AN199" t="n">
        <v>0</v>
      </c>
      <c r="AO199" t="n">
        <v>0</v>
      </c>
      <c r="AP199" s="39" t="n">
        <v>532500</v>
      </c>
      <c r="AQ199" s="39" t="n">
        <v>20000</v>
      </c>
      <c r="AR199" s="39" t="n">
        <v>0</v>
      </c>
      <c r="AS199" t="n">
        <v>0</v>
      </c>
      <c r="AT199" t="inlineStr">
        <is>
          <t>Ahorro</t>
        </is>
      </c>
      <c r="AU199" t="inlineStr">
        <is>
          <t>Scotiabank Perú</t>
        </is>
      </c>
      <c r="AV199" t="inlineStr">
        <is>
          <t>000-2768484</t>
        </is>
      </c>
      <c r="AW199" t="inlineStr">
        <is>
          <t>TRANSFERENCIA BANCARIA</t>
        </is>
      </c>
      <c r="AY199" t="inlineStr">
        <is>
          <t>7844655541508</t>
        </is>
      </c>
      <c r="AZ199" t="inlineStr">
        <is>
          <t>No</t>
        </is>
      </c>
      <c r="BB199" t="n">
        <v>4</v>
      </c>
      <c r="BC199" t="inlineStr">
        <is>
          <t>CANCELADO</t>
        </is>
      </c>
      <c r="BN199" t="inlineStr">
        <is>
          <t>Si</t>
        </is>
      </c>
      <c r="BO199" s="117" t="n">
        <v>45488.65486111111</v>
      </c>
      <c r="BP199" t="inlineStr">
        <is>
          <t>Carla Michue M</t>
        </is>
      </c>
      <c r="BR199" t="n">
        <v>6</v>
      </c>
      <c r="BS199" t="inlineStr">
        <is>
          <t>29/06/2026 01:08</t>
        </is>
      </c>
      <c r="BT199" t="n">
        <v>0</v>
      </c>
      <c r="BX199" t="inlineStr">
        <is>
          <t>Cobranzas_2025.csv</t>
        </is>
      </c>
      <c r="BY199" t="n">
        <v>2025</v>
      </c>
      <c r="BZ199" t="inlineStr">
        <is>
          <t>01/01/2024</t>
        </is>
      </c>
      <c r="CA199" t="inlineStr">
        <is>
          <t>30/09/2031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39" t="n">
        <v>622500</v>
      </c>
      <c r="H200" s="39" t="n">
        <v>622500</v>
      </c>
      <c r="M200" s="39" t="n"/>
      <c r="N200" s="39" t="n"/>
      <c r="S200" s="39" t="n"/>
      <c r="T200" s="39" t="n"/>
      <c r="Y200" s="39" t="n"/>
      <c r="Z200" s="39" t="n"/>
      <c r="AA200" t="inlineStr">
        <is>
          <t>Joseluis Gaspar Zapata Flores</t>
        </is>
      </c>
      <c r="AB200" t="inlineStr">
        <is>
          <t>46730672</t>
        </is>
      </c>
      <c r="AC200" t="inlineStr">
        <is>
          <t>Jr. Los Clavles 141 P. J  El Progreso 1er Sector</t>
        </is>
      </c>
      <c r="AE200" t="inlineStr">
        <is>
          <t>948041027</t>
        </is>
      </c>
      <c r="AF200" t="inlineStr">
        <is>
          <t>jlzapata91@gmail.com</t>
        </is>
      </c>
      <c r="AG200" t="inlineStr">
        <is>
          <t>LIMA</t>
        </is>
      </c>
      <c r="AH200" t="inlineStr">
        <is>
          <t>CARABAYLLO</t>
        </is>
      </c>
      <c r="AI200" s="116" t="n">
        <v>45688</v>
      </c>
      <c r="AJ200" s="116" t="n">
        <v>45747</v>
      </c>
      <c r="AK200" t="inlineStr">
        <is>
          <t>SALDO FINANCIAR</t>
        </is>
      </c>
      <c r="AL200" t="n">
        <v>1</v>
      </c>
      <c r="AM200" t="n">
        <v>0</v>
      </c>
      <c r="AN200" t="n">
        <v>0</v>
      </c>
      <c r="AO200" t="n">
        <v>0</v>
      </c>
      <c r="AP200" s="39" t="n">
        <v>0</v>
      </c>
      <c r="AQ200" s="39" t="n">
        <v>512500</v>
      </c>
      <c r="AR200" s="39" t="n">
        <v>0</v>
      </c>
      <c r="AS200" t="n">
        <v>0</v>
      </c>
      <c r="AT200" t="inlineStr">
        <is>
          <t>Ahorro</t>
        </is>
      </c>
      <c r="AU200" t="inlineStr">
        <is>
          <t>Scotiabank Perú</t>
        </is>
      </c>
      <c r="AV200" t="inlineStr">
        <is>
          <t>000-2768484</t>
        </is>
      </c>
      <c r="AW200" t="inlineStr">
        <is>
          <t>TRANSFERENCIA BANCARIA</t>
        </is>
      </c>
      <c r="AY200" t="inlineStr">
        <is>
          <t>31032025</t>
        </is>
      </c>
      <c r="AZ200" t="inlineStr">
        <is>
          <t>No</t>
        </is>
      </c>
      <c r="BB200" t="n">
        <v>4</v>
      </c>
      <c r="BC200" t="inlineStr">
        <is>
          <t>CANCELADO</t>
        </is>
      </c>
      <c r="BN200" t="inlineStr">
        <is>
          <t>Si</t>
        </is>
      </c>
      <c r="BO200" s="117" t="n">
        <v>45488.65486111111</v>
      </c>
      <c r="BP200" t="inlineStr">
        <is>
          <t>Carla Michue M</t>
        </is>
      </c>
      <c r="BR200" t="n">
        <v>6</v>
      </c>
      <c r="BS200" t="inlineStr">
        <is>
          <t>29/06/2026 01:09</t>
        </is>
      </c>
      <c r="BT200" t="n">
        <v>0</v>
      </c>
      <c r="BX200" t="inlineStr">
        <is>
          <t>Cobranzas_2025.csv</t>
        </is>
      </c>
      <c r="BY200" t="n">
        <v>2025</v>
      </c>
      <c r="BZ200" t="inlineStr">
        <is>
          <t>01/01/2024</t>
        </is>
      </c>
      <c r="CA200" t="inlineStr">
        <is>
          <t>30/09/2031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39" t="n">
        <v>51500</v>
      </c>
      <c r="H201" s="39" t="n">
        <v>51500</v>
      </c>
      <c r="M201" s="39" t="n"/>
      <c r="N201" s="39" t="n"/>
      <c r="S201" s="39" t="n"/>
      <c r="T201" s="39" t="n"/>
      <c r="Y201" s="39" t="n"/>
      <c r="Z201" s="39" t="n"/>
      <c r="AA201" t="inlineStr">
        <is>
          <t>Joseluis Gaspar Zapata Flores</t>
        </is>
      </c>
      <c r="AB201" t="inlineStr">
        <is>
          <t>46730672</t>
        </is>
      </c>
      <c r="AC201" t="inlineStr">
        <is>
          <t>Jr. Los Clavles 141 P. J  El Progreso 1er Sector</t>
        </is>
      </c>
      <c r="AD201" t="n">
        <v>0</v>
      </c>
      <c r="AE201" t="inlineStr">
        <is>
          <t>948041027</t>
        </is>
      </c>
      <c r="AF201" t="inlineStr">
        <is>
          <t>jlzapata91@gmail.com</t>
        </is>
      </c>
      <c r="AG201" t="inlineStr">
        <is>
          <t>LIMA</t>
        </is>
      </c>
      <c r="AH201" t="inlineStr">
        <is>
          <t>CARABAYLLO</t>
        </is>
      </c>
      <c r="AI201" s="116" t="n">
        <v>45871</v>
      </c>
      <c r="AJ201" s="116" t="n">
        <v>45871</v>
      </c>
      <c r="AK201" t="inlineStr">
        <is>
          <t>SEPARACION</t>
        </is>
      </c>
      <c r="AL201" t="n">
        <v>1</v>
      </c>
      <c r="AM201" t="n">
        <v>5000</v>
      </c>
      <c r="AN201" t="n">
        <v>0</v>
      </c>
      <c r="AO201" t="n">
        <v>0</v>
      </c>
      <c r="AP201" s="39" t="n">
        <v>5000</v>
      </c>
      <c r="AQ201" s="39" t="n">
        <v>5000</v>
      </c>
      <c r="AR201" s="39" t="n">
        <v>0</v>
      </c>
      <c r="AS201" t="n">
        <v>0</v>
      </c>
      <c r="AT201" t="inlineStr">
        <is>
          <t>Crédito Directo</t>
        </is>
      </c>
      <c r="AU201" t="inlineStr">
        <is>
          <t>Scotiabank Perú</t>
        </is>
      </c>
      <c r="AV201" t="inlineStr">
        <is>
          <t>000-2768484</t>
        </is>
      </c>
      <c r="AW201" t="inlineStr">
        <is>
          <t>TRANSFERENCIA BANCARIA</t>
        </is>
      </c>
      <c r="AY201" t="inlineStr">
        <is>
          <t>7844655528664</t>
        </is>
      </c>
      <c r="AZ201" t="inlineStr">
        <is>
          <t>No</t>
        </is>
      </c>
      <c r="BB201" t="n">
        <v>4</v>
      </c>
      <c r="BC201" t="inlineStr">
        <is>
          <t>CANCELADO</t>
        </is>
      </c>
      <c r="BN201" t="inlineStr">
        <is>
          <t>Si</t>
        </is>
      </c>
      <c r="BO201" s="117" t="n">
        <v>45960.71875</v>
      </c>
      <c r="BP201" t="inlineStr">
        <is>
          <t>Magaly Guevara Perez</t>
        </is>
      </c>
      <c r="BR201" t="n">
        <v>59</v>
      </c>
      <c r="BS201" t="inlineStr">
        <is>
          <t>29/06/2026 20:32</t>
        </is>
      </c>
      <c r="BT201" t="n">
        <v>0</v>
      </c>
      <c r="BX201" t="inlineStr">
        <is>
          <t>Cobranzas_2025.csv</t>
        </is>
      </c>
      <c r="BY201" t="n">
        <v>2025</v>
      </c>
      <c r="BZ201" t="inlineStr">
        <is>
          <t>01/01/2024</t>
        </is>
      </c>
      <c r="CA201" t="inlineStr">
        <is>
          <t>30/09/2031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39" t="n">
        <v>51500</v>
      </c>
      <c r="H202" s="39" t="n">
        <v>51500</v>
      </c>
      <c r="M202" s="39" t="n"/>
      <c r="N202" s="39" t="n"/>
      <c r="S202" s="39" t="n"/>
      <c r="T202" s="39" t="n"/>
      <c r="Y202" s="39" t="n"/>
      <c r="Z202" s="39" t="n"/>
      <c r="AA202" t="inlineStr">
        <is>
          <t>Joseluis Gaspar Zapata Flores</t>
        </is>
      </c>
      <c r="AB202" t="inlineStr">
        <is>
          <t>46730672</t>
        </is>
      </c>
      <c r="AC202" t="inlineStr">
        <is>
          <t>Jr. Los Clavles 141 P. J  El Progreso 1er Sector</t>
        </is>
      </c>
      <c r="AD202" t="n">
        <v>0</v>
      </c>
      <c r="AE202" t="inlineStr">
        <is>
          <t>948041027</t>
        </is>
      </c>
      <c r="AF202" t="inlineStr">
        <is>
          <t>jlzapata91@gmail.com</t>
        </is>
      </c>
      <c r="AG202" t="inlineStr">
        <is>
          <t>LIMA</t>
        </is>
      </c>
      <c r="AH202" t="inlineStr">
        <is>
          <t>CARABAYLLO</t>
        </is>
      </c>
      <c r="AI202" s="116" t="n">
        <v>45960</v>
      </c>
      <c r="AJ202" s="116" t="n">
        <v>45960</v>
      </c>
      <c r="AK202" t="inlineStr">
        <is>
          <t>CUOTA INICIAL</t>
        </is>
      </c>
      <c r="AL202" t="n">
        <v>1</v>
      </c>
      <c r="AM202" t="n">
        <v>3000</v>
      </c>
      <c r="AN202" t="n">
        <v>0</v>
      </c>
      <c r="AO202" t="n">
        <v>0</v>
      </c>
      <c r="AP202" s="39" t="n">
        <v>3000</v>
      </c>
      <c r="AQ202" s="39" t="n">
        <v>3000</v>
      </c>
      <c r="AR202" s="39" t="n">
        <v>0</v>
      </c>
      <c r="AS202" t="n">
        <v>0</v>
      </c>
      <c r="AT202" t="inlineStr">
        <is>
          <t>Crédito Directo</t>
        </is>
      </c>
      <c r="AU202" t="inlineStr">
        <is>
          <t>Scotiabank Perú</t>
        </is>
      </c>
      <c r="AV202" t="inlineStr">
        <is>
          <t>000-2768484</t>
        </is>
      </c>
      <c r="AW202" t="inlineStr">
        <is>
          <t>TRANSFERENCIA BANCARIA</t>
        </is>
      </c>
      <c r="AY202" t="inlineStr">
        <is>
          <t>7844655537844</t>
        </is>
      </c>
      <c r="AZ202" t="inlineStr">
        <is>
          <t>No</t>
        </is>
      </c>
      <c r="BB202" t="n">
        <v>4</v>
      </c>
      <c r="BC202" t="inlineStr">
        <is>
          <t>CANCELADO</t>
        </is>
      </c>
      <c r="BN202" t="inlineStr">
        <is>
          <t>Si</t>
        </is>
      </c>
      <c r="BO202" s="117" t="n">
        <v>45960.71875</v>
      </c>
      <c r="BP202" t="inlineStr">
        <is>
          <t>Magaly Guevara Perez</t>
        </is>
      </c>
      <c r="BR202" t="n">
        <v>59</v>
      </c>
      <c r="BS202" t="inlineStr">
        <is>
          <t>29/06/2026 20:47</t>
        </is>
      </c>
      <c r="BT202" t="n">
        <v>0</v>
      </c>
      <c r="BX202" t="inlineStr">
        <is>
          <t>Cobranzas_2025.csv</t>
        </is>
      </c>
      <c r="BY202" t="n">
        <v>2025</v>
      </c>
      <c r="BZ202" t="inlineStr">
        <is>
          <t>01/01/2024</t>
        </is>
      </c>
      <c r="CA202" t="inlineStr">
        <is>
          <t>30/09/2031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39" t="n">
        <v>51500</v>
      </c>
      <c r="H203" s="39" t="n">
        <v>51500</v>
      </c>
      <c r="M203" s="39" t="n"/>
      <c r="N203" s="39" t="n"/>
      <c r="S203" s="39" t="n"/>
      <c r="T203" s="39" t="n"/>
      <c r="Y203" s="39" t="n"/>
      <c r="Z203" s="39" t="n"/>
      <c r="AA203" t="inlineStr">
        <is>
          <t>Joseluis Gaspar Zapata Flores</t>
        </is>
      </c>
      <c r="AB203" t="inlineStr">
        <is>
          <t>46730672</t>
        </is>
      </c>
      <c r="AC203" t="inlineStr">
        <is>
          <t>Jr. Los Clavles 141 P. J  El Progreso 1er Sector</t>
        </is>
      </c>
      <c r="AD203" t="n">
        <v>0</v>
      </c>
      <c r="AE203" t="inlineStr">
        <is>
          <t>948041027</t>
        </is>
      </c>
      <c r="AF203" t="inlineStr">
        <is>
          <t>jlzapata91@gmail.com</t>
        </is>
      </c>
      <c r="AG203" t="inlineStr">
        <is>
          <t>LIMA</t>
        </is>
      </c>
      <c r="AH203" t="inlineStr">
        <is>
          <t>CARABAYLLO</t>
        </is>
      </c>
      <c r="AI203" s="116" t="n">
        <v>45996</v>
      </c>
      <c r="AJ203" s="116" t="n">
        <v>45996</v>
      </c>
      <c r="AK203" t="inlineStr">
        <is>
          <t>SALDO FINANCIAR</t>
        </is>
      </c>
      <c r="AL203" t="n">
        <v>1</v>
      </c>
      <c r="AM203" t="n">
        <v>3000</v>
      </c>
      <c r="AN203" t="n">
        <v>0</v>
      </c>
      <c r="AO203" t="n">
        <v>0</v>
      </c>
      <c r="AP203" s="39" t="n">
        <v>3000</v>
      </c>
      <c r="AQ203" s="39" t="n">
        <v>3000</v>
      </c>
      <c r="AR203" s="39" t="n">
        <v>0</v>
      </c>
      <c r="AS203" t="n">
        <v>0</v>
      </c>
      <c r="AT203" t="inlineStr">
        <is>
          <t>Crédito Directo</t>
        </is>
      </c>
      <c r="AU203" t="inlineStr">
        <is>
          <t>Scotiabank Perú</t>
        </is>
      </c>
      <c r="AV203" t="inlineStr">
        <is>
          <t>000-2768484</t>
        </is>
      </c>
      <c r="AW203" t="inlineStr">
        <is>
          <t>TRANSFERENCIA BANCARIA</t>
        </is>
      </c>
      <c r="AY203" t="inlineStr">
        <is>
          <t>7844655573323</t>
        </is>
      </c>
      <c r="AZ203" t="inlineStr">
        <is>
          <t>No</t>
        </is>
      </c>
      <c r="BB203" t="n">
        <v>4</v>
      </c>
      <c r="BC203" t="inlineStr">
        <is>
          <t>CANCELADO</t>
        </is>
      </c>
      <c r="BN203" t="inlineStr">
        <is>
          <t>Si</t>
        </is>
      </c>
      <c r="BO203" s="117" t="n">
        <v>45960.71875</v>
      </c>
      <c r="BP203" t="inlineStr">
        <is>
          <t>Magaly Guevara Perez</t>
        </is>
      </c>
      <c r="BR203" t="n">
        <v>59</v>
      </c>
      <c r="BS203" t="inlineStr">
        <is>
          <t>29/06/2026 20:50</t>
        </is>
      </c>
      <c r="BT203" t="n">
        <v>0</v>
      </c>
      <c r="BX203" t="inlineStr">
        <is>
          <t>Cobranzas_2025.csv</t>
        </is>
      </c>
      <c r="BY203" t="n">
        <v>2025</v>
      </c>
      <c r="BZ203" t="inlineStr">
        <is>
          <t>01/01/2024</t>
        </is>
      </c>
      <c r="CA203" t="inlineStr">
        <is>
          <t>30/09/2031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39" t="n">
        <v>612000</v>
      </c>
      <c r="H204" s="39" t="n">
        <v>612000</v>
      </c>
      <c r="M204" s="39" t="n"/>
      <c r="N204" s="39" t="n"/>
      <c r="S204" s="39" t="n"/>
      <c r="T204" s="39" t="n"/>
      <c r="Y204" s="39" t="n"/>
      <c r="Z204" s="39" t="n"/>
      <c r="AA204" t="inlineStr">
        <is>
          <t>Juan Carlos Ángeles Milla</t>
        </is>
      </c>
      <c r="AB204" t="inlineStr">
        <is>
          <t>32403305</t>
        </is>
      </c>
      <c r="AC204" t="inlineStr">
        <is>
          <t>Av. Miraflores 218</t>
        </is>
      </c>
      <c r="AE204" t="inlineStr">
        <is>
          <t>942097700</t>
        </is>
      </c>
      <c r="AF204" t="inlineStr">
        <is>
          <t>Vidang72@hotmail.com</t>
        </is>
      </c>
      <c r="AG204" t="inlineStr">
        <is>
          <t>HUAYLAS</t>
        </is>
      </c>
      <c r="AH204" t="inlineStr">
        <is>
          <t>HUAYLAS</t>
        </is>
      </c>
      <c r="AI204" s="116" t="n">
        <v>45687</v>
      </c>
      <c r="AJ204" s="116" t="n">
        <v>46018</v>
      </c>
      <c r="AK204" t="inlineStr">
        <is>
          <t>CUOTA INICIAL</t>
        </is>
      </c>
      <c r="AL204" t="n">
        <v>3</v>
      </c>
      <c r="AM204" t="n">
        <v>29500</v>
      </c>
      <c r="AN204" t="n">
        <v>0</v>
      </c>
      <c r="AO204" t="n">
        <v>0</v>
      </c>
      <c r="AP204" s="39" t="n">
        <v>29500</v>
      </c>
      <c r="AQ204" s="39" t="n">
        <v>29500</v>
      </c>
      <c r="AR204" s="39" t="n">
        <v>0</v>
      </c>
      <c r="AS204" t="n">
        <v>0</v>
      </c>
      <c r="AT204" t="inlineStr">
        <is>
          <t>Ahorro</t>
        </is>
      </c>
      <c r="AU204" t="inlineStr">
        <is>
          <t>Scotiabank Perú</t>
        </is>
      </c>
      <c r="AV204" t="inlineStr">
        <is>
          <t>000-2768484</t>
        </is>
      </c>
      <c r="AW204" t="inlineStr">
        <is>
          <t>TRANSFERENCIA BANCARIA</t>
        </is>
      </c>
      <c r="AX204" t="inlineStr">
        <is>
          <t>32403305</t>
        </is>
      </c>
      <c r="AY204" t="inlineStr">
        <is>
          <t>028925</t>
        </is>
      </c>
      <c r="AZ204" t="inlineStr">
        <is>
          <t>No</t>
        </is>
      </c>
      <c r="BA204" t="inlineStr">
        <is>
          <t>NO PRECISA</t>
        </is>
      </c>
      <c r="BB204" t="n">
        <v>1</v>
      </c>
      <c r="BC204" t="inlineStr">
        <is>
          <t>CANCELADO</t>
        </is>
      </c>
      <c r="BN204" t="inlineStr">
        <is>
          <t>Si</t>
        </is>
      </c>
      <c r="BO204" s="117" t="n">
        <v>45541.59444444445</v>
      </c>
      <c r="BP204" t="inlineStr">
        <is>
          <t>Carla Michue M</t>
        </is>
      </c>
      <c r="BR204" t="n">
        <v>21</v>
      </c>
      <c r="BS204" t="inlineStr">
        <is>
          <t>29/05/2026 12:21</t>
        </is>
      </c>
      <c r="BT204" t="n">
        <v>0</v>
      </c>
      <c r="BX204" t="inlineStr">
        <is>
          <t>Cobranzas_2025.csv</t>
        </is>
      </c>
      <c r="BY204" t="n">
        <v>2025</v>
      </c>
      <c r="BZ204" t="inlineStr">
        <is>
          <t>01/01/2024</t>
        </is>
      </c>
      <c r="CA204" t="inlineStr">
        <is>
          <t>30/09/2031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39" t="n">
        <v>612000</v>
      </c>
      <c r="H205" s="39" t="n">
        <v>612000</v>
      </c>
      <c r="M205" s="39" t="n"/>
      <c r="N205" s="39" t="n"/>
      <c r="S205" s="39" t="n"/>
      <c r="T205" s="39" t="n"/>
      <c r="Y205" s="39" t="n"/>
      <c r="Z205" s="39" t="n"/>
      <c r="AA205" t="inlineStr">
        <is>
          <t>Juan Carlos Ángeles Milla</t>
        </is>
      </c>
      <c r="AB205" t="inlineStr">
        <is>
          <t>32403305</t>
        </is>
      </c>
      <c r="AC205" t="inlineStr">
        <is>
          <t>Av. Miraflores 218</t>
        </is>
      </c>
      <c r="AE205" t="inlineStr">
        <is>
          <t>942097700</t>
        </is>
      </c>
      <c r="AF205" t="inlineStr">
        <is>
          <t>Vidang72@hotmail.com</t>
        </is>
      </c>
      <c r="AG205" t="inlineStr">
        <is>
          <t>HUAYLAS</t>
        </is>
      </c>
      <c r="AH205" t="inlineStr">
        <is>
          <t>HUAYLAS</t>
        </is>
      </c>
      <c r="AI205" s="116" t="n">
        <v>45716</v>
      </c>
      <c r="AJ205" s="116" t="n">
        <v>46002</v>
      </c>
      <c r="AK205" t="inlineStr">
        <is>
          <t>SALDO FINANCIAR</t>
        </is>
      </c>
      <c r="AL205" t="n">
        <v>4</v>
      </c>
      <c r="AM205" t="n">
        <v>550000</v>
      </c>
      <c r="AN205" t="n">
        <v>0</v>
      </c>
      <c r="AO205" t="n">
        <v>0</v>
      </c>
      <c r="AP205" s="39" t="n">
        <v>550000</v>
      </c>
      <c r="AQ205" s="39" t="n">
        <v>550000</v>
      </c>
      <c r="AR205" s="39" t="n">
        <v>0</v>
      </c>
      <c r="AS205" t="n">
        <v>0</v>
      </c>
      <c r="AT205" t="inlineStr">
        <is>
          <t>Ahorro</t>
        </is>
      </c>
      <c r="AU205" t="inlineStr">
        <is>
          <t>Scotiabank Perú</t>
        </is>
      </c>
      <c r="AV205" t="inlineStr">
        <is>
          <t>000-2768484</t>
        </is>
      </c>
      <c r="AW205" t="inlineStr">
        <is>
          <t>TRANSFERENCIA BANCARIA</t>
        </is>
      </c>
      <c r="AY205" t="inlineStr">
        <is>
          <t>11122025</t>
        </is>
      </c>
      <c r="AZ205" t="inlineStr">
        <is>
          <t>No</t>
        </is>
      </c>
      <c r="BB205" t="n">
        <v>4</v>
      </c>
      <c r="BC205" t="inlineStr">
        <is>
          <t>CANCELADO</t>
        </is>
      </c>
      <c r="BN205" t="inlineStr">
        <is>
          <t>Si</t>
        </is>
      </c>
      <c r="BO205" s="117" t="n">
        <v>45541.59444444445</v>
      </c>
      <c r="BP205" t="inlineStr">
        <is>
          <t>Carla Michue M</t>
        </is>
      </c>
      <c r="BR205" t="n">
        <v>21</v>
      </c>
      <c r="BS205" t="inlineStr">
        <is>
          <t>07/07/2026 09:35</t>
        </is>
      </c>
      <c r="BT205" t="n">
        <v>0</v>
      </c>
      <c r="BX205" t="inlineStr">
        <is>
          <t>Cobranzas_2025.csv</t>
        </is>
      </c>
      <c r="BY205" t="n">
        <v>2025</v>
      </c>
      <c r="BZ205" t="inlineStr">
        <is>
          <t>01/01/2024</t>
        </is>
      </c>
      <c r="CA205" t="inlineStr">
        <is>
          <t>30/09/2031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39" t="n">
        <v>498000</v>
      </c>
      <c r="H206" s="39" t="n">
        <v>460000</v>
      </c>
      <c r="M206" s="39" t="n"/>
      <c r="N206" s="39" t="n"/>
      <c r="S206" s="39" t="n"/>
      <c r="T206" s="39" t="n"/>
      <c r="Y206" s="39" t="n"/>
      <c r="Z206" s="39" t="n"/>
      <c r="AA206" t="inlineStr">
        <is>
          <t>Juana Mercedes Moran Peralta</t>
        </is>
      </c>
      <c r="AB206" t="inlineStr">
        <is>
          <t>03495726</t>
        </is>
      </c>
      <c r="AC206" t="inlineStr">
        <is>
          <t>Jr. Ignacio Álvarez Thomas 1573 - Dpto. 302</t>
        </is>
      </c>
      <c r="AD206" t="n">
        <v>0</v>
      </c>
      <c r="AE206" t="inlineStr">
        <is>
          <t>978122557</t>
        </is>
      </c>
      <c r="AF206" t="inlineStr">
        <is>
          <t>Juanamoran2371@gmail.com</t>
        </is>
      </c>
      <c r="AG206" t="inlineStr">
        <is>
          <t>LIMA</t>
        </is>
      </c>
      <c r="AH206" t="inlineStr">
        <is>
          <t>CERCADO DE LIMA</t>
        </is>
      </c>
      <c r="AI206" s="116" t="n">
        <v>45779</v>
      </c>
      <c r="AJ206" s="116" t="n">
        <v>45810</v>
      </c>
      <c r="AK206" t="inlineStr">
        <is>
          <t>SEPARACION</t>
        </is>
      </c>
      <c r="AL206" t="n">
        <v>1</v>
      </c>
      <c r="AM206" t="n">
        <v>3000</v>
      </c>
      <c r="AN206" t="n">
        <v>0</v>
      </c>
      <c r="AO206" t="n">
        <v>0</v>
      </c>
      <c r="AP206" s="39" t="n">
        <v>3000</v>
      </c>
      <c r="AQ206" s="39" t="n">
        <v>3000</v>
      </c>
      <c r="AR206" s="39" t="n">
        <v>0</v>
      </c>
      <c r="AS206" t="n">
        <v>0</v>
      </c>
      <c r="AT206" t="inlineStr">
        <is>
          <t>Ahorro</t>
        </is>
      </c>
      <c r="AU206" t="inlineStr">
        <is>
          <t>Banco de Credito del Perú</t>
        </is>
      </c>
      <c r="AV206" t="inlineStr">
        <is>
          <t>194-7325779-0-65</t>
        </is>
      </c>
      <c r="AW206" t="inlineStr">
        <is>
          <t>TRANSFERENCIA BANCARIA</t>
        </is>
      </c>
      <c r="AY206" t="inlineStr">
        <is>
          <t>03861109</t>
        </is>
      </c>
      <c r="AZ206" t="inlineStr">
        <is>
          <t>No</t>
        </is>
      </c>
      <c r="BB206" t="n">
        <v>4</v>
      </c>
      <c r="BC206" t="inlineStr">
        <is>
          <t>CANCELADO</t>
        </is>
      </c>
      <c r="BN206" t="inlineStr">
        <is>
          <t>Si</t>
        </is>
      </c>
      <c r="BO206" s="117" t="n">
        <v>46178.42777777778</v>
      </c>
      <c r="BP206" t="inlineStr">
        <is>
          <t>Magaly Guevara Perez</t>
        </is>
      </c>
      <c r="BR206" t="n">
        <v>29</v>
      </c>
      <c r="BS206" t="inlineStr">
        <is>
          <t>01/05/2026 18:02</t>
        </is>
      </c>
      <c r="BT206" t="n">
        <v>0</v>
      </c>
      <c r="BX206" t="inlineStr">
        <is>
          <t>Cobranzas_2025.csv</t>
        </is>
      </c>
      <c r="BY206" t="n">
        <v>2025</v>
      </c>
      <c r="BZ206" t="inlineStr">
        <is>
          <t>01/01/2024</t>
        </is>
      </c>
      <c r="CA206" t="inlineStr">
        <is>
          <t>30/09/2031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39" t="n">
        <v>692000</v>
      </c>
      <c r="H207" s="39" t="n">
        <v>692000</v>
      </c>
      <c r="M207" s="39" t="n"/>
      <c r="N207" s="39" t="n"/>
      <c r="S207" s="39" t="n"/>
      <c r="T207" s="39" t="n"/>
      <c r="Y207" s="39" t="n"/>
      <c r="Z207" s="39" t="n"/>
      <c r="AA207" t="inlineStr">
        <is>
          <t>Karina Cabanillas Correa</t>
        </is>
      </c>
      <c r="AB207" t="inlineStr">
        <is>
          <t>40065933</t>
        </is>
      </c>
      <c r="AC207" t="inlineStr">
        <is>
          <t xml:space="preserve">Jr. Huiracocha 1639 Dpto. 1503 </t>
        </is>
      </c>
      <c r="AD207" t="n">
        <v>0</v>
      </c>
      <c r="AE207" t="inlineStr">
        <is>
          <t>970096822</t>
        </is>
      </c>
      <c r="AF207" t="inlineStr">
        <is>
          <t>karicab13@gmail.com</t>
        </is>
      </c>
      <c r="AG207" t="inlineStr">
        <is>
          <t>LIMA</t>
        </is>
      </c>
      <c r="AH207" t="inlineStr">
        <is>
          <t>JESUS MARIA</t>
        </is>
      </c>
      <c r="AI207" s="116" t="n">
        <v>45680</v>
      </c>
      <c r="AJ207" s="116" t="n">
        <v>45680</v>
      </c>
      <c r="AK207" t="inlineStr">
        <is>
          <t>SEPARACION</t>
        </is>
      </c>
      <c r="AL207" t="n">
        <v>1</v>
      </c>
      <c r="AM207" t="n">
        <v>3000</v>
      </c>
      <c r="AN207" t="n">
        <v>0</v>
      </c>
      <c r="AO207" t="n">
        <v>0</v>
      </c>
      <c r="AP207" s="39" t="n">
        <v>3000</v>
      </c>
      <c r="AQ207" s="39" t="n">
        <v>3000</v>
      </c>
      <c r="AR207" s="39" t="n">
        <v>0</v>
      </c>
      <c r="AS207" t="n">
        <v>0</v>
      </c>
      <c r="AT207" t="inlineStr">
        <is>
          <t>Crédito Hipotecario</t>
        </is>
      </c>
      <c r="AU207" t="inlineStr">
        <is>
          <t>Scotiabank Perú</t>
        </is>
      </c>
      <c r="AV207" t="inlineStr">
        <is>
          <t>000-2768484</t>
        </is>
      </c>
      <c r="AW207" t="inlineStr">
        <is>
          <t>POS VISA</t>
        </is>
      </c>
      <c r="AY207" t="inlineStr">
        <is>
          <t>234305</t>
        </is>
      </c>
      <c r="AZ207" t="inlineStr">
        <is>
          <t>No</t>
        </is>
      </c>
      <c r="BB207" t="n">
        <v>4</v>
      </c>
      <c r="BC207" t="inlineStr">
        <is>
          <t>CANCELADO</t>
        </is>
      </c>
      <c r="BN207" t="inlineStr">
        <is>
          <t>Si</t>
        </is>
      </c>
      <c r="BO207" s="117" t="n">
        <v>45733.35069444445</v>
      </c>
      <c r="BP207" t="inlineStr">
        <is>
          <t>Magaly Guevara Perez</t>
        </is>
      </c>
      <c r="BR207" t="n">
        <v>42</v>
      </c>
      <c r="BS207" t="inlineStr">
        <is>
          <t>06/07/2026 08:19</t>
        </is>
      </c>
      <c r="BT207" t="n">
        <v>0</v>
      </c>
      <c r="BX207" t="inlineStr">
        <is>
          <t>Cobranzas_2025.csv</t>
        </is>
      </c>
      <c r="BY207" t="n">
        <v>2025</v>
      </c>
      <c r="BZ207" t="inlineStr">
        <is>
          <t>01/01/2024</t>
        </is>
      </c>
      <c r="CA207" t="inlineStr">
        <is>
          <t>30/09/2031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39" t="n">
        <v>692000</v>
      </c>
      <c r="H208" s="39" t="n">
        <v>692000</v>
      </c>
      <c r="M208" s="39" t="n"/>
      <c r="N208" s="39" t="n"/>
      <c r="S208" s="39" t="n"/>
      <c r="T208" s="39" t="n"/>
      <c r="Y208" s="39" t="n"/>
      <c r="Z208" s="39" t="n"/>
      <c r="AA208" t="inlineStr">
        <is>
          <t>Karina Cabanillas Correa</t>
        </is>
      </c>
      <c r="AB208" t="inlineStr">
        <is>
          <t>40065933</t>
        </is>
      </c>
      <c r="AC208" t="inlineStr">
        <is>
          <t xml:space="preserve">Jr. Huiracocha 1639 Dpto. 1503 </t>
        </is>
      </c>
      <c r="AD208" t="n">
        <v>0</v>
      </c>
      <c r="AE208" t="inlineStr">
        <is>
          <t>970096822</t>
        </is>
      </c>
      <c r="AF208" t="inlineStr">
        <is>
          <t>karicab13@gmail.com</t>
        </is>
      </c>
      <c r="AG208" t="inlineStr">
        <is>
          <t>LIMA</t>
        </is>
      </c>
      <c r="AH208" t="inlineStr">
        <is>
          <t>JESUS MARIA</t>
        </is>
      </c>
      <c r="AI208" s="116" t="n">
        <v>45733</v>
      </c>
      <c r="AJ208" s="116" t="n">
        <v>45733</v>
      </c>
      <c r="AK208" t="inlineStr">
        <is>
          <t>CUOTA INICIAL</t>
        </is>
      </c>
      <c r="AL208" t="n">
        <v>1</v>
      </c>
      <c r="AM208" t="n">
        <v>53300</v>
      </c>
      <c r="AN208" t="n">
        <v>0</v>
      </c>
      <c r="AO208" t="n">
        <v>0</v>
      </c>
      <c r="AP208" s="39" t="n">
        <v>53300</v>
      </c>
      <c r="AQ208" s="39" t="n">
        <v>53300</v>
      </c>
      <c r="AR208" s="39" t="n">
        <v>0</v>
      </c>
      <c r="AS208" t="n">
        <v>0</v>
      </c>
      <c r="AT208" t="inlineStr">
        <is>
          <t>Crédito Hipotecario</t>
        </is>
      </c>
      <c r="AU208" t="inlineStr">
        <is>
          <t>Scotiabank Perú</t>
        </is>
      </c>
      <c r="AV208" t="inlineStr">
        <is>
          <t>000-2768484</t>
        </is>
      </c>
      <c r="AW208" t="inlineStr">
        <is>
          <t>DEPOSITO EN CUENTA</t>
        </is>
      </c>
      <c r="AY208" t="inlineStr">
        <is>
          <t>U27813</t>
        </is>
      </c>
      <c r="AZ208" t="inlineStr">
        <is>
          <t>No</t>
        </is>
      </c>
      <c r="BB208" t="n">
        <v>4</v>
      </c>
      <c r="BC208" t="inlineStr">
        <is>
          <t>CANCELADO</t>
        </is>
      </c>
      <c r="BN208" t="inlineStr">
        <is>
          <t>Si</t>
        </is>
      </c>
      <c r="BO208" s="117" t="n">
        <v>45733.35069444445</v>
      </c>
      <c r="BP208" t="inlineStr">
        <is>
          <t>Magaly Guevara Perez</t>
        </is>
      </c>
      <c r="BR208" t="n">
        <v>42</v>
      </c>
      <c r="BS208" t="inlineStr">
        <is>
          <t>06/07/2026 08:21</t>
        </is>
      </c>
      <c r="BT208" t="n">
        <v>0</v>
      </c>
      <c r="BX208" t="inlineStr">
        <is>
          <t>Cobranzas_2025.csv</t>
        </is>
      </c>
      <c r="BY208" t="n">
        <v>2025</v>
      </c>
      <c r="BZ208" t="inlineStr">
        <is>
          <t>01/01/2024</t>
        </is>
      </c>
      <c r="CA208" t="inlineStr">
        <is>
          <t>30/09/2031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39" t="n">
        <v>692000</v>
      </c>
      <c r="H209" s="39" t="n">
        <v>692000</v>
      </c>
      <c r="M209" s="39" t="n"/>
      <c r="N209" s="39" t="n"/>
      <c r="S209" s="39" t="n"/>
      <c r="T209" s="39" t="n"/>
      <c r="Y209" s="39" t="n"/>
      <c r="Z209" s="39" t="n"/>
      <c r="AA209" t="inlineStr">
        <is>
          <t>Karina Cabanillas Correa</t>
        </is>
      </c>
      <c r="AB209" t="inlineStr">
        <is>
          <t>40065933</t>
        </is>
      </c>
      <c r="AC209" t="inlineStr">
        <is>
          <t xml:space="preserve">Jr. Huiracocha 1639 Dpto. 1503 </t>
        </is>
      </c>
      <c r="AD209" t="n">
        <v>0</v>
      </c>
      <c r="AE209" t="inlineStr">
        <is>
          <t>970096822</t>
        </is>
      </c>
      <c r="AF209" t="inlineStr">
        <is>
          <t>karicab13@gmail.com</t>
        </is>
      </c>
      <c r="AG209" t="inlineStr">
        <is>
          <t>LIMA</t>
        </is>
      </c>
      <c r="AH209" t="inlineStr">
        <is>
          <t>JESUS MARIA</t>
        </is>
      </c>
      <c r="AI209" s="116" t="n">
        <v>45734</v>
      </c>
      <c r="AJ209" s="116" t="n">
        <v>45734</v>
      </c>
      <c r="AK209" t="inlineStr">
        <is>
          <t>CUOTA INICIAL</t>
        </is>
      </c>
      <c r="AL209" t="n">
        <v>2</v>
      </c>
      <c r="AM209" t="n">
        <v>82100</v>
      </c>
      <c r="AN209" t="n">
        <v>0</v>
      </c>
      <c r="AO209" t="n">
        <v>0</v>
      </c>
      <c r="AP209" s="39" t="n">
        <v>82100</v>
      </c>
      <c r="AQ209" s="39" t="n">
        <v>82100</v>
      </c>
      <c r="AR209" s="39" t="n">
        <v>0</v>
      </c>
      <c r="AS209" t="n">
        <v>0</v>
      </c>
      <c r="AT209" t="inlineStr">
        <is>
          <t>Crédito Hipotecario</t>
        </is>
      </c>
      <c r="AU209" t="inlineStr">
        <is>
          <t>Scotiabank Perú</t>
        </is>
      </c>
      <c r="AV209" t="inlineStr">
        <is>
          <t>000-2768484</t>
        </is>
      </c>
      <c r="AW209" t="inlineStr">
        <is>
          <t>DEPOSITO EN CUENTA</t>
        </is>
      </c>
      <c r="AY209" t="inlineStr">
        <is>
          <t>U27102</t>
        </is>
      </c>
      <c r="AZ209" t="inlineStr">
        <is>
          <t>No</t>
        </is>
      </c>
      <c r="BB209" t="n">
        <v>4</v>
      </c>
      <c r="BC209" t="inlineStr">
        <is>
          <t>CANCELADO</t>
        </is>
      </c>
      <c r="BN209" t="inlineStr">
        <is>
          <t>Si</t>
        </is>
      </c>
      <c r="BO209" s="117" t="n">
        <v>45733.35069444445</v>
      </c>
      <c r="BP209" t="inlineStr">
        <is>
          <t>Magaly Guevara Perez</t>
        </is>
      </c>
      <c r="BR209" t="n">
        <v>42</v>
      </c>
      <c r="BS209" t="inlineStr">
        <is>
          <t>06/07/2026 08:23</t>
        </is>
      </c>
      <c r="BT209" t="n">
        <v>0</v>
      </c>
      <c r="BX209" t="inlineStr">
        <is>
          <t>Cobranzas_2025.csv</t>
        </is>
      </c>
      <c r="BY209" t="n">
        <v>2025</v>
      </c>
      <c r="BZ209" t="inlineStr">
        <is>
          <t>01/01/2024</t>
        </is>
      </c>
      <c r="CA209" t="inlineStr">
        <is>
          <t>30/09/2031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39" t="n">
        <v>692000</v>
      </c>
      <c r="H210" s="39" t="n">
        <v>692000</v>
      </c>
      <c r="M210" s="39" t="n"/>
      <c r="N210" s="39" t="n"/>
      <c r="S210" s="39" t="n"/>
      <c r="T210" s="39" t="n"/>
      <c r="Y210" s="39" t="n"/>
      <c r="Z210" s="39" t="n"/>
      <c r="AA210" t="inlineStr">
        <is>
          <t>Karina Cabanillas Correa</t>
        </is>
      </c>
      <c r="AB210" t="inlineStr">
        <is>
          <t>40065933</t>
        </is>
      </c>
      <c r="AC210" t="inlineStr">
        <is>
          <t xml:space="preserve">Jr. Huiracocha 1639 Dpto. 1503 </t>
        </is>
      </c>
      <c r="AD210" t="n">
        <v>0</v>
      </c>
      <c r="AE210" t="inlineStr">
        <is>
          <t>970096822</t>
        </is>
      </c>
      <c r="AF210" t="inlineStr">
        <is>
          <t>karicab13@gmail.com</t>
        </is>
      </c>
      <c r="AG210" t="inlineStr">
        <is>
          <t>LIMA</t>
        </is>
      </c>
      <c r="AH210" t="inlineStr">
        <is>
          <t>JESUS MARIA</t>
        </is>
      </c>
      <c r="AI210" s="116" t="n">
        <v>45746</v>
      </c>
      <c r="AJ210" s="116" t="n">
        <v>45747</v>
      </c>
      <c r="AK210" t="inlineStr">
        <is>
          <t>SALDO FINANCIAR</t>
        </is>
      </c>
      <c r="AL210" t="n">
        <v>1</v>
      </c>
      <c r="AM210" t="n">
        <v>553600</v>
      </c>
      <c r="AN210" t="n">
        <v>0</v>
      </c>
      <c r="AO210" t="n">
        <v>0</v>
      </c>
      <c r="AP210" s="39" t="n">
        <v>553600</v>
      </c>
      <c r="AQ210" s="39" t="n">
        <v>553600</v>
      </c>
      <c r="AR210" s="39" t="n">
        <v>0</v>
      </c>
      <c r="AS210" t="n">
        <v>0</v>
      </c>
      <c r="AT210" t="inlineStr">
        <is>
          <t>Crédito Hipotecario</t>
        </is>
      </c>
      <c r="AU210" t="inlineStr">
        <is>
          <t>Scotiabank Perú</t>
        </is>
      </c>
      <c r="AV210" t="inlineStr">
        <is>
          <t>000-2768484</t>
        </is>
      </c>
      <c r="AW210" t="inlineStr">
        <is>
          <t>TRANSFERENCIA BANCARIA</t>
        </is>
      </c>
      <c r="AY210" t="inlineStr">
        <is>
          <t>300320025</t>
        </is>
      </c>
      <c r="AZ210" t="inlineStr">
        <is>
          <t>No</t>
        </is>
      </c>
      <c r="BB210" t="n">
        <v>4</v>
      </c>
      <c r="BC210" t="inlineStr">
        <is>
          <t>CANCELADO</t>
        </is>
      </c>
      <c r="BN210" t="inlineStr">
        <is>
          <t>Si</t>
        </is>
      </c>
      <c r="BO210" s="117" t="n">
        <v>45733.35069444445</v>
      </c>
      <c r="BP210" t="inlineStr">
        <is>
          <t>Magaly Guevara Perez</t>
        </is>
      </c>
      <c r="BR210" t="n">
        <v>42</v>
      </c>
      <c r="BS210" t="inlineStr">
        <is>
          <t>06/07/2026 08:27</t>
        </is>
      </c>
      <c r="BT210" t="n">
        <v>0</v>
      </c>
      <c r="BX210" t="inlineStr">
        <is>
          <t>Cobranzas_2025.csv</t>
        </is>
      </c>
      <c r="BY210" t="n">
        <v>2025</v>
      </c>
      <c r="BZ210" t="inlineStr">
        <is>
          <t>01/01/2024</t>
        </is>
      </c>
      <c r="CA210" t="inlineStr">
        <is>
          <t>30/09/2031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39" t="n">
        <v>52000</v>
      </c>
      <c r="H211" s="39" t="n">
        <v>52000</v>
      </c>
      <c r="M211" s="39" t="n"/>
      <c r="N211" s="39" t="n"/>
      <c r="S211" s="39" t="n"/>
      <c r="T211" s="39" t="n"/>
      <c r="Y211" s="39" t="n"/>
      <c r="Z211" s="39" t="n"/>
      <c r="AA211" t="inlineStr">
        <is>
          <t>Karina Cabanillas Correa</t>
        </is>
      </c>
      <c r="AB211" t="inlineStr">
        <is>
          <t>40065933</t>
        </is>
      </c>
      <c r="AC211" t="inlineStr">
        <is>
          <t xml:space="preserve">Jr. Huiracocha 1639 Dpto. 1503 </t>
        </is>
      </c>
      <c r="AD211" t="n">
        <v>0</v>
      </c>
      <c r="AE211" t="inlineStr">
        <is>
          <t>970096822</t>
        </is>
      </c>
      <c r="AF211" t="inlineStr">
        <is>
          <t>karicab13@gmail.com</t>
        </is>
      </c>
      <c r="AG211" t="inlineStr">
        <is>
          <t>LIMA</t>
        </is>
      </c>
      <c r="AH211" t="inlineStr">
        <is>
          <t>JESUS MARIA</t>
        </is>
      </c>
      <c r="AI211" s="116" t="n">
        <v>45813</v>
      </c>
      <c r="AJ211" s="116" t="n">
        <v>45813</v>
      </c>
      <c r="AK211" t="inlineStr">
        <is>
          <t>SEPARACION</t>
        </is>
      </c>
      <c r="AL211" t="n">
        <v>1</v>
      </c>
      <c r="AM211" t="n">
        <v>3000</v>
      </c>
      <c r="AN211" t="n">
        <v>0</v>
      </c>
      <c r="AO211" t="n">
        <v>0</v>
      </c>
      <c r="AP211" s="39" t="n">
        <v>3000</v>
      </c>
      <c r="AQ211" s="39" t="n">
        <v>3000</v>
      </c>
      <c r="AR211" s="39" t="n">
        <v>0</v>
      </c>
      <c r="AS211" t="n">
        <v>0</v>
      </c>
      <c r="AT211" t="inlineStr">
        <is>
          <t>Crédito Directo</t>
        </is>
      </c>
      <c r="AU211" t="inlineStr">
        <is>
          <t>Scotiabank Perú</t>
        </is>
      </c>
      <c r="AV211" t="inlineStr">
        <is>
          <t>000-2768484</t>
        </is>
      </c>
      <c r="AW211" t="inlineStr">
        <is>
          <t>TRANSFERENCIA BANCARIA</t>
        </is>
      </c>
      <c r="AY211" t="inlineStr">
        <is>
          <t>0000064220000000</t>
        </is>
      </c>
      <c r="AZ211" t="inlineStr">
        <is>
          <t>No</t>
        </is>
      </c>
      <c r="BB211" t="n">
        <v>4</v>
      </c>
      <c r="BC211" t="inlineStr">
        <is>
          <t>CANCELADO</t>
        </is>
      </c>
      <c r="BN211" t="inlineStr">
        <is>
          <t>Si</t>
        </is>
      </c>
      <c r="BO211" s="117" t="n">
        <v>45886.67847222222</v>
      </c>
      <c r="BP211" t="inlineStr">
        <is>
          <t>Carla Michue M</t>
        </is>
      </c>
      <c r="BR211" t="n">
        <v>65</v>
      </c>
      <c r="BS211" t="inlineStr">
        <is>
          <t>07/07/2026 16:46</t>
        </is>
      </c>
      <c r="BT211" t="n">
        <v>0</v>
      </c>
      <c r="BX211" t="inlineStr">
        <is>
          <t>Cobranzas_2025.csv</t>
        </is>
      </c>
      <c r="BY211" t="n">
        <v>2025</v>
      </c>
      <c r="BZ211" t="inlineStr">
        <is>
          <t>01/01/2024</t>
        </is>
      </c>
      <c r="CA211" t="inlineStr">
        <is>
          <t>30/09/2031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39" t="n">
        <v>52000</v>
      </c>
      <c r="H212" s="39" t="n">
        <v>52000</v>
      </c>
      <c r="M212" s="39" t="n"/>
      <c r="N212" s="39" t="n"/>
      <c r="S212" s="39" t="n"/>
      <c r="T212" s="39" t="n"/>
      <c r="Y212" s="39" t="n"/>
      <c r="Z212" s="39" t="n"/>
      <c r="AA212" t="inlineStr">
        <is>
          <t>Karina Cabanillas Correa</t>
        </is>
      </c>
      <c r="AB212" t="inlineStr">
        <is>
          <t>40065933</t>
        </is>
      </c>
      <c r="AC212" t="inlineStr">
        <is>
          <t xml:space="preserve">Jr. Huiracocha 1639 Dpto. 1503 </t>
        </is>
      </c>
      <c r="AD212" t="n">
        <v>0</v>
      </c>
      <c r="AE212" t="inlineStr">
        <is>
          <t>970096822</t>
        </is>
      </c>
      <c r="AF212" t="inlineStr">
        <is>
          <t>karicab13@gmail.com</t>
        </is>
      </c>
      <c r="AG212" t="inlineStr">
        <is>
          <t>LIMA</t>
        </is>
      </c>
      <c r="AH212" t="inlineStr">
        <is>
          <t>JESUS MARIA</t>
        </is>
      </c>
      <c r="AI212" s="116" t="n">
        <v>45813</v>
      </c>
      <c r="AJ212" s="116" t="n">
        <v>45813</v>
      </c>
      <c r="AK212" t="inlineStr">
        <is>
          <t>CUOTA INICIAL</t>
        </is>
      </c>
      <c r="AL212" t="n">
        <v>1</v>
      </c>
      <c r="AM212" t="n">
        <v>0</v>
      </c>
      <c r="AN212" t="n">
        <v>0</v>
      </c>
      <c r="AO212" t="n">
        <v>0</v>
      </c>
      <c r="AP212" s="39" t="n">
        <v>7000</v>
      </c>
      <c r="AQ212" s="39" t="n">
        <v>5000</v>
      </c>
      <c r="AR212" s="39" t="n">
        <v>0</v>
      </c>
      <c r="AS212" t="n">
        <v>0</v>
      </c>
      <c r="AT212" t="inlineStr">
        <is>
          <t>Crédito Directo</t>
        </is>
      </c>
      <c r="AU212" t="inlineStr">
        <is>
          <t>Scotiabank Perú</t>
        </is>
      </c>
      <c r="AV212" t="inlineStr">
        <is>
          <t>000-2768484</t>
        </is>
      </c>
      <c r="AW212" t="inlineStr">
        <is>
          <t>TRANSFERENCIA BANCARIA</t>
        </is>
      </c>
      <c r="AY212" t="inlineStr">
        <is>
          <t>00000642200000</t>
        </is>
      </c>
      <c r="AZ212" t="inlineStr">
        <is>
          <t>No</t>
        </is>
      </c>
      <c r="BB212" t="n">
        <v>4</v>
      </c>
      <c r="BC212" t="inlineStr">
        <is>
          <t>CANCELADO</t>
        </is>
      </c>
      <c r="BN212" t="inlineStr">
        <is>
          <t>Si</t>
        </is>
      </c>
      <c r="BO212" s="117" t="n">
        <v>45886.67847222222</v>
      </c>
      <c r="BP212" t="inlineStr">
        <is>
          <t>Carla Michue M</t>
        </is>
      </c>
      <c r="BR212" t="n">
        <v>65</v>
      </c>
      <c r="BS212" t="inlineStr">
        <is>
          <t>07/07/2026 16:48</t>
        </is>
      </c>
      <c r="BT212" t="n">
        <v>0</v>
      </c>
      <c r="BX212" t="inlineStr">
        <is>
          <t>Cobranzas_2025.csv</t>
        </is>
      </c>
      <c r="BY212" t="n">
        <v>2025</v>
      </c>
      <c r="BZ212" t="inlineStr">
        <is>
          <t>01/01/2024</t>
        </is>
      </c>
      <c r="CA212" t="inlineStr">
        <is>
          <t>30/09/2031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39" t="n">
        <v>52000</v>
      </c>
      <c r="H213" s="39" t="n">
        <v>52000</v>
      </c>
      <c r="M213" s="39" t="n"/>
      <c r="N213" s="39" t="n"/>
      <c r="S213" s="39" t="n"/>
      <c r="T213" s="39" t="n"/>
      <c r="Y213" s="39" t="n"/>
      <c r="Z213" s="39" t="n"/>
      <c r="AA213" t="inlineStr">
        <is>
          <t>Karina Cabanillas Correa</t>
        </is>
      </c>
      <c r="AB213" t="inlineStr">
        <is>
          <t>40065933</t>
        </is>
      </c>
      <c r="AC213" t="inlineStr">
        <is>
          <t xml:space="preserve">Jr. Huiracocha 1639 Dpto. 1503 </t>
        </is>
      </c>
      <c r="AD213" t="n">
        <v>0</v>
      </c>
      <c r="AE213" t="inlineStr">
        <is>
          <t>970096822</t>
        </is>
      </c>
      <c r="AF213" t="inlineStr">
        <is>
          <t>karicab13@gmail.com</t>
        </is>
      </c>
      <c r="AG213" t="inlineStr">
        <is>
          <t>LIMA</t>
        </is>
      </c>
      <c r="AH213" t="inlineStr">
        <is>
          <t>JESUS MARIA</t>
        </is>
      </c>
      <c r="AI213" s="116" t="n">
        <v>45813</v>
      </c>
      <c r="AJ213" s="116" t="n">
        <v>45813</v>
      </c>
      <c r="AK213" t="inlineStr">
        <is>
          <t>CUOTA INICIAL</t>
        </is>
      </c>
      <c r="AL213" t="n">
        <v>1</v>
      </c>
      <c r="AM213" t="n">
        <v>7000</v>
      </c>
      <c r="AN213" t="n">
        <v>0</v>
      </c>
      <c r="AO213" t="n">
        <v>0</v>
      </c>
      <c r="AP213" s="39" t="n">
        <v>0</v>
      </c>
      <c r="AQ213" s="39" t="n">
        <v>2000</v>
      </c>
      <c r="AR213" s="39" t="n">
        <v>0</v>
      </c>
      <c r="AS213" t="n">
        <v>0</v>
      </c>
      <c r="AT213" t="inlineStr">
        <is>
          <t>Crédito Directo</t>
        </is>
      </c>
      <c r="AU213" t="inlineStr">
        <is>
          <t>Scotiabank Perú</t>
        </is>
      </c>
      <c r="AV213" t="inlineStr">
        <is>
          <t>000-2768484</t>
        </is>
      </c>
      <c r="AW213" t="inlineStr">
        <is>
          <t>TRANSFERENCIA BANCARIA</t>
        </is>
      </c>
      <c r="AY213" t="inlineStr">
        <is>
          <t>03332995</t>
        </is>
      </c>
      <c r="AZ213" t="inlineStr">
        <is>
          <t>No</t>
        </is>
      </c>
      <c r="BB213" t="n">
        <v>4</v>
      </c>
      <c r="BC213" t="inlineStr">
        <is>
          <t>CANCELADO</t>
        </is>
      </c>
      <c r="BN213" t="inlineStr">
        <is>
          <t>Si</t>
        </is>
      </c>
      <c r="BO213" s="117" t="n">
        <v>45886.67847222222</v>
      </c>
      <c r="BP213" t="inlineStr">
        <is>
          <t>Carla Michue M</t>
        </is>
      </c>
      <c r="BR213" t="n">
        <v>65</v>
      </c>
      <c r="BS213" t="inlineStr">
        <is>
          <t>07/07/2026 16:48</t>
        </is>
      </c>
      <c r="BT213" t="n">
        <v>0</v>
      </c>
      <c r="BX213" t="inlineStr">
        <is>
          <t>Cobranzas_2025.csv</t>
        </is>
      </c>
      <c r="BY213" t="n">
        <v>2025</v>
      </c>
      <c r="BZ213" t="inlineStr">
        <is>
          <t>01/01/2024</t>
        </is>
      </c>
      <c r="CA213" t="inlineStr">
        <is>
          <t>30/09/2031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39" t="n">
        <v>52000</v>
      </c>
      <c r="H214" s="39" t="n">
        <v>52000</v>
      </c>
      <c r="M214" s="39" t="n"/>
      <c r="N214" s="39" t="n"/>
      <c r="S214" s="39" t="n"/>
      <c r="T214" s="39" t="n"/>
      <c r="Y214" s="39" t="n"/>
      <c r="Z214" s="39" t="n"/>
      <c r="AA214" t="inlineStr">
        <is>
          <t>Karina Cabanillas Correa</t>
        </is>
      </c>
      <c r="AB214" t="inlineStr">
        <is>
          <t>40065933</t>
        </is>
      </c>
      <c r="AC214" t="inlineStr">
        <is>
          <t xml:space="preserve">Jr. Huiracocha 1639 Dpto. 1503 </t>
        </is>
      </c>
      <c r="AD214" t="n">
        <v>0</v>
      </c>
      <c r="AE214" t="inlineStr">
        <is>
          <t>970096822</t>
        </is>
      </c>
      <c r="AF214" t="inlineStr">
        <is>
          <t>karicab13@gmail.com</t>
        </is>
      </c>
      <c r="AG214" t="inlineStr">
        <is>
          <t>LIMA</t>
        </is>
      </c>
      <c r="AH214" t="inlineStr">
        <is>
          <t>JESUS MARIA</t>
        </is>
      </c>
      <c r="AI214" s="116" t="n">
        <v>45900</v>
      </c>
      <c r="AJ214" s="116" t="n">
        <v>45886</v>
      </c>
      <c r="AK214" t="inlineStr">
        <is>
          <t>SALDO FINANCIAR</t>
        </is>
      </c>
      <c r="AL214" t="n">
        <v>1</v>
      </c>
      <c r="AM214" t="n">
        <v>8500</v>
      </c>
      <c r="AN214" t="n">
        <v>0</v>
      </c>
      <c r="AO214" t="n">
        <v>0</v>
      </c>
      <c r="AP214" s="39" t="n">
        <v>8500</v>
      </c>
      <c r="AQ214" s="39" t="n">
        <v>8500</v>
      </c>
      <c r="AR214" s="39" t="n">
        <v>0</v>
      </c>
      <c r="AS214" t="n">
        <v>0</v>
      </c>
      <c r="AT214" t="inlineStr">
        <is>
          <t>Crédito Directo</t>
        </is>
      </c>
      <c r="AU214" t="inlineStr">
        <is>
          <t>Scotiabank Perú</t>
        </is>
      </c>
      <c r="AV214" t="inlineStr">
        <is>
          <t>000-2768484</t>
        </is>
      </c>
      <c r="AW214" t="inlineStr">
        <is>
          <t>TRANSFERENCIA BANCARIA</t>
        </is>
      </c>
      <c r="AY214" t="inlineStr">
        <is>
          <t>000064980000000</t>
        </is>
      </c>
      <c r="AZ214" t="inlineStr">
        <is>
          <t>No</t>
        </is>
      </c>
      <c r="BB214" t="n">
        <v>4</v>
      </c>
      <c r="BC214" t="inlineStr">
        <is>
          <t>CANCELADO</t>
        </is>
      </c>
      <c r="BN214" t="inlineStr">
        <is>
          <t>Si</t>
        </is>
      </c>
      <c r="BO214" s="117" t="n">
        <v>45886.67847222222</v>
      </c>
      <c r="BP214" t="inlineStr">
        <is>
          <t>Carla Michue M</t>
        </is>
      </c>
      <c r="BR214" t="n">
        <v>65</v>
      </c>
      <c r="BS214" t="inlineStr">
        <is>
          <t>07/07/2026 16:49</t>
        </is>
      </c>
      <c r="BT214" t="n">
        <v>0</v>
      </c>
      <c r="BX214" t="inlineStr">
        <is>
          <t>Cobranzas_2025.csv</t>
        </is>
      </c>
      <c r="BY214" t="n">
        <v>2025</v>
      </c>
      <c r="BZ214" t="inlineStr">
        <is>
          <t>01/01/2024</t>
        </is>
      </c>
      <c r="CA214" t="inlineStr">
        <is>
          <t>30/09/2031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39" t="n">
        <v>52000</v>
      </c>
      <c r="H215" s="39" t="n">
        <v>52000</v>
      </c>
      <c r="M215" s="39" t="n"/>
      <c r="N215" s="39" t="n"/>
      <c r="S215" s="39" t="n"/>
      <c r="T215" s="39" t="n"/>
      <c r="Y215" s="39" t="n"/>
      <c r="Z215" s="39" t="n"/>
      <c r="AA215" t="inlineStr">
        <is>
          <t>Karina Cabanillas Correa</t>
        </is>
      </c>
      <c r="AB215" t="inlineStr">
        <is>
          <t>40065933</t>
        </is>
      </c>
      <c r="AC215" t="inlineStr">
        <is>
          <t xml:space="preserve">Jr. Huiracocha 1639 Dpto. 1503 </t>
        </is>
      </c>
      <c r="AD215" t="n">
        <v>0</v>
      </c>
      <c r="AE215" t="inlineStr">
        <is>
          <t>970096822</t>
        </is>
      </c>
      <c r="AF215" t="inlineStr">
        <is>
          <t>karicab13@gmail.com</t>
        </is>
      </c>
      <c r="AG215" t="inlineStr">
        <is>
          <t>LIMA</t>
        </is>
      </c>
      <c r="AH215" t="inlineStr">
        <is>
          <t>JESUS MARIA</t>
        </is>
      </c>
      <c r="AI215" s="116" t="n">
        <v>45930</v>
      </c>
      <c r="AJ215" s="116" t="n">
        <v>45908</v>
      </c>
      <c r="AK215" t="inlineStr">
        <is>
          <t>SALDO FINANCIAR</t>
        </is>
      </c>
      <c r="AL215" t="n">
        <v>2</v>
      </c>
      <c r="AM215" t="n">
        <v>1350</v>
      </c>
      <c r="AN215" t="n">
        <v>0</v>
      </c>
      <c r="AO215" t="n">
        <v>0</v>
      </c>
      <c r="AP215" s="39" t="n">
        <v>1350</v>
      </c>
      <c r="AQ215" s="39" t="n">
        <v>1350</v>
      </c>
      <c r="AR215" s="39" t="n">
        <v>0</v>
      </c>
      <c r="AS215" t="n">
        <v>0</v>
      </c>
      <c r="AT215" t="inlineStr">
        <is>
          <t>Crédito Directo</t>
        </is>
      </c>
      <c r="AU215" t="inlineStr">
        <is>
          <t>Scotiabank Perú</t>
        </is>
      </c>
      <c r="AV215" t="inlineStr">
        <is>
          <t>000-2768484</t>
        </is>
      </c>
      <c r="AW215" t="inlineStr">
        <is>
          <t>TRANSFERENCIA BANCARIA</t>
        </is>
      </c>
      <c r="AY215" t="inlineStr">
        <is>
          <t>000006520000000</t>
        </is>
      </c>
      <c r="AZ215" t="inlineStr">
        <is>
          <t>No</t>
        </is>
      </c>
      <c r="BB215" t="n">
        <v>4</v>
      </c>
      <c r="BC215" t="inlineStr">
        <is>
          <t>CANCELADO</t>
        </is>
      </c>
      <c r="BN215" t="inlineStr">
        <is>
          <t>Si</t>
        </is>
      </c>
      <c r="BO215" s="117" t="n">
        <v>45886.67847222222</v>
      </c>
      <c r="BP215" t="inlineStr">
        <is>
          <t>Carla Michue M</t>
        </is>
      </c>
      <c r="BR215" t="n">
        <v>65</v>
      </c>
      <c r="BS215" t="inlineStr">
        <is>
          <t>07/07/2026 16:50</t>
        </is>
      </c>
      <c r="BT215" t="n">
        <v>0</v>
      </c>
      <c r="BX215" t="inlineStr">
        <is>
          <t>Cobranzas_2025.csv</t>
        </is>
      </c>
      <c r="BY215" t="n">
        <v>2025</v>
      </c>
      <c r="BZ215" t="inlineStr">
        <is>
          <t>01/01/2024</t>
        </is>
      </c>
      <c r="CA215" t="inlineStr">
        <is>
          <t>30/09/2031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39" t="n">
        <v>52000</v>
      </c>
      <c r="H216" s="39" t="n">
        <v>52000</v>
      </c>
      <c r="M216" s="39" t="n"/>
      <c r="N216" s="39" t="n"/>
      <c r="S216" s="39" t="n"/>
      <c r="T216" s="39" t="n"/>
      <c r="Y216" s="39" t="n"/>
      <c r="Z216" s="39" t="n"/>
      <c r="AA216" t="inlineStr">
        <is>
          <t>Karina Cabanillas Correa</t>
        </is>
      </c>
      <c r="AB216" t="inlineStr">
        <is>
          <t>40065933</t>
        </is>
      </c>
      <c r="AC216" t="inlineStr">
        <is>
          <t xml:space="preserve">Jr. Huiracocha 1639 Dpto. 1503 </t>
        </is>
      </c>
      <c r="AD216" t="n">
        <v>0</v>
      </c>
      <c r="AE216" t="inlineStr">
        <is>
          <t>970096822</t>
        </is>
      </c>
      <c r="AF216" t="inlineStr">
        <is>
          <t>karicab13@gmail.com</t>
        </is>
      </c>
      <c r="AG216" t="inlineStr">
        <is>
          <t>LIMA</t>
        </is>
      </c>
      <c r="AH216" t="inlineStr">
        <is>
          <t>JESUS MARIA</t>
        </is>
      </c>
      <c r="AI216" s="116" t="n">
        <v>45961</v>
      </c>
      <c r="AJ216" s="116" t="n">
        <v>45943</v>
      </c>
      <c r="AK216" t="inlineStr">
        <is>
          <t>SALDO FINANCIAR</t>
        </is>
      </c>
      <c r="AL216" t="n">
        <v>3</v>
      </c>
      <c r="AM216" t="n">
        <v>1350</v>
      </c>
      <c r="AN216" t="n">
        <v>0</v>
      </c>
      <c r="AO216" t="n">
        <v>0</v>
      </c>
      <c r="AP216" s="39" t="n">
        <v>1350</v>
      </c>
      <c r="AQ216" s="39" t="n">
        <v>1350</v>
      </c>
      <c r="AR216" s="39" t="n">
        <v>0</v>
      </c>
      <c r="AS216" t="n">
        <v>0</v>
      </c>
      <c r="AT216" t="inlineStr">
        <is>
          <t>Crédito Directo</t>
        </is>
      </c>
      <c r="AU216" t="inlineStr">
        <is>
          <t>Scotiabank Perú</t>
        </is>
      </c>
      <c r="AV216" t="inlineStr">
        <is>
          <t>000-2768484</t>
        </is>
      </c>
      <c r="AW216" t="inlineStr">
        <is>
          <t>TRANSFERENCIA BANCARIA</t>
        </is>
      </c>
      <c r="AY216" t="inlineStr">
        <is>
          <t>6558</t>
        </is>
      </c>
      <c r="AZ216" t="inlineStr">
        <is>
          <t>No</t>
        </is>
      </c>
      <c r="BB216" t="n">
        <v>4</v>
      </c>
      <c r="BC216" t="inlineStr">
        <is>
          <t>CANCELADO</t>
        </is>
      </c>
      <c r="BN216" t="inlineStr">
        <is>
          <t>Si</t>
        </is>
      </c>
      <c r="BO216" s="117" t="n">
        <v>45886.67847222222</v>
      </c>
      <c r="BP216" t="inlineStr">
        <is>
          <t>Carla Michue M</t>
        </is>
      </c>
      <c r="BR216" t="n">
        <v>65</v>
      </c>
      <c r="BS216" t="inlineStr">
        <is>
          <t>07/07/2026 16:51</t>
        </is>
      </c>
      <c r="BT216" t="n">
        <v>0</v>
      </c>
      <c r="BX216" t="inlineStr">
        <is>
          <t>Cobranzas_2025.csv</t>
        </is>
      </c>
      <c r="BY216" t="n">
        <v>2025</v>
      </c>
      <c r="BZ216" t="inlineStr">
        <is>
          <t>01/01/2024</t>
        </is>
      </c>
      <c r="CA216" t="inlineStr">
        <is>
          <t>30/09/2031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39" t="n">
        <v>52000</v>
      </c>
      <c r="H217" s="39" t="n">
        <v>52000</v>
      </c>
      <c r="M217" s="39" t="n"/>
      <c r="N217" s="39" t="n"/>
      <c r="S217" s="39" t="n"/>
      <c r="T217" s="39" t="n"/>
      <c r="Y217" s="39" t="n"/>
      <c r="Z217" s="39" t="n"/>
      <c r="AA217" t="inlineStr">
        <is>
          <t>Karina Cabanillas Correa</t>
        </is>
      </c>
      <c r="AB217" t="inlineStr">
        <is>
          <t>40065933</t>
        </is>
      </c>
      <c r="AC217" t="inlineStr">
        <is>
          <t xml:space="preserve">Jr. Huiracocha 1639 Dpto. 1503 </t>
        </is>
      </c>
      <c r="AD217" t="n">
        <v>0</v>
      </c>
      <c r="AE217" t="inlineStr">
        <is>
          <t>970096822</t>
        </is>
      </c>
      <c r="AF217" t="inlineStr">
        <is>
          <t>karicab13@gmail.com</t>
        </is>
      </c>
      <c r="AG217" t="inlineStr">
        <is>
          <t>LIMA</t>
        </is>
      </c>
      <c r="AH217" t="inlineStr">
        <is>
          <t>JESUS MARIA</t>
        </is>
      </c>
      <c r="AI217" s="116" t="n">
        <v>45991</v>
      </c>
      <c r="AJ217" s="116" t="n">
        <v>45967</v>
      </c>
      <c r="AK217" t="inlineStr">
        <is>
          <t>SALDO FINANCIAR</t>
        </is>
      </c>
      <c r="AL217" t="n">
        <v>4</v>
      </c>
      <c r="AM217" t="n">
        <v>1350</v>
      </c>
      <c r="AN217" t="n">
        <v>0</v>
      </c>
      <c r="AO217" t="n">
        <v>0</v>
      </c>
      <c r="AP217" s="39" t="n">
        <v>1350</v>
      </c>
      <c r="AQ217" s="39" t="n">
        <v>1350</v>
      </c>
      <c r="AR217" s="39" t="n">
        <v>0</v>
      </c>
      <c r="AS217" t="n">
        <v>0</v>
      </c>
      <c r="AT217" t="inlineStr">
        <is>
          <t>Crédito Directo</t>
        </is>
      </c>
      <c r="AU217" t="inlineStr">
        <is>
          <t>Scotiabank Perú</t>
        </is>
      </c>
      <c r="AV217" t="inlineStr">
        <is>
          <t>000-2768484</t>
        </is>
      </c>
      <c r="AW217" t="inlineStr">
        <is>
          <t>TRANSFERENCIA BANCARIA</t>
        </is>
      </c>
      <c r="AY217" t="inlineStr">
        <is>
          <t>5546205</t>
        </is>
      </c>
      <c r="AZ217" t="inlineStr">
        <is>
          <t>No</t>
        </is>
      </c>
      <c r="BB217" t="n">
        <v>4</v>
      </c>
      <c r="BC217" t="inlineStr">
        <is>
          <t>CANCELADO</t>
        </is>
      </c>
      <c r="BN217" t="inlineStr">
        <is>
          <t>Si</t>
        </is>
      </c>
      <c r="BO217" s="117" t="n">
        <v>45886.67847222222</v>
      </c>
      <c r="BP217" t="inlineStr">
        <is>
          <t>Carla Michue M</t>
        </is>
      </c>
      <c r="BR217" t="n">
        <v>65</v>
      </c>
      <c r="BS217" t="inlineStr">
        <is>
          <t>07/07/2026 16:52</t>
        </is>
      </c>
      <c r="BT217" t="n">
        <v>0</v>
      </c>
      <c r="BX217" t="inlineStr">
        <is>
          <t>Cobranzas_2025.csv</t>
        </is>
      </c>
      <c r="BY217" t="n">
        <v>2025</v>
      </c>
      <c r="BZ217" t="inlineStr">
        <is>
          <t>01/01/2024</t>
        </is>
      </c>
      <c r="CA217" t="inlineStr">
        <is>
          <t>30/09/2031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39" t="n">
        <v>52000</v>
      </c>
      <c r="H218" s="39" t="n">
        <v>52000</v>
      </c>
      <c r="M218" s="39" t="n"/>
      <c r="N218" s="39" t="n"/>
      <c r="S218" s="39" t="n"/>
      <c r="T218" s="39" t="n"/>
      <c r="Y218" s="39" t="n"/>
      <c r="Z218" s="39" t="n"/>
      <c r="AA218" t="inlineStr">
        <is>
          <t>Karina Cabanillas Correa</t>
        </is>
      </c>
      <c r="AB218" t="inlineStr">
        <is>
          <t>40065933</t>
        </is>
      </c>
      <c r="AC218" t="inlineStr">
        <is>
          <t xml:space="preserve">Jr. Huiracocha 1639 Dpto. 1503 </t>
        </is>
      </c>
      <c r="AD218" t="n">
        <v>0</v>
      </c>
      <c r="AE218" t="inlineStr">
        <is>
          <t>970096822</t>
        </is>
      </c>
      <c r="AF218" t="inlineStr">
        <is>
          <t>karicab13@gmail.com</t>
        </is>
      </c>
      <c r="AG218" t="inlineStr">
        <is>
          <t>LIMA</t>
        </is>
      </c>
      <c r="AH218" t="inlineStr">
        <is>
          <t>JESUS MARIA</t>
        </is>
      </c>
      <c r="AI218" s="116" t="n">
        <v>46022</v>
      </c>
      <c r="AJ218" s="116" t="n">
        <v>46007</v>
      </c>
      <c r="AK218" t="inlineStr">
        <is>
          <t>SALDO FINANCIAR</t>
        </is>
      </c>
      <c r="AL218" t="n">
        <v>5</v>
      </c>
      <c r="AM218" t="n">
        <v>1350</v>
      </c>
      <c r="AN218" t="n">
        <v>0</v>
      </c>
      <c r="AO218" t="n">
        <v>0</v>
      </c>
      <c r="AP218" s="39" t="n">
        <v>1350</v>
      </c>
      <c r="AQ218" s="39" t="n">
        <v>1350</v>
      </c>
      <c r="AR218" s="39" t="n">
        <v>0</v>
      </c>
      <c r="AS218" t="n">
        <v>0</v>
      </c>
      <c r="AT218" t="inlineStr">
        <is>
          <t>Crédito Directo</t>
        </is>
      </c>
      <c r="AU218" t="inlineStr">
        <is>
          <t>Scotiabank Perú</t>
        </is>
      </c>
      <c r="AV218" t="inlineStr">
        <is>
          <t>000-2768484</t>
        </is>
      </c>
      <c r="AW218" t="inlineStr">
        <is>
          <t>TRANSFERENCIA BANCARIA</t>
        </is>
      </c>
      <c r="AY218" t="inlineStr">
        <is>
          <t>0000006617000000</t>
        </is>
      </c>
      <c r="AZ218" t="inlineStr">
        <is>
          <t>No</t>
        </is>
      </c>
      <c r="BB218" t="n">
        <v>4</v>
      </c>
      <c r="BC218" t="inlineStr">
        <is>
          <t>CANCELADO</t>
        </is>
      </c>
      <c r="BN218" t="inlineStr">
        <is>
          <t>Si</t>
        </is>
      </c>
      <c r="BO218" s="117" t="n">
        <v>45886.67847222222</v>
      </c>
      <c r="BP218" t="inlineStr">
        <is>
          <t>Carla Michue M</t>
        </is>
      </c>
      <c r="BR218" t="n">
        <v>65</v>
      </c>
      <c r="BS218" t="inlineStr">
        <is>
          <t>12/08/2026 12:08</t>
        </is>
      </c>
      <c r="BT218" t="n">
        <v>0</v>
      </c>
      <c r="BX218" t="inlineStr">
        <is>
          <t>Cobranzas_2025.csv</t>
        </is>
      </c>
      <c r="BY218" t="n">
        <v>2025</v>
      </c>
      <c r="BZ218" t="inlineStr">
        <is>
          <t>01/01/2024</t>
        </is>
      </c>
      <c r="CA218" t="inlineStr">
        <is>
          <t>30/09/2031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39" t="n">
        <v>504700</v>
      </c>
      <c r="H219" s="39" t="n">
        <v>458000</v>
      </c>
      <c r="M219" s="39" t="n"/>
      <c r="N219" s="39" t="n"/>
      <c r="S219" s="39" t="n"/>
      <c r="T219" s="39" t="n"/>
      <c r="Y219" s="39" t="n"/>
      <c r="Z219" s="39" t="n"/>
      <c r="AA219" t="inlineStr">
        <is>
          <t>Leidy Lucero Espíritu Zabarburu</t>
        </is>
      </c>
      <c r="AB219" t="inlineStr">
        <is>
          <t>76936857</t>
        </is>
      </c>
      <c r="AC219" t="inlineStr">
        <is>
          <t>Av. José Arnaldo Márquez Nº 1655 – Dpto.403</t>
        </is>
      </c>
      <c r="AD219" t="n">
        <v>0</v>
      </c>
      <c r="AE219" t="inlineStr">
        <is>
          <t>966435253</t>
        </is>
      </c>
      <c r="AF219" t="inlineStr">
        <is>
          <t>lespiritu@zgroup.com.pe</t>
        </is>
      </c>
      <c r="AG219" t="inlineStr">
        <is>
          <t>LIMA</t>
        </is>
      </c>
      <c r="AH219" t="inlineStr">
        <is>
          <t>JESUS MARIA</t>
        </is>
      </c>
      <c r="AI219" s="116" t="n">
        <v>45925</v>
      </c>
      <c r="AJ219" s="116" t="n">
        <v>45925</v>
      </c>
      <c r="AK219" t="inlineStr">
        <is>
          <t>SEPARACION</t>
        </is>
      </c>
      <c r="AL219" t="n">
        <v>1</v>
      </c>
      <c r="AM219" t="n">
        <v>3000</v>
      </c>
      <c r="AN219" t="n">
        <v>0</v>
      </c>
      <c r="AO219" t="n">
        <v>0</v>
      </c>
      <c r="AP219" s="39" t="n">
        <v>3000</v>
      </c>
      <c r="AQ219" s="39" t="n">
        <v>3000</v>
      </c>
      <c r="AR219" s="39" t="n">
        <v>0</v>
      </c>
      <c r="AS219" t="n">
        <v>0</v>
      </c>
      <c r="AT219" t="inlineStr">
        <is>
          <t>Ahorro</t>
        </is>
      </c>
      <c r="AU219" t="inlineStr">
        <is>
          <t>Banco de Credito del Perú</t>
        </is>
      </c>
      <c r="AV219" t="inlineStr">
        <is>
          <t>194-7325779-0-65</t>
        </is>
      </c>
      <c r="AW219" t="inlineStr">
        <is>
          <t>TRANSFERENCIA BANCARIA</t>
        </is>
      </c>
      <c r="AY219" t="inlineStr">
        <is>
          <t>04037482</t>
        </is>
      </c>
      <c r="AZ219" t="inlineStr">
        <is>
          <t>No</t>
        </is>
      </c>
      <c r="BB219" t="n">
        <v>4</v>
      </c>
      <c r="BC219" t="inlineStr">
        <is>
          <t>CANCELADO</t>
        </is>
      </c>
      <c r="BN219" t="inlineStr">
        <is>
          <t>Si</t>
        </is>
      </c>
      <c r="BO219" s="117" t="n">
        <v>46057.42013888889</v>
      </c>
      <c r="BP219" t="inlineStr">
        <is>
          <t>Magaly Guevara Perez</t>
        </is>
      </c>
      <c r="BR219" t="n">
        <v>25</v>
      </c>
      <c r="BS219" t="inlineStr">
        <is>
          <t>01/05/2026 16:29</t>
        </is>
      </c>
      <c r="BT219" t="n">
        <v>0</v>
      </c>
      <c r="BX219" t="inlineStr">
        <is>
          <t>Cobranzas_2025.csv</t>
        </is>
      </c>
      <c r="BY219" t="n">
        <v>2025</v>
      </c>
      <c r="BZ219" t="inlineStr">
        <is>
          <t>01/01/2024</t>
        </is>
      </c>
      <c r="CA219" t="inlineStr">
        <is>
          <t>30/09/2031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39" t="n">
        <v>534000</v>
      </c>
      <c r="H220" s="39" t="n">
        <v>534000</v>
      </c>
      <c r="I220" t="inlineStr">
        <is>
          <t>Edificio</t>
        </is>
      </c>
      <c r="J220" t="inlineStr">
        <is>
          <t>A</t>
        </is>
      </c>
      <c r="K220" t="inlineStr">
        <is>
          <t>Estacionamiento</t>
        </is>
      </c>
      <c r="L220" t="inlineStr">
        <is>
          <t>E 17</t>
        </is>
      </c>
      <c r="M220" s="39" t="n">
        <v>43000</v>
      </c>
      <c r="N220" s="39" t="n">
        <v>43000</v>
      </c>
      <c r="S220" s="39" t="n"/>
      <c r="T220" s="39" t="n"/>
      <c r="Y220" s="39" t="n"/>
      <c r="Z220" s="39" t="n"/>
      <c r="AA220" t="inlineStr">
        <is>
          <t>Leidy Pilar Espinoza Mariño</t>
        </is>
      </c>
      <c r="AB220" t="inlineStr">
        <is>
          <t>46546054</t>
        </is>
      </c>
      <c r="AC220" t="inlineStr">
        <is>
          <t>LAS AZUCENAS LT-34 MZ-F- HUMAYA</t>
        </is>
      </c>
      <c r="AD220" t="n">
        <v>0</v>
      </c>
      <c r="AE220" t="inlineStr">
        <is>
          <t>945411554</t>
        </is>
      </c>
      <c r="AF220" t="inlineStr">
        <is>
          <t>leidyespinoza30@gmail.com</t>
        </is>
      </c>
      <c r="AG220" t="inlineStr">
        <is>
          <t>HUAURA</t>
        </is>
      </c>
      <c r="AH220" t="inlineStr">
        <is>
          <t>HUAURA</t>
        </is>
      </c>
      <c r="AI220" s="116" t="n">
        <v>45897</v>
      </c>
      <c r="AJ220" s="116" t="n">
        <v>45897</v>
      </c>
      <c r="AK220" t="inlineStr">
        <is>
          <t>SEPARACION</t>
        </is>
      </c>
      <c r="AL220" t="n">
        <v>1</v>
      </c>
      <c r="AM220" t="n">
        <v>3000</v>
      </c>
      <c r="AN220" t="n">
        <v>0</v>
      </c>
      <c r="AO220" t="n">
        <v>0</v>
      </c>
      <c r="AP220" s="39" t="n">
        <v>3000</v>
      </c>
      <c r="AQ220" s="39" t="n">
        <v>3000</v>
      </c>
      <c r="AR220" s="39" t="n">
        <v>0</v>
      </c>
      <c r="AS220" t="n">
        <v>0</v>
      </c>
      <c r="AT220" t="inlineStr">
        <is>
          <t>Crédito Hipotecario</t>
        </is>
      </c>
      <c r="AU220" t="inlineStr">
        <is>
          <t>Scotiabank Perú</t>
        </is>
      </c>
      <c r="AV220" t="inlineStr">
        <is>
          <t>0004071419</t>
        </is>
      </c>
      <c r="AW220" t="inlineStr">
        <is>
          <t>TRANSFERENCIA BANCARIA</t>
        </is>
      </c>
      <c r="AY220" t="inlineStr">
        <is>
          <t>5545523</t>
        </is>
      </c>
      <c r="AZ220" t="inlineStr">
        <is>
          <t>No</t>
        </is>
      </c>
      <c r="BB220" t="n">
        <v>4</v>
      </c>
      <c r="BC220" t="inlineStr">
        <is>
          <t>CANCELADO</t>
        </is>
      </c>
      <c r="BN220" t="inlineStr">
        <is>
          <t>Si</t>
        </is>
      </c>
      <c r="BO220" s="117" t="n">
        <v>45922.33680555555</v>
      </c>
      <c r="BP220" t="inlineStr">
        <is>
          <t>Magaly Guevara Perez</t>
        </is>
      </c>
      <c r="BR220" t="n">
        <v>5</v>
      </c>
      <c r="BS220" t="inlineStr">
        <is>
          <t>24/05/2026 16:09</t>
        </is>
      </c>
      <c r="BT220" t="n">
        <v>0</v>
      </c>
      <c r="BX220" t="inlineStr">
        <is>
          <t>Cobranzas_2025.csv</t>
        </is>
      </c>
      <c r="BY220" t="n">
        <v>2025</v>
      </c>
      <c r="BZ220" t="inlineStr">
        <is>
          <t>01/01/2024</t>
        </is>
      </c>
      <c r="CA220" t="inlineStr">
        <is>
          <t>30/09/2031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39" t="n">
        <v>534000</v>
      </c>
      <c r="H221" s="39" t="n">
        <v>534000</v>
      </c>
      <c r="I221" t="inlineStr">
        <is>
          <t>Edificio</t>
        </is>
      </c>
      <c r="J221" t="inlineStr">
        <is>
          <t>A</t>
        </is>
      </c>
      <c r="K221" t="inlineStr">
        <is>
          <t>Estacionamiento</t>
        </is>
      </c>
      <c r="L221" t="inlineStr">
        <is>
          <t>E 17</t>
        </is>
      </c>
      <c r="M221" s="39" t="n">
        <v>43000</v>
      </c>
      <c r="N221" s="39" t="n">
        <v>43000</v>
      </c>
      <c r="S221" s="39" t="n"/>
      <c r="T221" s="39" t="n"/>
      <c r="Y221" s="39" t="n"/>
      <c r="Z221" s="39" t="n"/>
      <c r="AA221" t="inlineStr">
        <is>
          <t>Leidy Pilar Espinoza Mariño</t>
        </is>
      </c>
      <c r="AB221" t="inlineStr">
        <is>
          <t>46546054</t>
        </is>
      </c>
      <c r="AC221" t="inlineStr">
        <is>
          <t>LAS AZUCENAS LT-34 MZ-F- HUMAYA</t>
        </is>
      </c>
      <c r="AD221" t="n">
        <v>0</v>
      </c>
      <c r="AE221" t="inlineStr">
        <is>
          <t>945411554</t>
        </is>
      </c>
      <c r="AF221" t="inlineStr">
        <is>
          <t>leidyespinoza30@gmail.com</t>
        </is>
      </c>
      <c r="AG221" t="inlineStr">
        <is>
          <t>HUAURA</t>
        </is>
      </c>
      <c r="AH221" t="inlineStr">
        <is>
          <t>HUAURA</t>
        </is>
      </c>
      <c r="AI221" s="116" t="n">
        <v>45922</v>
      </c>
      <c r="AJ221" s="116" t="n">
        <v>45922</v>
      </c>
      <c r="AK221" t="inlineStr">
        <is>
          <t>CUOTA INICIAL</t>
        </is>
      </c>
      <c r="AL221" t="n">
        <v>1</v>
      </c>
      <c r="AM221" t="n">
        <v>25850</v>
      </c>
      <c r="AN221" t="n">
        <v>0</v>
      </c>
      <c r="AO221" t="n">
        <v>0</v>
      </c>
      <c r="AP221" s="39" t="n">
        <v>25850</v>
      </c>
      <c r="AQ221" s="39" t="n">
        <v>25850</v>
      </c>
      <c r="AR221" s="39" t="n">
        <v>0</v>
      </c>
      <c r="AS221" t="n">
        <v>0</v>
      </c>
      <c r="AT221" t="inlineStr">
        <is>
          <t>Crédito Hipotecario</t>
        </is>
      </c>
      <c r="AU221" t="inlineStr">
        <is>
          <t>Scotiabank Perú</t>
        </is>
      </c>
      <c r="AV221" t="inlineStr">
        <is>
          <t>0004071419</t>
        </is>
      </c>
      <c r="AW221" t="inlineStr">
        <is>
          <t>TRANSFERENCIA BANCARIA</t>
        </is>
      </c>
      <c r="AY221" t="inlineStr">
        <is>
          <t>5569260</t>
        </is>
      </c>
      <c r="AZ221" t="inlineStr">
        <is>
          <t>No</t>
        </is>
      </c>
      <c r="BB221" t="n">
        <v>4</v>
      </c>
      <c r="BC221" t="inlineStr">
        <is>
          <t>CANCELADO</t>
        </is>
      </c>
      <c r="BN221" t="inlineStr">
        <is>
          <t>Si</t>
        </is>
      </c>
      <c r="BO221" s="117" t="n">
        <v>45922.33680555555</v>
      </c>
      <c r="BP221" t="inlineStr">
        <is>
          <t>Magaly Guevara Perez</t>
        </is>
      </c>
      <c r="BR221" t="n">
        <v>5</v>
      </c>
      <c r="BS221" t="inlineStr">
        <is>
          <t>24/05/2026 16:13</t>
        </is>
      </c>
      <c r="BT221" t="n">
        <v>0</v>
      </c>
      <c r="BX221" t="inlineStr">
        <is>
          <t>Cobranzas_2025.csv</t>
        </is>
      </c>
      <c r="BY221" t="n">
        <v>2025</v>
      </c>
      <c r="BZ221" t="inlineStr">
        <is>
          <t>01/01/2024</t>
        </is>
      </c>
      <c r="CA221" t="inlineStr">
        <is>
          <t>30/09/2031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39" t="n">
        <v>654000</v>
      </c>
      <c r="H222" s="39" t="n">
        <v>654000</v>
      </c>
      <c r="M222" s="39" t="n"/>
      <c r="N222" s="39" t="n"/>
      <c r="S222" s="39" t="n"/>
      <c r="T222" s="39" t="n"/>
      <c r="Y222" s="39" t="n"/>
      <c r="Z222" s="39" t="n"/>
      <c r="AA222" t="inlineStr">
        <is>
          <t>Luis Alberto Ovalle Huamanguilla</t>
        </is>
      </c>
      <c r="AB222" t="inlineStr">
        <is>
          <t>43953371</t>
        </is>
      </c>
      <c r="AC222" t="inlineStr">
        <is>
          <t>JR. NAPO NRO. 821</t>
        </is>
      </c>
      <c r="AE222" t="inlineStr">
        <is>
          <t>992764943</t>
        </is>
      </c>
      <c r="AF222" t="inlineStr">
        <is>
          <t>aovalle2212@gmail.com</t>
        </is>
      </c>
      <c r="AG222" t="inlineStr">
        <is>
          <t>LIMA</t>
        </is>
      </c>
      <c r="AH222" t="inlineStr">
        <is>
          <t>BREÑA</t>
        </is>
      </c>
      <c r="AI222" s="116" t="n">
        <v>45688</v>
      </c>
      <c r="AJ222" s="116" t="n">
        <v>45747</v>
      </c>
      <c r="AK222" t="inlineStr">
        <is>
          <t>SALDO FINANCIAR</t>
        </is>
      </c>
      <c r="AL222" t="n">
        <v>1</v>
      </c>
      <c r="AM222" t="n">
        <v>588600</v>
      </c>
      <c r="AN222" t="n">
        <v>0</v>
      </c>
      <c r="AO222" t="n">
        <v>0</v>
      </c>
      <c r="AP222" s="39" t="n">
        <v>588600</v>
      </c>
      <c r="AQ222" s="39" t="n">
        <v>588600</v>
      </c>
      <c r="AR222" s="39" t="n">
        <v>0</v>
      </c>
      <c r="AS222" t="n">
        <v>0</v>
      </c>
      <c r="AT222" t="inlineStr">
        <is>
          <t>Ahorro</t>
        </is>
      </c>
      <c r="AU222" t="inlineStr">
        <is>
          <t>Scotiabank Perú</t>
        </is>
      </c>
      <c r="AV222" t="inlineStr">
        <is>
          <t>000-2768484</t>
        </is>
      </c>
      <c r="AW222" t="inlineStr">
        <is>
          <t>TRANSFERENCIA BANCARIA</t>
        </is>
      </c>
      <c r="AY222" t="inlineStr">
        <is>
          <t>31032025</t>
        </is>
      </c>
      <c r="AZ222" t="inlineStr">
        <is>
          <t>No</t>
        </is>
      </c>
      <c r="BB222" t="n">
        <v>4</v>
      </c>
      <c r="BC222" t="inlineStr">
        <is>
          <t>CANCELADO</t>
        </is>
      </c>
      <c r="BN222" t="inlineStr">
        <is>
          <t>Si</t>
        </is>
      </c>
      <c r="BO222" s="117" t="n">
        <v>45567.69444444445</v>
      </c>
      <c r="BP222" t="inlineStr">
        <is>
          <t>Carla Michue M</t>
        </is>
      </c>
      <c r="BR222" t="n">
        <v>11</v>
      </c>
      <c r="BS222" t="inlineStr">
        <is>
          <t>07/07/2026 11:06</t>
        </is>
      </c>
      <c r="BT222" t="n">
        <v>0</v>
      </c>
      <c r="BX222" t="inlineStr">
        <is>
          <t>Cobranzas_2025.csv</t>
        </is>
      </c>
      <c r="BY222" t="n">
        <v>2025</v>
      </c>
      <c r="BZ222" t="inlineStr">
        <is>
          <t>01/01/2024</t>
        </is>
      </c>
      <c r="CA222" t="inlineStr">
        <is>
          <t>30/09/2031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39" t="n">
        <v>52000</v>
      </c>
      <c r="H223" s="39" t="n">
        <v>52000</v>
      </c>
      <c r="M223" s="39" t="n"/>
      <c r="N223" s="39" t="n"/>
      <c r="S223" s="39" t="n"/>
      <c r="T223" s="39" t="n"/>
      <c r="Y223" s="39" t="n"/>
      <c r="Z223" s="39" t="n"/>
      <c r="AA223" t="inlineStr">
        <is>
          <t>Luis Alberto Ovalle Huamanguilla</t>
        </is>
      </c>
      <c r="AB223" t="inlineStr">
        <is>
          <t>43953371</t>
        </is>
      </c>
      <c r="AC223" t="inlineStr">
        <is>
          <t>JR. NAPO NRO. 821</t>
        </is>
      </c>
      <c r="AD223" t="n">
        <v>0</v>
      </c>
      <c r="AE223" t="inlineStr">
        <is>
          <t>992764943</t>
        </is>
      </c>
      <c r="AF223" t="inlineStr">
        <is>
          <t>aovalle2212@gmail.com</t>
        </is>
      </c>
      <c r="AG223" t="inlineStr">
        <is>
          <t>LIMA</t>
        </is>
      </c>
      <c r="AH223" t="inlineStr">
        <is>
          <t>BREÑA</t>
        </is>
      </c>
      <c r="AI223" s="116" t="n">
        <v>45922</v>
      </c>
      <c r="AJ223" s="116" t="n">
        <v>45922</v>
      </c>
      <c r="AK223" t="inlineStr">
        <is>
          <t>SEPARACION</t>
        </is>
      </c>
      <c r="AL223" t="n">
        <v>1</v>
      </c>
      <c r="AM223" t="n">
        <v>5000</v>
      </c>
      <c r="AN223" t="n">
        <v>0</v>
      </c>
      <c r="AO223" t="n">
        <v>0</v>
      </c>
      <c r="AP223" s="39" t="n">
        <v>5000</v>
      </c>
      <c r="AQ223" s="39" t="n">
        <v>5000</v>
      </c>
      <c r="AR223" s="39" t="n">
        <v>0</v>
      </c>
      <c r="AS223" t="n">
        <v>0</v>
      </c>
      <c r="AT223" t="inlineStr">
        <is>
          <t>Crédito Directo</t>
        </is>
      </c>
      <c r="AU223" t="inlineStr">
        <is>
          <t>Scotiabank Perú</t>
        </is>
      </c>
      <c r="AV223" t="inlineStr">
        <is>
          <t>000-2768484</t>
        </is>
      </c>
      <c r="AW223" t="inlineStr">
        <is>
          <t>TRANSFERENCIA BANCARIA</t>
        </is>
      </c>
      <c r="AY223" t="inlineStr">
        <is>
          <t>7844655522346</t>
        </is>
      </c>
      <c r="AZ223" t="inlineStr">
        <is>
          <t>No</t>
        </is>
      </c>
      <c r="BB223" t="n">
        <v>4</v>
      </c>
      <c r="BC223" t="inlineStr">
        <is>
          <t>CANCELADO</t>
        </is>
      </c>
      <c r="BN223" t="inlineStr">
        <is>
          <t>Si</t>
        </is>
      </c>
      <c r="BO223" s="117" t="n">
        <v>46112.72361111111</v>
      </c>
      <c r="BP223" t="inlineStr">
        <is>
          <t>Magaly Guevara Perez</t>
        </is>
      </c>
      <c r="BR223" t="n">
        <v>60</v>
      </c>
      <c r="BS223" t="inlineStr">
        <is>
          <t>07/07/2026 11:19</t>
        </is>
      </c>
      <c r="BT223" t="n">
        <v>0</v>
      </c>
      <c r="BX223" t="inlineStr">
        <is>
          <t>Cobranzas_2025.csv</t>
        </is>
      </c>
      <c r="BY223" t="n">
        <v>2025</v>
      </c>
      <c r="BZ223" t="inlineStr">
        <is>
          <t>01/01/2024</t>
        </is>
      </c>
      <c r="CA223" t="inlineStr">
        <is>
          <t>30/09/2031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39" t="n">
        <v>518500</v>
      </c>
      <c r="H224" s="39" t="n">
        <v>470000</v>
      </c>
      <c r="M224" s="39" t="n"/>
      <c r="N224" s="39" t="n"/>
      <c r="S224" s="39" t="n"/>
      <c r="T224" s="39" t="n"/>
      <c r="Y224" s="39" t="n"/>
      <c r="Z224" s="39" t="n"/>
      <c r="AA224" t="inlineStr">
        <is>
          <t>Luis Alberto Vargas Chacaltana</t>
        </is>
      </c>
      <c r="AB224" t="inlineStr">
        <is>
          <t>09389936</t>
        </is>
      </c>
      <c r="AC224" t="inlineStr">
        <is>
          <t>Los Tilos 388 – 392</t>
        </is>
      </c>
      <c r="AD224" t="n">
        <v>0</v>
      </c>
      <c r="AE224" t="inlineStr">
        <is>
          <t>946890596</t>
        </is>
      </c>
      <c r="AF224" t="inlineStr">
        <is>
          <t>nicolle1095@gmail.com</t>
        </is>
      </c>
      <c r="AG224" t="inlineStr">
        <is>
          <t>LIMA</t>
        </is>
      </c>
      <c r="AH224" t="inlineStr">
        <is>
          <t>SANTIAGO DE SURCO</t>
        </is>
      </c>
      <c r="AI224" s="116" t="n">
        <v>45904</v>
      </c>
      <c r="AJ224" s="116" t="n">
        <v>45904</v>
      </c>
      <c r="AK224" t="inlineStr">
        <is>
          <t>SEPARACION</t>
        </is>
      </c>
      <c r="AL224" t="n">
        <v>1</v>
      </c>
      <c r="AM224" t="n">
        <v>3000</v>
      </c>
      <c r="AN224" t="n">
        <v>0</v>
      </c>
      <c r="AO224" t="n">
        <v>0</v>
      </c>
      <c r="AP224" s="39" t="n">
        <v>3000</v>
      </c>
      <c r="AQ224" s="39" t="n">
        <v>3000</v>
      </c>
      <c r="AR224" s="39" t="n">
        <v>0</v>
      </c>
      <c r="AS224" t="n">
        <v>0</v>
      </c>
      <c r="AT224" t="inlineStr">
        <is>
          <t>Crédito Directo</t>
        </is>
      </c>
      <c r="AU224" t="inlineStr">
        <is>
          <t>Banco de Credito del Perú</t>
        </is>
      </c>
      <c r="AV224" t="inlineStr">
        <is>
          <t>194-7325779-0-65</t>
        </is>
      </c>
      <c r="AW224" t="inlineStr">
        <is>
          <t>TRANSFERENCIA BANCARIA</t>
        </is>
      </c>
      <c r="AY224" t="inlineStr">
        <is>
          <t>2544000000000</t>
        </is>
      </c>
      <c r="AZ224" t="inlineStr">
        <is>
          <t>No</t>
        </is>
      </c>
      <c r="BB224" t="n">
        <v>4</v>
      </c>
      <c r="BC224" t="inlineStr">
        <is>
          <t>CANCELADO</t>
        </is>
      </c>
      <c r="BN224" t="inlineStr">
        <is>
          <t>Si</t>
        </is>
      </c>
      <c r="BO224" s="117" t="n">
        <v>45932.42222222222</v>
      </c>
      <c r="BP224" t="inlineStr">
        <is>
          <t>Carla Michue M</t>
        </is>
      </c>
      <c r="BR224" t="n">
        <v>26</v>
      </c>
      <c r="BS224" t="inlineStr">
        <is>
          <t>02/09/2026 11:25</t>
        </is>
      </c>
      <c r="BT224" t="n">
        <v>0</v>
      </c>
      <c r="BX224" t="inlineStr">
        <is>
          <t>Cobranzas_2025.csv</t>
        </is>
      </c>
      <c r="BY224" t="n">
        <v>2025</v>
      </c>
      <c r="BZ224" t="inlineStr">
        <is>
          <t>01/01/2024</t>
        </is>
      </c>
      <c r="CA224" t="inlineStr">
        <is>
          <t>30/09/2031</t>
        </is>
      </c>
    </row>
    <row r="225">
      <c r="A225" t="inlineStr">
        <is>
          <t>RESIDENCIAL BEYOND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401</t>
        </is>
      </c>
      <c r="G225" s="39" t="n">
        <v>518500</v>
      </c>
      <c r="H225" s="39" t="n">
        <v>470000</v>
      </c>
      <c r="M225" s="39" t="n"/>
      <c r="N225" s="39" t="n"/>
      <c r="S225" s="39" t="n"/>
      <c r="T225" s="39" t="n"/>
      <c r="Y225" s="39" t="n"/>
      <c r="Z225" s="39" t="n"/>
      <c r="AA225" t="inlineStr">
        <is>
          <t>Luis Alberto Vargas Chacaltana</t>
        </is>
      </c>
      <c r="AB225" t="inlineStr">
        <is>
          <t>09389936</t>
        </is>
      </c>
      <c r="AC225" t="inlineStr">
        <is>
          <t>Los Tilos 388 – 392</t>
        </is>
      </c>
      <c r="AD225" t="n">
        <v>0</v>
      </c>
      <c r="AE225" t="inlineStr">
        <is>
          <t>946890596</t>
        </is>
      </c>
      <c r="AF225" t="inlineStr">
        <is>
          <t>nicolle1095@gmail.com</t>
        </is>
      </c>
      <c r="AG225" t="inlineStr">
        <is>
          <t>LIMA</t>
        </is>
      </c>
      <c r="AH225" t="inlineStr">
        <is>
          <t>SANTIAGO DE SURCO</t>
        </is>
      </c>
      <c r="AI225" s="116" t="n">
        <v>45932</v>
      </c>
      <c r="AJ225" s="116" t="n">
        <v>45932</v>
      </c>
      <c r="AK225" t="inlineStr">
        <is>
          <t>CUOTA INICIAL</t>
        </is>
      </c>
      <c r="AL225" t="n">
        <v>1</v>
      </c>
      <c r="AM225" t="n">
        <v>138000</v>
      </c>
      <c r="AN225" t="n">
        <v>0</v>
      </c>
      <c r="AO225" t="n">
        <v>0</v>
      </c>
      <c r="AP225" s="39" t="n">
        <v>138000</v>
      </c>
      <c r="AQ225" s="39" t="n">
        <v>138000</v>
      </c>
      <c r="AR225" s="39" t="n">
        <v>0</v>
      </c>
      <c r="AS225" t="n">
        <v>0</v>
      </c>
      <c r="AT225" t="inlineStr">
        <is>
          <t>Crédito Directo</t>
        </is>
      </c>
      <c r="AU225" t="inlineStr">
        <is>
          <t>Banco de Credito del Perú</t>
        </is>
      </c>
      <c r="AV225" t="inlineStr">
        <is>
          <t>194-7325779-0-65</t>
        </is>
      </c>
      <c r="AW225" t="inlineStr">
        <is>
          <t>CHEQUE DE GERENCIA</t>
        </is>
      </c>
      <c r="AX225" t="inlineStr">
        <is>
          <t>0417259</t>
        </is>
      </c>
      <c r="AY225" t="inlineStr">
        <is>
          <t>U100170</t>
        </is>
      </c>
      <c r="AZ225" t="inlineStr">
        <is>
          <t>No</t>
        </is>
      </c>
      <c r="BB225" t="n">
        <v>4</v>
      </c>
      <c r="BC225" t="inlineStr">
        <is>
          <t>CANCELADO</t>
        </is>
      </c>
      <c r="BN225" t="inlineStr">
        <is>
          <t>Si</t>
        </is>
      </c>
      <c r="BO225" s="117" t="n">
        <v>45932.42222222222</v>
      </c>
      <c r="BP225" t="inlineStr">
        <is>
          <t>Carla Michue M</t>
        </is>
      </c>
      <c r="BR225" t="n">
        <v>26</v>
      </c>
      <c r="BS225" t="inlineStr">
        <is>
          <t>02/09/2026 11:30</t>
        </is>
      </c>
      <c r="BT225" t="n">
        <v>0</v>
      </c>
      <c r="BX225" t="inlineStr">
        <is>
          <t>Cobranzas_2025.csv</t>
        </is>
      </c>
      <c r="BY225" t="n">
        <v>2025</v>
      </c>
      <c r="BZ225" t="inlineStr">
        <is>
          <t>01/01/2024</t>
        </is>
      </c>
      <c r="CA225" t="inlineStr">
        <is>
          <t>30/09/2031</t>
        </is>
      </c>
    </row>
    <row r="226">
      <c r="A226" t="inlineStr">
        <is>
          <t>RESIDENCIAL BEYOND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401</t>
        </is>
      </c>
      <c r="G226" s="39" t="n">
        <v>518500</v>
      </c>
      <c r="H226" s="39" t="n">
        <v>470000</v>
      </c>
      <c r="M226" s="39" t="n"/>
      <c r="N226" s="39" t="n"/>
      <c r="S226" s="39" t="n"/>
      <c r="T226" s="39" t="n"/>
      <c r="Y226" s="39" t="n"/>
      <c r="Z226" s="39" t="n"/>
      <c r="AA226" t="inlineStr">
        <is>
          <t>Luis Alberto Vargas Chacaltana</t>
        </is>
      </c>
      <c r="AB226" t="inlineStr">
        <is>
          <t>09389936</t>
        </is>
      </c>
      <c r="AC226" t="inlineStr">
        <is>
          <t>Los Tilos 388 – 392</t>
        </is>
      </c>
      <c r="AD226" t="n">
        <v>0</v>
      </c>
      <c r="AE226" t="inlineStr">
        <is>
          <t>946890596</t>
        </is>
      </c>
      <c r="AF226" t="inlineStr">
        <is>
          <t>nicolle1095@gmail.com</t>
        </is>
      </c>
      <c r="AG226" t="inlineStr">
        <is>
          <t>LIMA</t>
        </is>
      </c>
      <c r="AH226" t="inlineStr">
        <is>
          <t>SANTIAGO DE SURCO</t>
        </is>
      </c>
      <c r="AI226" s="116" t="n">
        <v>46021</v>
      </c>
      <c r="AJ226" s="116" t="n">
        <v>46044</v>
      </c>
      <c r="AK226" t="inlineStr">
        <is>
          <t>SALDO FINANCIAR</t>
        </is>
      </c>
      <c r="AL226" t="n">
        <v>1</v>
      </c>
      <c r="AM226" t="n">
        <v>47000</v>
      </c>
      <c r="AN226" t="n">
        <v>0</v>
      </c>
      <c r="AO226" t="n">
        <v>0</v>
      </c>
      <c r="AP226" s="39" t="n">
        <v>47000</v>
      </c>
      <c r="AQ226" s="39" t="n">
        <v>47000</v>
      </c>
      <c r="AR226" s="39" t="n">
        <v>0</v>
      </c>
      <c r="AS226" t="n">
        <v>0</v>
      </c>
      <c r="AT226" t="inlineStr">
        <is>
          <t>Crédito Directo</t>
        </is>
      </c>
      <c r="AU226" t="inlineStr">
        <is>
          <t>Banco de Credito del Perú</t>
        </is>
      </c>
      <c r="AV226" t="inlineStr">
        <is>
          <t>194-7325779-0-65</t>
        </is>
      </c>
      <c r="AW226" t="inlineStr">
        <is>
          <t>CHEQUE DE GERENCIA</t>
        </is>
      </c>
      <c r="AX226" t="inlineStr">
        <is>
          <t>4172859</t>
        </is>
      </c>
      <c r="AY226" t="inlineStr">
        <is>
          <t>587896</t>
        </is>
      </c>
      <c r="AZ226" t="inlineStr">
        <is>
          <t>No</t>
        </is>
      </c>
      <c r="BB226" t="n">
        <v>4</v>
      </c>
      <c r="BC226" t="inlineStr">
        <is>
          <t>CANCELADO</t>
        </is>
      </c>
      <c r="BN226" t="inlineStr">
        <is>
          <t>Si</t>
        </is>
      </c>
      <c r="BO226" s="117" t="n">
        <v>45932.42222222222</v>
      </c>
      <c r="BP226" t="inlineStr">
        <is>
          <t>Carla Michue M</t>
        </is>
      </c>
      <c r="BR226" t="n">
        <v>26</v>
      </c>
      <c r="BS226" t="inlineStr">
        <is>
          <t>02/09/2026 11:33</t>
        </is>
      </c>
      <c r="BT226" t="n">
        <v>0</v>
      </c>
      <c r="BX226" t="inlineStr">
        <is>
          <t>Cobranzas_2025.csv</t>
        </is>
      </c>
      <c r="BY226" t="n">
        <v>2025</v>
      </c>
      <c r="BZ226" t="inlineStr">
        <is>
          <t>01/01/2024</t>
        </is>
      </c>
      <c r="CA226" t="inlineStr">
        <is>
          <t>30/09/2031</t>
        </is>
      </c>
    </row>
    <row r="227">
      <c r="A227" t="inlineStr">
        <is>
          <t>RESIDENCIAL PRADA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103</t>
        </is>
      </c>
      <c r="G227" s="39" t="n">
        <v>520400</v>
      </c>
      <c r="H227" s="39" t="n">
        <v>520400</v>
      </c>
      <c r="M227" s="39" t="n"/>
      <c r="N227" s="39" t="n"/>
      <c r="S227" s="39" t="n"/>
      <c r="T227" s="39" t="n"/>
      <c r="Y227" s="39" t="n"/>
      <c r="Z227" s="39" t="n"/>
      <c r="AA227" t="inlineStr">
        <is>
          <t>Luis Eduardo Herrera Arrasco</t>
        </is>
      </c>
      <c r="AB227" t="inlineStr">
        <is>
          <t xml:space="preserve">70656236		</t>
        </is>
      </c>
      <c r="AC227" t="inlineStr">
        <is>
          <t xml:space="preserve">Podesta Pescheira 273 - Pueblo Libre		</t>
        </is>
      </c>
      <c r="AE227" t="inlineStr">
        <is>
          <t xml:space="preserve">987782194		</t>
        </is>
      </c>
      <c r="AF227" t="inlineStr">
        <is>
          <t xml:space="preserve">luisherrarra19@gmail.com		</t>
        </is>
      </c>
      <c r="AI227" s="116" t="n">
        <v>45663</v>
      </c>
      <c r="AJ227" s="116" t="n">
        <v>45663</v>
      </c>
      <c r="AK227" t="inlineStr">
        <is>
          <t>CUOTA INICIAL</t>
        </is>
      </c>
      <c r="AL227" t="n">
        <v>1</v>
      </c>
      <c r="AM227" t="n">
        <v>117000</v>
      </c>
      <c r="AN227" t="n">
        <v>0</v>
      </c>
      <c r="AO227" t="n">
        <v>0</v>
      </c>
      <c r="AP227" s="39" t="n">
        <v>117000</v>
      </c>
      <c r="AQ227" s="39" t="n">
        <v>117000</v>
      </c>
      <c r="AR227" s="39" t="n">
        <v>0</v>
      </c>
      <c r="AS227" t="n">
        <v>0</v>
      </c>
      <c r="AT227" t="inlineStr">
        <is>
          <t>Crédito Hipotecario</t>
        </is>
      </c>
      <c r="AU227" t="inlineStr">
        <is>
          <t>Scotiabank Perú</t>
        </is>
      </c>
      <c r="AV227" t="inlineStr">
        <is>
          <t>000-2768484</t>
        </is>
      </c>
      <c r="AW227" t="inlineStr">
        <is>
          <t>TRANSFERENCIA BANCARIA</t>
        </is>
      </c>
      <c r="AY227" t="inlineStr">
        <is>
          <t>00157</t>
        </is>
      </c>
      <c r="AZ227" t="inlineStr">
        <is>
          <t>No</t>
        </is>
      </c>
      <c r="BB227" t="n">
        <v>4</v>
      </c>
      <c r="BC227" t="inlineStr">
        <is>
          <t>CANCELADO</t>
        </is>
      </c>
      <c r="BN227" t="inlineStr">
        <is>
          <t>Si</t>
        </is>
      </c>
      <c r="BO227" s="117" t="n">
        <v>45663.58819444444</v>
      </c>
      <c r="BP227" t="inlineStr">
        <is>
          <t>Kenny Salazar S</t>
        </is>
      </c>
      <c r="BR227" t="n">
        <v>31</v>
      </c>
      <c r="BS227" t="inlineStr">
        <is>
          <t>26/06/2026 17:23</t>
        </is>
      </c>
      <c r="BT227" t="n">
        <v>0</v>
      </c>
      <c r="BX227" t="inlineStr">
        <is>
          <t>Cobranzas_2025.csv</t>
        </is>
      </c>
      <c r="BY227" t="n">
        <v>2025</v>
      </c>
      <c r="BZ227" t="inlineStr">
        <is>
          <t>01/01/2024</t>
        </is>
      </c>
      <c r="CA227" t="inlineStr">
        <is>
          <t>30/09/2031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103</t>
        </is>
      </c>
      <c r="G228" s="39" t="n">
        <v>520400</v>
      </c>
      <c r="H228" s="39" t="n">
        <v>520400</v>
      </c>
      <c r="M228" s="39" t="n"/>
      <c r="N228" s="39" t="n"/>
      <c r="S228" s="39" t="n"/>
      <c r="T228" s="39" t="n"/>
      <c r="Y228" s="39" t="n"/>
      <c r="Z228" s="39" t="n"/>
      <c r="AA228" t="inlineStr">
        <is>
          <t>Luis Eduardo Herrera Arrasco</t>
        </is>
      </c>
      <c r="AB228" t="inlineStr">
        <is>
          <t xml:space="preserve">70656236		</t>
        </is>
      </c>
      <c r="AC228" t="inlineStr">
        <is>
          <t xml:space="preserve">Podesta Pescheira 273 - Pueblo Libre		</t>
        </is>
      </c>
      <c r="AE228" t="inlineStr">
        <is>
          <t xml:space="preserve">987782194		</t>
        </is>
      </c>
      <c r="AF228" t="inlineStr">
        <is>
          <t xml:space="preserve">luisherrarra19@gmail.com		</t>
        </is>
      </c>
      <c r="AI228" s="116" t="n">
        <v>45688</v>
      </c>
      <c r="AJ228" s="116" t="n">
        <v>45716</v>
      </c>
      <c r="AK228" t="inlineStr">
        <is>
          <t>SALDO FINANCIAR</t>
        </is>
      </c>
      <c r="AL228" t="n">
        <v>1</v>
      </c>
      <c r="AM228" t="n">
        <v>400400</v>
      </c>
      <c r="AN228" t="n">
        <v>0</v>
      </c>
      <c r="AO228" t="n">
        <v>0</v>
      </c>
      <c r="AP228" s="39" t="n">
        <v>400400</v>
      </c>
      <c r="AQ228" s="39" t="n">
        <v>400400</v>
      </c>
      <c r="AR228" s="39" t="n">
        <v>0</v>
      </c>
      <c r="AS228" t="n">
        <v>0</v>
      </c>
      <c r="AT228" t="inlineStr">
        <is>
          <t>Crédito Hipotecario</t>
        </is>
      </c>
      <c r="AU228" t="inlineStr">
        <is>
          <t>Scotiabank Perú</t>
        </is>
      </c>
      <c r="AV228" t="inlineStr">
        <is>
          <t>000-2768484</t>
        </is>
      </c>
      <c r="AW228" t="inlineStr">
        <is>
          <t>TRANSFERENCIA BANCARIA</t>
        </is>
      </c>
      <c r="AY228" t="inlineStr">
        <is>
          <t>2612024</t>
        </is>
      </c>
      <c r="AZ228" t="inlineStr">
        <is>
          <t>No</t>
        </is>
      </c>
      <c r="BB228" t="n">
        <v>4</v>
      </c>
      <c r="BC228" t="inlineStr">
        <is>
          <t>CANCELADO</t>
        </is>
      </c>
      <c r="BN228" t="inlineStr">
        <is>
          <t>Si</t>
        </is>
      </c>
      <c r="BO228" s="117" t="n">
        <v>45663.58819444444</v>
      </c>
      <c r="BP228" t="inlineStr">
        <is>
          <t>Kenny Salazar S</t>
        </is>
      </c>
      <c r="BR228" t="n">
        <v>31</v>
      </c>
      <c r="BS228" t="inlineStr">
        <is>
          <t>26/06/2026 17:25</t>
        </is>
      </c>
      <c r="BT228" t="n">
        <v>0</v>
      </c>
      <c r="BX228" t="inlineStr">
        <is>
          <t>Cobranzas_2025.csv</t>
        </is>
      </c>
      <c r="BY228" t="n">
        <v>2025</v>
      </c>
      <c r="BZ228" t="inlineStr">
        <is>
          <t>01/01/2024</t>
        </is>
      </c>
      <c r="CA228" t="inlineStr">
        <is>
          <t>30/09/2031</t>
        </is>
      </c>
    </row>
    <row r="229">
      <c r="A229" t="inlineStr">
        <is>
          <t>RESIDENCIAL VENECIA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104</t>
        </is>
      </c>
      <c r="G229" s="39" t="n">
        <v>553000</v>
      </c>
      <c r="H229" s="39" t="n">
        <v>497000</v>
      </c>
      <c r="M229" s="39" t="n"/>
      <c r="N229" s="39" t="n"/>
      <c r="S229" s="39" t="n"/>
      <c r="T229" s="39" t="n"/>
      <c r="Y229" s="39" t="n"/>
      <c r="Z229" s="39" t="n"/>
      <c r="AA229" t="inlineStr">
        <is>
          <t>Luis Miguel Montero Monteza</t>
        </is>
      </c>
      <c r="AB229" t="inlineStr">
        <is>
          <t>45611107</t>
        </is>
      </c>
      <c r="AC229" t="inlineStr">
        <is>
          <t>calle los rosales 128</t>
        </is>
      </c>
      <c r="AD229" t="n">
        <v>0</v>
      </c>
      <c r="AE229" t="inlineStr">
        <is>
          <t>970277190</t>
        </is>
      </c>
      <c r="AF229" t="inlineStr">
        <is>
          <t>monter25@hotmail.com</t>
        </is>
      </c>
      <c r="AG229" t="inlineStr">
        <is>
          <t>JAEN</t>
        </is>
      </c>
      <c r="AH229" t="inlineStr">
        <is>
          <t>JAEN</t>
        </is>
      </c>
      <c r="AI229" s="116" t="n">
        <v>45972</v>
      </c>
      <c r="AJ229" s="116" t="n">
        <v>45972</v>
      </c>
      <c r="AK229" t="inlineStr">
        <is>
          <t>SEPARACION</t>
        </is>
      </c>
      <c r="AL229" t="n">
        <v>1</v>
      </c>
      <c r="AM229" t="n">
        <v>3000</v>
      </c>
      <c r="AN229" t="n">
        <v>0</v>
      </c>
      <c r="AO229" t="n">
        <v>0</v>
      </c>
      <c r="AP229" s="39" t="n">
        <v>3000</v>
      </c>
      <c r="AQ229" s="39" t="n">
        <v>3000</v>
      </c>
      <c r="AR229" s="39" t="n">
        <v>0</v>
      </c>
      <c r="AS229" t="n">
        <v>0</v>
      </c>
      <c r="AT229" t="inlineStr">
        <is>
          <t>Ahorro</t>
        </is>
      </c>
      <c r="AU229" t="inlineStr">
        <is>
          <t>Scotiabank Perú</t>
        </is>
      </c>
      <c r="AV229" t="inlineStr">
        <is>
          <t>0004071419</t>
        </is>
      </c>
      <c r="AW229" t="inlineStr">
        <is>
          <t>TRANSFERENCIA BANCARIA</t>
        </is>
      </c>
      <c r="AY229" t="inlineStr">
        <is>
          <t>7844655520829</t>
        </is>
      </c>
      <c r="AZ229" t="inlineStr">
        <is>
          <t>Si</t>
        </is>
      </c>
      <c r="BB229" t="n">
        <v>4</v>
      </c>
      <c r="BC229" t="inlineStr">
        <is>
          <t>CANCELADO</t>
        </is>
      </c>
      <c r="BN229" t="inlineStr">
        <is>
          <t>Si</t>
        </is>
      </c>
      <c r="BO229" s="117" t="n">
        <v>45988.33333333334</v>
      </c>
      <c r="BP229" t="inlineStr">
        <is>
          <t>Magaly Guevara Perez</t>
        </is>
      </c>
      <c r="BR229" t="n">
        <v>3</v>
      </c>
      <c r="BS229" t="inlineStr">
        <is>
          <t>12/05/2026 10:16</t>
        </is>
      </c>
      <c r="BT229" t="n">
        <v>0</v>
      </c>
      <c r="BX229" t="inlineStr">
        <is>
          <t>Cobranzas_2025.csv</t>
        </is>
      </c>
      <c r="BY229" t="n">
        <v>2025</v>
      </c>
      <c r="BZ229" t="inlineStr">
        <is>
          <t>01/01/2024</t>
        </is>
      </c>
      <c r="CA229" t="inlineStr">
        <is>
          <t>30/09/2031</t>
        </is>
      </c>
    </row>
    <row r="230">
      <c r="A230" t="inlineStr">
        <is>
          <t>RESIDENCIAL VENECIA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104</t>
        </is>
      </c>
      <c r="G230" s="39" t="n">
        <v>553000</v>
      </c>
      <c r="H230" s="39" t="n">
        <v>497000</v>
      </c>
      <c r="M230" s="39" t="n"/>
      <c r="N230" s="39" t="n"/>
      <c r="S230" s="39" t="n"/>
      <c r="T230" s="39" t="n"/>
      <c r="Y230" s="39" t="n"/>
      <c r="Z230" s="39" t="n"/>
      <c r="AA230" t="inlineStr">
        <is>
          <t>Luis Miguel Montero Monteza</t>
        </is>
      </c>
      <c r="AB230" t="inlineStr">
        <is>
          <t>45611107</t>
        </is>
      </c>
      <c r="AC230" t="inlineStr">
        <is>
          <t>calle los rosales 128</t>
        </is>
      </c>
      <c r="AD230" t="n">
        <v>0</v>
      </c>
      <c r="AE230" t="inlineStr">
        <is>
          <t>970277190</t>
        </is>
      </c>
      <c r="AF230" t="inlineStr">
        <is>
          <t>monter25@hotmail.com</t>
        </is>
      </c>
      <c r="AG230" t="inlineStr">
        <is>
          <t>JAEN</t>
        </is>
      </c>
      <c r="AH230" t="inlineStr">
        <is>
          <t>JAEN</t>
        </is>
      </c>
      <c r="AI230" s="116" t="n">
        <v>45983</v>
      </c>
      <c r="AJ230" s="116" t="n">
        <v>45983</v>
      </c>
      <c r="AK230" t="inlineStr">
        <is>
          <t>CUOTA INICIAL</t>
        </is>
      </c>
      <c r="AL230" t="n">
        <v>1</v>
      </c>
      <c r="AM230" t="n">
        <v>17000</v>
      </c>
      <c r="AN230" t="n">
        <v>0</v>
      </c>
      <c r="AO230" t="n">
        <v>0</v>
      </c>
      <c r="AP230" s="39" t="n">
        <v>17000</v>
      </c>
      <c r="AQ230" s="39" t="n">
        <v>17000</v>
      </c>
      <c r="AR230" s="39" t="n">
        <v>0</v>
      </c>
      <c r="AS230" t="n">
        <v>0</v>
      </c>
      <c r="AT230" t="inlineStr">
        <is>
          <t>Ahorro</t>
        </is>
      </c>
      <c r="AU230" t="inlineStr">
        <is>
          <t>Scotiabank Perú</t>
        </is>
      </c>
      <c r="AV230" t="inlineStr">
        <is>
          <t>0004071419</t>
        </is>
      </c>
      <c r="AW230" t="inlineStr">
        <is>
          <t>TRANSFERENCIA BANCARIA</t>
        </is>
      </c>
      <c r="AY230" t="inlineStr">
        <is>
          <t>U26790</t>
        </is>
      </c>
      <c r="AZ230" t="inlineStr">
        <is>
          <t>No</t>
        </is>
      </c>
      <c r="BB230" t="n">
        <v>4</v>
      </c>
      <c r="BC230" t="inlineStr">
        <is>
          <t>CANCELADO</t>
        </is>
      </c>
      <c r="BN230" t="inlineStr">
        <is>
          <t>Si</t>
        </is>
      </c>
      <c r="BO230" s="117" t="n">
        <v>45988.33333333334</v>
      </c>
      <c r="BP230" t="inlineStr">
        <is>
          <t>Magaly Guevara Perez</t>
        </is>
      </c>
      <c r="BR230" t="n">
        <v>3</v>
      </c>
      <c r="BS230" t="inlineStr">
        <is>
          <t>24/05/2026 14:46</t>
        </is>
      </c>
      <c r="BT230" t="n">
        <v>0</v>
      </c>
      <c r="BX230" t="inlineStr">
        <is>
          <t>Cobranzas_2025.csv</t>
        </is>
      </c>
      <c r="BY230" t="n">
        <v>2025</v>
      </c>
      <c r="BZ230" t="inlineStr">
        <is>
          <t>01/01/2024</t>
        </is>
      </c>
      <c r="CA230" t="inlineStr">
        <is>
          <t>30/09/2031</t>
        </is>
      </c>
    </row>
    <row r="231">
      <c r="A231" t="inlineStr">
        <is>
          <t>RESIDENCIAL BEYOND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201</t>
        </is>
      </c>
      <c r="G231" s="39" t="n">
        <v>518500</v>
      </c>
      <c r="H231" s="39" t="n">
        <v>469500</v>
      </c>
      <c r="I231" t="inlineStr">
        <is>
          <t>Edificio</t>
        </is>
      </c>
      <c r="J231" t="inlineStr">
        <is>
          <t>A</t>
        </is>
      </c>
      <c r="K231" t="inlineStr">
        <is>
          <t>Estacionamiento</t>
        </is>
      </c>
      <c r="L231" t="inlineStr">
        <is>
          <t>E 16</t>
        </is>
      </c>
      <c r="M231" s="39" t="n">
        <v>50400</v>
      </c>
      <c r="N231" s="39" t="n">
        <v>50400</v>
      </c>
      <c r="S231" s="39" t="n"/>
      <c r="T231" s="39" t="n"/>
      <c r="Y231" s="39" t="n"/>
      <c r="Z231" s="39" t="n"/>
      <c r="AA231" t="inlineStr">
        <is>
          <t>Marco Antonio Cordova Oropeza</t>
        </is>
      </c>
      <c r="AB231" t="inlineStr">
        <is>
          <t>22079563</t>
        </is>
      </c>
      <c r="AC231" t="inlineStr">
        <is>
          <t>Av.Cayetano Heredia 435 Int.1 Urb Fundo Oyague</t>
        </is>
      </c>
      <c r="AD231" t="n">
        <v>0</v>
      </c>
      <c r="AE231" t="inlineStr">
        <is>
          <t>1513-257-6062</t>
        </is>
      </c>
      <c r="AF231" t="inlineStr">
        <is>
          <t>maancoor@gmail.com</t>
        </is>
      </c>
      <c r="AG231" t="inlineStr">
        <is>
          <t>LIMA</t>
        </is>
      </c>
      <c r="AH231" t="inlineStr">
        <is>
          <t>JESUS MARIA</t>
        </is>
      </c>
      <c r="AI231" s="116" t="n">
        <v>45986</v>
      </c>
      <c r="AJ231" s="116" t="n">
        <v>45986</v>
      </c>
      <c r="AK231" t="inlineStr">
        <is>
          <t>SEPARACION</t>
        </is>
      </c>
      <c r="AL231" t="n">
        <v>1</v>
      </c>
      <c r="AM231" t="n">
        <v>20000</v>
      </c>
      <c r="AN231" t="n">
        <v>0</v>
      </c>
      <c r="AO231" t="n">
        <v>0</v>
      </c>
      <c r="AP231" s="39" t="n">
        <v>20000</v>
      </c>
      <c r="AQ231" s="39" t="n">
        <v>20000</v>
      </c>
      <c r="AR231" s="39" t="n">
        <v>0</v>
      </c>
      <c r="AS231" t="n">
        <v>0</v>
      </c>
      <c r="AT231" t="inlineStr">
        <is>
          <t>Crédito Directo</t>
        </is>
      </c>
      <c r="AU231" t="inlineStr">
        <is>
          <t>Banco de Credito del Perú</t>
        </is>
      </c>
      <c r="AV231" t="inlineStr">
        <is>
          <t>194-7325779-0-65</t>
        </is>
      </c>
      <c r="AW231" t="inlineStr">
        <is>
          <t>TRANSFERENCIA BANCARIA</t>
        </is>
      </c>
      <c r="AX231" t="inlineStr">
        <is>
          <t>22079563</t>
        </is>
      </c>
      <c r="AY231" t="inlineStr">
        <is>
          <t>03836154</t>
        </is>
      </c>
      <c r="AZ231" t="inlineStr">
        <is>
          <t>No</t>
        </is>
      </c>
      <c r="BA231" t="inlineStr">
        <is>
          <t>AHORROS PERSONALES</t>
        </is>
      </c>
      <c r="BB231" t="n">
        <v>4</v>
      </c>
      <c r="BC231" t="inlineStr">
        <is>
          <t>CANCELADO</t>
        </is>
      </c>
      <c r="BN231" t="inlineStr">
        <is>
          <t>Si</t>
        </is>
      </c>
      <c r="BO231" s="117" t="n">
        <v>45986.54513888889</v>
      </c>
      <c r="BP231" t="inlineStr">
        <is>
          <t>Magaly Guevara Perez</t>
        </is>
      </c>
      <c r="BR231" t="n">
        <v>1</v>
      </c>
      <c r="BS231" t="inlineStr">
        <is>
          <t>01/05/2026 09:27</t>
        </is>
      </c>
      <c r="BT231" t="n">
        <v>0</v>
      </c>
      <c r="BX231" t="inlineStr">
        <is>
          <t>Cobranzas_2025.csv</t>
        </is>
      </c>
      <c r="BY231" t="n">
        <v>2025</v>
      </c>
      <c r="BZ231" t="inlineStr">
        <is>
          <t>01/01/2024</t>
        </is>
      </c>
      <c r="CA231" t="inlineStr">
        <is>
          <t>30/09/2031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39" t="n">
        <v>654000</v>
      </c>
      <c r="H232" s="39" t="n">
        <v>654000</v>
      </c>
      <c r="I232" t="inlineStr">
        <is>
          <t>Edificio</t>
        </is>
      </c>
      <c r="J232" t="inlineStr">
        <is>
          <t>A</t>
        </is>
      </c>
      <c r="K232" t="inlineStr">
        <is>
          <t>Estacionamiento</t>
        </is>
      </c>
      <c r="L232" t="inlineStr">
        <is>
          <t>E 33 - D 25</t>
        </is>
      </c>
      <c r="M232" s="39" t="n">
        <v>60000</v>
      </c>
      <c r="N232" s="39" t="n">
        <v>60000</v>
      </c>
      <c r="O232" t="inlineStr">
        <is>
          <t>Edificio</t>
        </is>
      </c>
      <c r="P232" t="inlineStr">
        <is>
          <t>A</t>
        </is>
      </c>
      <c r="Q232" t="inlineStr">
        <is>
          <t>Estacionamiento</t>
        </is>
      </c>
      <c r="R232" t="inlineStr">
        <is>
          <t>E 32 - D 24</t>
        </is>
      </c>
      <c r="S232" s="39" t="n">
        <v>55800</v>
      </c>
      <c r="T232" s="39" t="n">
        <v>55800</v>
      </c>
      <c r="Y232" s="39" t="n"/>
      <c r="Z232" s="39" t="n"/>
      <c r="AA232" t="inlineStr">
        <is>
          <t>Marco Antonio Cordova Oropeza</t>
        </is>
      </c>
      <c r="AB232" t="inlineStr">
        <is>
          <t>22079563</t>
        </is>
      </c>
      <c r="AC232" t="inlineStr">
        <is>
          <t>Av.Cayetano Heredia 435 Int.1 Urb Fundo Oyague</t>
        </is>
      </c>
      <c r="AD232" t="n">
        <v>0</v>
      </c>
      <c r="AE232" t="inlineStr">
        <is>
          <t>1513-257-6062</t>
        </is>
      </c>
      <c r="AF232" t="inlineStr">
        <is>
          <t>maancoor@gmail.com</t>
        </is>
      </c>
      <c r="AG232" t="inlineStr">
        <is>
          <t>LIMA</t>
        </is>
      </c>
      <c r="AH232" t="inlineStr">
        <is>
          <t>JESUS MARIA</t>
        </is>
      </c>
      <c r="AI232" s="116" t="n">
        <v>45813</v>
      </c>
      <c r="AJ232" s="116" t="n">
        <v>45813</v>
      </c>
      <c r="AK232" t="inlineStr">
        <is>
          <t>SEPARACION</t>
        </is>
      </c>
      <c r="AL232" t="n">
        <v>1</v>
      </c>
      <c r="AM232" t="n">
        <v>3000</v>
      </c>
      <c r="AN232" t="n">
        <v>0</v>
      </c>
      <c r="AO232" t="n">
        <v>0</v>
      </c>
      <c r="AP232" s="39" t="n">
        <v>3000</v>
      </c>
      <c r="AQ232" s="39" t="n">
        <v>3000</v>
      </c>
      <c r="AR232" s="39" t="n">
        <v>0</v>
      </c>
      <c r="AS232" t="n">
        <v>0</v>
      </c>
      <c r="AT232" t="inlineStr">
        <is>
          <t>Crédito Directo</t>
        </is>
      </c>
      <c r="AU232" t="inlineStr">
        <is>
          <t>Scotiabank Perú</t>
        </is>
      </c>
      <c r="AV232" t="inlineStr">
        <is>
          <t>000-2768484</t>
        </is>
      </c>
      <c r="AW232" t="inlineStr">
        <is>
          <t>TRANSFERENCIA BANCARIA</t>
        </is>
      </c>
      <c r="AY232" t="inlineStr">
        <is>
          <t>02822017</t>
        </is>
      </c>
      <c r="AZ232" t="inlineStr">
        <is>
          <t>No</t>
        </is>
      </c>
      <c r="BB232" t="n">
        <v>4</v>
      </c>
      <c r="BC232" t="inlineStr">
        <is>
          <t>CANCELADO</t>
        </is>
      </c>
      <c r="BN232" t="inlineStr">
        <is>
          <t>Si</t>
        </is>
      </c>
      <c r="BO232" s="117" t="n">
        <v>45863.7375</v>
      </c>
      <c r="BP232" t="inlineStr">
        <is>
          <t>Magaly Guevara Perez</t>
        </is>
      </c>
      <c r="BR232" t="n">
        <v>40</v>
      </c>
      <c r="BS232" t="inlineStr">
        <is>
          <t>03/07/2026 17:34</t>
        </is>
      </c>
      <c r="BT232" t="n">
        <v>0</v>
      </c>
      <c r="BX232" t="inlineStr">
        <is>
          <t>Cobranzas_2025.csv</t>
        </is>
      </c>
      <c r="BY232" t="n">
        <v>2025</v>
      </c>
      <c r="BZ232" t="inlineStr">
        <is>
          <t>01/01/2024</t>
        </is>
      </c>
      <c r="CA232" t="inlineStr">
        <is>
          <t>30/09/2031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39" t="n">
        <v>654000</v>
      </c>
      <c r="H233" s="39" t="n">
        <v>654000</v>
      </c>
      <c r="I233" t="inlineStr">
        <is>
          <t>Edificio</t>
        </is>
      </c>
      <c r="J233" t="inlineStr">
        <is>
          <t>A</t>
        </is>
      </c>
      <c r="K233" t="inlineStr">
        <is>
          <t>Estacionamiento</t>
        </is>
      </c>
      <c r="L233" t="inlineStr">
        <is>
          <t>E 33 - D 25</t>
        </is>
      </c>
      <c r="M233" s="39" t="n">
        <v>60000</v>
      </c>
      <c r="N233" s="39" t="n">
        <v>60000</v>
      </c>
      <c r="O233" t="inlineStr">
        <is>
          <t>Edificio</t>
        </is>
      </c>
      <c r="P233" t="inlineStr">
        <is>
          <t>A</t>
        </is>
      </c>
      <c r="Q233" t="inlineStr">
        <is>
          <t>Estacionamiento</t>
        </is>
      </c>
      <c r="R233" t="inlineStr">
        <is>
          <t>E 32 - D 24</t>
        </is>
      </c>
      <c r="S233" s="39" t="n">
        <v>55800</v>
      </c>
      <c r="T233" s="39" t="n">
        <v>55800</v>
      </c>
      <c r="Y233" s="39" t="n"/>
      <c r="Z233" s="39" t="n"/>
      <c r="AA233" t="inlineStr">
        <is>
          <t>Marco Antonio Cordova Oropeza</t>
        </is>
      </c>
      <c r="AB233" t="inlineStr">
        <is>
          <t>22079563</t>
        </is>
      </c>
      <c r="AC233" t="inlineStr">
        <is>
          <t>Av.Cayetano Heredia 435 Int.1 Urb Fundo Oyague</t>
        </is>
      </c>
      <c r="AD233" t="n">
        <v>0</v>
      </c>
      <c r="AE233" t="inlineStr">
        <is>
          <t>1513-257-6062</t>
        </is>
      </c>
      <c r="AF233" t="inlineStr">
        <is>
          <t>maancoor@gmail.com</t>
        </is>
      </c>
      <c r="AG233" t="inlineStr">
        <is>
          <t>LIMA</t>
        </is>
      </c>
      <c r="AH233" t="inlineStr">
        <is>
          <t>JESUS MARIA</t>
        </is>
      </c>
      <c r="AI233" s="116" t="n">
        <v>45863</v>
      </c>
      <c r="AJ233" s="116" t="n">
        <v>45863</v>
      </c>
      <c r="AK233" t="inlineStr">
        <is>
          <t>CUOTA INICIAL</t>
        </is>
      </c>
      <c r="AL233" t="n">
        <v>1</v>
      </c>
      <c r="AM233" t="n">
        <v>304920</v>
      </c>
      <c r="AN233" t="n">
        <v>0</v>
      </c>
      <c r="AO233" t="n">
        <v>0</v>
      </c>
      <c r="AP233" s="39" t="n">
        <v>304920</v>
      </c>
      <c r="AQ233" s="39" t="n">
        <v>304920</v>
      </c>
      <c r="AR233" s="39" t="n">
        <v>0</v>
      </c>
      <c r="AS233" t="n">
        <v>0</v>
      </c>
      <c r="AT233" t="inlineStr">
        <is>
          <t>Crédito Directo</t>
        </is>
      </c>
      <c r="AU233" t="inlineStr">
        <is>
          <t>Scotiabank Perú</t>
        </is>
      </c>
      <c r="AV233" t="inlineStr">
        <is>
          <t>000-2768484</t>
        </is>
      </c>
      <c r="AW233" t="inlineStr">
        <is>
          <t>TRANSFERENCIA BANCARIA</t>
        </is>
      </c>
      <c r="AY233" t="inlineStr">
        <is>
          <t>0713083</t>
        </is>
      </c>
      <c r="AZ233" t="inlineStr">
        <is>
          <t>No</t>
        </is>
      </c>
      <c r="BB233" t="n">
        <v>4</v>
      </c>
      <c r="BC233" t="inlineStr">
        <is>
          <t>CANCELADO</t>
        </is>
      </c>
      <c r="BN233" t="inlineStr">
        <is>
          <t>Si</t>
        </is>
      </c>
      <c r="BO233" s="117" t="n">
        <v>45863.7375</v>
      </c>
      <c r="BP233" t="inlineStr">
        <is>
          <t>Magaly Guevara Perez</t>
        </is>
      </c>
      <c r="BR233" t="n">
        <v>40</v>
      </c>
      <c r="BS233" t="inlineStr">
        <is>
          <t>03/07/2026 17:03</t>
        </is>
      </c>
      <c r="BT233" t="n">
        <v>0</v>
      </c>
      <c r="BX233" t="inlineStr">
        <is>
          <t>Cobranzas_2025.csv</t>
        </is>
      </c>
      <c r="BY233" t="n">
        <v>2025</v>
      </c>
      <c r="BZ233" t="inlineStr">
        <is>
          <t>01/01/2024</t>
        </is>
      </c>
      <c r="CA233" t="inlineStr">
        <is>
          <t>30/09/2031</t>
        </is>
      </c>
    </row>
    <row r="234">
      <c r="A234" t="inlineStr">
        <is>
          <t>RESIDENCIAL PRADA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Departamento</t>
        </is>
      </c>
      <c r="F234" t="inlineStr">
        <is>
          <t>803</t>
        </is>
      </c>
      <c r="G234" s="39" t="n">
        <v>654000</v>
      </c>
      <c r="H234" s="39" t="n">
        <v>654000</v>
      </c>
      <c r="I234" t="inlineStr">
        <is>
          <t>Edificio</t>
        </is>
      </c>
      <c r="J234" t="inlineStr">
        <is>
          <t>A</t>
        </is>
      </c>
      <c r="K234" t="inlineStr">
        <is>
          <t>Estacionamiento</t>
        </is>
      </c>
      <c r="L234" t="inlineStr">
        <is>
          <t>E 33 - D 25</t>
        </is>
      </c>
      <c r="M234" s="39" t="n">
        <v>60000</v>
      </c>
      <c r="N234" s="39" t="n">
        <v>60000</v>
      </c>
      <c r="O234" t="inlineStr">
        <is>
          <t>Edificio</t>
        </is>
      </c>
      <c r="P234" t="inlineStr">
        <is>
          <t>A</t>
        </is>
      </c>
      <c r="Q234" t="inlineStr">
        <is>
          <t>Estacionamiento</t>
        </is>
      </c>
      <c r="R234" t="inlineStr">
        <is>
          <t>E 32 - D 24</t>
        </is>
      </c>
      <c r="S234" s="39" t="n">
        <v>55800</v>
      </c>
      <c r="T234" s="39" t="n">
        <v>55800</v>
      </c>
      <c r="Y234" s="39" t="n"/>
      <c r="Z234" s="39" t="n"/>
      <c r="AA234" t="inlineStr">
        <is>
          <t>Marco Antonio Cordova Oropeza</t>
        </is>
      </c>
      <c r="AB234" t="inlineStr">
        <is>
          <t>22079563</t>
        </is>
      </c>
      <c r="AC234" t="inlineStr">
        <is>
          <t>Av.Cayetano Heredia 435 Int.1 Urb Fundo Oyague</t>
        </is>
      </c>
      <c r="AD234" t="n">
        <v>0</v>
      </c>
      <c r="AE234" t="inlineStr">
        <is>
          <t>1513-257-6062</t>
        </is>
      </c>
      <c r="AF234" t="inlineStr">
        <is>
          <t>maancoor@gmail.com</t>
        </is>
      </c>
      <c r="AG234" t="inlineStr">
        <is>
          <t>LIMA</t>
        </is>
      </c>
      <c r="AH234" t="inlineStr">
        <is>
          <t>JESUS MARIA</t>
        </is>
      </c>
      <c r="AI234" s="116" t="n">
        <v>45915</v>
      </c>
      <c r="AJ234" s="116" t="n">
        <v>45908</v>
      </c>
      <c r="AK234" t="inlineStr">
        <is>
          <t>SALDO FINANCIAR</t>
        </is>
      </c>
      <c r="AL234" t="n">
        <v>1</v>
      </c>
      <c r="AM234" t="n">
        <v>65982.86</v>
      </c>
      <c r="AN234" t="n">
        <v>0</v>
      </c>
      <c r="AO234" t="n">
        <v>0</v>
      </c>
      <c r="AP234" s="39" t="n">
        <v>65982.86</v>
      </c>
      <c r="AQ234" s="39" t="n">
        <v>65982.86</v>
      </c>
      <c r="AR234" s="39" t="n">
        <v>0</v>
      </c>
      <c r="AS234" t="n">
        <v>0</v>
      </c>
      <c r="AT234" t="inlineStr">
        <is>
          <t>Crédito Directo</t>
        </is>
      </c>
      <c r="AU234" t="inlineStr">
        <is>
          <t>Scotiabank Perú</t>
        </is>
      </c>
      <c r="AV234" t="inlineStr">
        <is>
          <t>000-2768484</t>
        </is>
      </c>
      <c r="AW234" t="inlineStr">
        <is>
          <t>TRANSFERENCIA BANCARIA</t>
        </is>
      </c>
      <c r="AY234" t="inlineStr">
        <is>
          <t>04169503</t>
        </is>
      </c>
      <c r="AZ234" t="inlineStr">
        <is>
          <t>No</t>
        </is>
      </c>
      <c r="BB234" t="n">
        <v>4</v>
      </c>
      <c r="BC234" t="inlineStr">
        <is>
          <t>CANCELADO</t>
        </is>
      </c>
      <c r="BN234" t="inlineStr">
        <is>
          <t>Si</t>
        </is>
      </c>
      <c r="BO234" s="117" t="n">
        <v>45863.7375</v>
      </c>
      <c r="BP234" t="inlineStr">
        <is>
          <t>Magaly Guevara Perez</t>
        </is>
      </c>
      <c r="BR234" t="n">
        <v>40</v>
      </c>
      <c r="BS234" t="inlineStr">
        <is>
          <t>03/07/2026 17:35</t>
        </is>
      </c>
      <c r="BT234" t="n">
        <v>0</v>
      </c>
      <c r="BX234" t="inlineStr">
        <is>
          <t>Cobranzas_2025.csv</t>
        </is>
      </c>
      <c r="BY234" t="n">
        <v>2025</v>
      </c>
      <c r="BZ234" t="inlineStr">
        <is>
          <t>01/01/2024</t>
        </is>
      </c>
      <c r="CA234" t="inlineStr">
        <is>
          <t>30/09/2031</t>
        </is>
      </c>
    </row>
    <row r="235">
      <c r="A235" t="inlineStr">
        <is>
          <t>RESIDENCIAL PRADA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Departamento</t>
        </is>
      </c>
      <c r="F235" t="inlineStr">
        <is>
          <t>803</t>
        </is>
      </c>
      <c r="G235" s="39" t="n">
        <v>654000</v>
      </c>
      <c r="H235" s="39" t="n">
        <v>654000</v>
      </c>
      <c r="I235" t="inlineStr">
        <is>
          <t>Edificio</t>
        </is>
      </c>
      <c r="J235" t="inlineStr">
        <is>
          <t>A</t>
        </is>
      </c>
      <c r="K235" t="inlineStr">
        <is>
          <t>Estacionamiento</t>
        </is>
      </c>
      <c r="L235" t="inlineStr">
        <is>
          <t>E 33 - D 25</t>
        </is>
      </c>
      <c r="M235" s="39" t="n">
        <v>60000</v>
      </c>
      <c r="N235" s="39" t="n">
        <v>60000</v>
      </c>
      <c r="O235" t="inlineStr">
        <is>
          <t>Edificio</t>
        </is>
      </c>
      <c r="P235" t="inlineStr">
        <is>
          <t>A</t>
        </is>
      </c>
      <c r="Q235" t="inlineStr">
        <is>
          <t>Estacionamiento</t>
        </is>
      </c>
      <c r="R235" t="inlineStr">
        <is>
          <t>E 32 - D 24</t>
        </is>
      </c>
      <c r="S235" s="39" t="n">
        <v>55800</v>
      </c>
      <c r="T235" s="39" t="n">
        <v>55800</v>
      </c>
      <c r="Y235" s="39" t="n"/>
      <c r="Z235" s="39" t="n"/>
      <c r="AA235" t="inlineStr">
        <is>
          <t>Marco Antonio Cordova Oropeza</t>
        </is>
      </c>
      <c r="AB235" t="inlineStr">
        <is>
          <t>22079563</t>
        </is>
      </c>
      <c r="AC235" t="inlineStr">
        <is>
          <t>Av.Cayetano Heredia 435 Int.1 Urb Fundo Oyague</t>
        </is>
      </c>
      <c r="AD235" t="n">
        <v>0</v>
      </c>
      <c r="AE235" t="inlineStr">
        <is>
          <t>1513-257-6062</t>
        </is>
      </c>
      <c r="AF235" t="inlineStr">
        <is>
          <t>maancoor@gmail.com</t>
        </is>
      </c>
      <c r="AG235" t="inlineStr">
        <is>
          <t>LIMA</t>
        </is>
      </c>
      <c r="AH235" t="inlineStr">
        <is>
          <t>JESUS MARIA</t>
        </is>
      </c>
      <c r="AI235" s="116" t="n">
        <v>45945</v>
      </c>
      <c r="AJ235" s="116" t="n">
        <v>45941</v>
      </c>
      <c r="AK235" t="inlineStr">
        <is>
          <t>SALDO FINANCIAR</t>
        </is>
      </c>
      <c r="AL235" t="n">
        <v>2</v>
      </c>
      <c r="AM235" t="n">
        <v>65982.86</v>
      </c>
      <c r="AN235" t="n">
        <v>0</v>
      </c>
      <c r="AO235" t="n">
        <v>0</v>
      </c>
      <c r="AP235" s="39" t="n">
        <v>65982.86</v>
      </c>
      <c r="AQ235" s="39" t="n">
        <v>65982.86</v>
      </c>
      <c r="AR235" s="39" t="n">
        <v>0</v>
      </c>
      <c r="AS235" t="n">
        <v>0</v>
      </c>
      <c r="AT235" t="inlineStr">
        <is>
          <t>Crédito Directo</t>
        </is>
      </c>
      <c r="AU235" t="inlineStr">
        <is>
          <t>Scotiabank Perú</t>
        </is>
      </c>
      <c r="AV235" t="inlineStr">
        <is>
          <t>000-2768484</t>
        </is>
      </c>
      <c r="AW235" t="inlineStr">
        <is>
          <t>TRANSFERENCIA BANCARIA</t>
        </is>
      </c>
      <c r="AY235" t="inlineStr">
        <is>
          <t>02244690</t>
        </is>
      </c>
      <c r="AZ235" t="inlineStr">
        <is>
          <t>No</t>
        </is>
      </c>
      <c r="BB235" t="n">
        <v>4</v>
      </c>
      <c r="BC235" t="inlineStr">
        <is>
          <t>CANCELADO</t>
        </is>
      </c>
      <c r="BN235" t="inlineStr">
        <is>
          <t>Si</t>
        </is>
      </c>
      <c r="BO235" s="117" t="n">
        <v>45863.7375</v>
      </c>
      <c r="BP235" t="inlineStr">
        <is>
          <t>Magaly Guevara Perez</t>
        </is>
      </c>
      <c r="BR235" t="n">
        <v>40</v>
      </c>
      <c r="BS235" t="inlineStr">
        <is>
          <t>03/07/2026 17:36</t>
        </is>
      </c>
      <c r="BT235" t="n">
        <v>0</v>
      </c>
      <c r="BX235" t="inlineStr">
        <is>
          <t>Cobranzas_2025.csv</t>
        </is>
      </c>
      <c r="BY235" t="n">
        <v>2025</v>
      </c>
      <c r="BZ235" t="inlineStr">
        <is>
          <t>01/01/2024</t>
        </is>
      </c>
      <c r="CA235" t="inlineStr">
        <is>
          <t>30/09/2031</t>
        </is>
      </c>
    </row>
    <row r="236">
      <c r="A236" t="inlineStr">
        <is>
          <t>RESIDENCIAL PRADA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803</t>
        </is>
      </c>
      <c r="G236" s="39" t="n">
        <v>654000</v>
      </c>
      <c r="H236" s="39" t="n">
        <v>654000</v>
      </c>
      <c r="I236" t="inlineStr">
        <is>
          <t>Edificio</t>
        </is>
      </c>
      <c r="J236" t="inlineStr">
        <is>
          <t>A</t>
        </is>
      </c>
      <c r="K236" t="inlineStr">
        <is>
          <t>Estacionamiento</t>
        </is>
      </c>
      <c r="L236" t="inlineStr">
        <is>
          <t>E 33 - D 25</t>
        </is>
      </c>
      <c r="M236" s="39" t="n">
        <v>60000</v>
      </c>
      <c r="N236" s="39" t="n">
        <v>60000</v>
      </c>
      <c r="O236" t="inlineStr">
        <is>
          <t>Edificio</t>
        </is>
      </c>
      <c r="P236" t="inlineStr">
        <is>
          <t>A</t>
        </is>
      </c>
      <c r="Q236" t="inlineStr">
        <is>
          <t>Estacionamiento</t>
        </is>
      </c>
      <c r="R236" t="inlineStr">
        <is>
          <t>E 32 - D 24</t>
        </is>
      </c>
      <c r="S236" s="39" t="n">
        <v>55800</v>
      </c>
      <c r="T236" s="39" t="n">
        <v>55800</v>
      </c>
      <c r="Y236" s="39" t="n"/>
      <c r="Z236" s="39" t="n"/>
      <c r="AA236" t="inlineStr">
        <is>
          <t>Marco Antonio Cordova Oropeza</t>
        </is>
      </c>
      <c r="AB236" t="inlineStr">
        <is>
          <t>22079563</t>
        </is>
      </c>
      <c r="AC236" t="inlineStr">
        <is>
          <t>Av.Cayetano Heredia 435 Int.1 Urb Fundo Oyague</t>
        </is>
      </c>
      <c r="AD236" t="n">
        <v>0</v>
      </c>
      <c r="AE236" t="inlineStr">
        <is>
          <t>1513-257-6062</t>
        </is>
      </c>
      <c r="AF236" t="inlineStr">
        <is>
          <t>maancoor@gmail.com</t>
        </is>
      </c>
      <c r="AG236" t="inlineStr">
        <is>
          <t>LIMA</t>
        </is>
      </c>
      <c r="AH236" t="inlineStr">
        <is>
          <t>JESUS MARIA</t>
        </is>
      </c>
      <c r="AI236" s="116" t="n">
        <v>45976</v>
      </c>
      <c r="AJ236" s="116" t="n">
        <v>45964</v>
      </c>
      <c r="AK236" t="inlineStr">
        <is>
          <t>SALDO FINANCIAR</t>
        </is>
      </c>
      <c r="AL236" t="n">
        <v>3</v>
      </c>
      <c r="AM236" t="n">
        <v>65982.86</v>
      </c>
      <c r="AN236" t="n">
        <v>0</v>
      </c>
      <c r="AO236" t="n">
        <v>0</v>
      </c>
      <c r="AP236" s="39" t="n">
        <v>65982.86</v>
      </c>
      <c r="AQ236" s="39" t="n">
        <v>65982.86</v>
      </c>
      <c r="AR236" s="39" t="n">
        <v>0</v>
      </c>
      <c r="AS236" t="n">
        <v>0</v>
      </c>
      <c r="AT236" t="inlineStr">
        <is>
          <t>Crédito Directo</t>
        </is>
      </c>
      <c r="AU236" t="inlineStr">
        <is>
          <t>Scotiabank Perú</t>
        </is>
      </c>
      <c r="AV236" t="inlineStr">
        <is>
          <t>000-2768484</t>
        </is>
      </c>
      <c r="AW236" t="inlineStr">
        <is>
          <t>TRANSFERENCIA BANCARIA</t>
        </is>
      </c>
      <c r="AY236" t="inlineStr">
        <is>
          <t>0210772</t>
        </is>
      </c>
      <c r="AZ236" t="inlineStr">
        <is>
          <t>No</t>
        </is>
      </c>
      <c r="BB236" t="n">
        <v>4</v>
      </c>
      <c r="BC236" t="inlineStr">
        <is>
          <t>CANCELADO</t>
        </is>
      </c>
      <c r="BN236" t="inlineStr">
        <is>
          <t>Si</t>
        </is>
      </c>
      <c r="BO236" s="117" t="n">
        <v>45863.7375</v>
      </c>
      <c r="BP236" t="inlineStr">
        <is>
          <t>Magaly Guevara Perez</t>
        </is>
      </c>
      <c r="BR236" t="n">
        <v>40</v>
      </c>
      <c r="BS236" t="inlineStr">
        <is>
          <t>03/07/2026 17:38</t>
        </is>
      </c>
      <c r="BT236" t="n">
        <v>0</v>
      </c>
      <c r="BX236" t="inlineStr">
        <is>
          <t>Cobranzas_2025.csv</t>
        </is>
      </c>
      <c r="BY236" t="n">
        <v>2025</v>
      </c>
      <c r="BZ236" t="inlineStr">
        <is>
          <t>01/01/2024</t>
        </is>
      </c>
      <c r="CA236" t="inlineStr">
        <is>
          <t>30/09/2031</t>
        </is>
      </c>
    </row>
    <row r="237">
      <c r="A237" t="inlineStr">
        <is>
          <t>RESIDENCIAL PRADA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803</t>
        </is>
      </c>
      <c r="G237" s="39" t="n">
        <v>654000</v>
      </c>
      <c r="H237" s="39" t="n">
        <v>654000</v>
      </c>
      <c r="I237" t="inlineStr">
        <is>
          <t>Edificio</t>
        </is>
      </c>
      <c r="J237" t="inlineStr">
        <is>
          <t>A</t>
        </is>
      </c>
      <c r="K237" t="inlineStr">
        <is>
          <t>Estacionamiento</t>
        </is>
      </c>
      <c r="L237" t="inlineStr">
        <is>
          <t>E 33 - D 25</t>
        </is>
      </c>
      <c r="M237" s="39" t="n">
        <v>60000</v>
      </c>
      <c r="N237" s="39" t="n">
        <v>60000</v>
      </c>
      <c r="O237" t="inlineStr">
        <is>
          <t>Edificio</t>
        </is>
      </c>
      <c r="P237" t="inlineStr">
        <is>
          <t>A</t>
        </is>
      </c>
      <c r="Q237" t="inlineStr">
        <is>
          <t>Estacionamiento</t>
        </is>
      </c>
      <c r="R237" t="inlineStr">
        <is>
          <t>E 32 - D 24</t>
        </is>
      </c>
      <c r="S237" s="39" t="n">
        <v>55800</v>
      </c>
      <c r="T237" s="39" t="n">
        <v>55800</v>
      </c>
      <c r="Y237" s="39" t="n"/>
      <c r="Z237" s="39" t="n"/>
      <c r="AA237" t="inlineStr">
        <is>
          <t>Marco Antonio Cordova Oropeza</t>
        </is>
      </c>
      <c r="AB237" t="inlineStr">
        <is>
          <t>22079563</t>
        </is>
      </c>
      <c r="AC237" t="inlineStr">
        <is>
          <t>Av.Cayetano Heredia 435 Int.1 Urb Fundo Oyague</t>
        </is>
      </c>
      <c r="AD237" t="n">
        <v>0</v>
      </c>
      <c r="AE237" t="inlineStr">
        <is>
          <t>1513-257-6062</t>
        </is>
      </c>
      <c r="AF237" t="inlineStr">
        <is>
          <t>maancoor@gmail.com</t>
        </is>
      </c>
      <c r="AG237" t="inlineStr">
        <is>
          <t>LIMA</t>
        </is>
      </c>
      <c r="AH237" t="inlineStr">
        <is>
          <t>JESUS MARIA</t>
        </is>
      </c>
      <c r="AI237" s="116" t="n">
        <v>46006</v>
      </c>
      <c r="AJ237" s="116" t="n">
        <v>45964</v>
      </c>
      <c r="AK237" t="inlineStr">
        <is>
          <t>SALDO FINANCIAR</t>
        </is>
      </c>
      <c r="AL237" t="n">
        <v>4</v>
      </c>
      <c r="AM237" t="n">
        <v>65982.86</v>
      </c>
      <c r="AN237" t="n">
        <v>0</v>
      </c>
      <c r="AO237" t="n">
        <v>0</v>
      </c>
      <c r="AP237" s="39" t="n">
        <v>65982.86</v>
      </c>
      <c r="AQ237" s="39" t="n">
        <v>65982.86</v>
      </c>
      <c r="AR237" s="39" t="n">
        <v>0</v>
      </c>
      <c r="AS237" t="n">
        <v>0</v>
      </c>
      <c r="AT237" t="inlineStr">
        <is>
          <t>Crédito Directo</t>
        </is>
      </c>
      <c r="AU237" t="inlineStr">
        <is>
          <t>Scotiabank Perú</t>
        </is>
      </c>
      <c r="AV237" t="inlineStr">
        <is>
          <t>000-2768484</t>
        </is>
      </c>
      <c r="AW237" t="inlineStr">
        <is>
          <t>TRANSFERENCIA BANCARIA</t>
        </is>
      </c>
      <c r="AY237" t="inlineStr">
        <is>
          <t>0210772</t>
        </is>
      </c>
      <c r="AZ237" t="inlineStr">
        <is>
          <t>No</t>
        </is>
      </c>
      <c r="BB237" t="n">
        <v>4</v>
      </c>
      <c r="BC237" t="inlineStr">
        <is>
          <t>CANCELADO</t>
        </is>
      </c>
      <c r="BN237" t="inlineStr">
        <is>
          <t>Si</t>
        </is>
      </c>
      <c r="BO237" s="117" t="n">
        <v>45863.7375</v>
      </c>
      <c r="BP237" t="inlineStr">
        <is>
          <t>Magaly Guevara Perez</t>
        </is>
      </c>
      <c r="BR237" t="n">
        <v>40</v>
      </c>
      <c r="BS237" t="inlineStr">
        <is>
          <t>03/07/2026 17:38</t>
        </is>
      </c>
      <c r="BT237" t="n">
        <v>0</v>
      </c>
      <c r="BX237" t="inlineStr">
        <is>
          <t>Cobranzas_2025.csv</t>
        </is>
      </c>
      <c r="BY237" t="n">
        <v>2025</v>
      </c>
      <c r="BZ237" t="inlineStr">
        <is>
          <t>01/01/2024</t>
        </is>
      </c>
      <c r="CA237" t="inlineStr">
        <is>
          <t>30/09/2031</t>
        </is>
      </c>
    </row>
    <row r="238">
      <c r="A238" t="inlineStr">
        <is>
          <t>RESIDENCIAL BEYOND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Estacionamiento</t>
        </is>
      </c>
      <c r="F238" t="inlineStr">
        <is>
          <t>E 02</t>
        </is>
      </c>
      <c r="G238" s="39" t="n">
        <v>47500</v>
      </c>
      <c r="H238" s="39" t="n">
        <v>47500</v>
      </c>
      <c r="M238" s="39" t="n"/>
      <c r="N238" s="39" t="n"/>
      <c r="S238" s="39" t="n"/>
      <c r="T238" s="39" t="n"/>
      <c r="Y238" s="39" t="n"/>
      <c r="Z238" s="39" t="n"/>
      <c r="AA238" t="inlineStr">
        <is>
          <t>Margarita Mercedes Lujan Paredes</t>
        </is>
      </c>
      <c r="AB238" t="inlineStr">
        <is>
          <t>06772294</t>
        </is>
      </c>
      <c r="AC238" t="inlineStr">
        <is>
          <t>Jr. Aguarico 1412 Dpto. 202</t>
        </is>
      </c>
      <c r="AD238" t="n">
        <v>0</v>
      </c>
      <c r="AE238" t="inlineStr">
        <is>
          <t>949196249</t>
        </is>
      </c>
      <c r="AF238" t="inlineStr">
        <is>
          <t>maggilujan@hotmail.com</t>
        </is>
      </c>
      <c r="AG238" t="inlineStr">
        <is>
          <t>LIMA</t>
        </is>
      </c>
      <c r="AH238" t="inlineStr">
        <is>
          <t>BREÑA</t>
        </is>
      </c>
      <c r="AI238" s="116" t="n">
        <v>45958</v>
      </c>
      <c r="AJ238" s="116" t="n">
        <v>45958</v>
      </c>
      <c r="AK238" t="inlineStr">
        <is>
          <t>SEPARACION</t>
        </is>
      </c>
      <c r="AL238" t="n">
        <v>1</v>
      </c>
      <c r="AM238" t="n">
        <v>3000</v>
      </c>
      <c r="AN238" t="n">
        <v>0</v>
      </c>
      <c r="AO238" t="n">
        <v>0</v>
      </c>
      <c r="AP238" s="39" t="n">
        <v>3000</v>
      </c>
      <c r="AQ238" s="39" t="n">
        <v>3000</v>
      </c>
      <c r="AR238" s="39" t="n">
        <v>0</v>
      </c>
      <c r="AS238" t="n">
        <v>0</v>
      </c>
      <c r="AT238" t="inlineStr">
        <is>
          <t>Crédito Directo</t>
        </is>
      </c>
      <c r="AU238" t="inlineStr">
        <is>
          <t>Banco de Credito del Perú</t>
        </is>
      </c>
      <c r="AV238" t="inlineStr">
        <is>
          <t>002-19400732577906596</t>
        </is>
      </c>
      <c r="AW238" t="inlineStr">
        <is>
          <t>TRANSFERENCIA BANCARIA</t>
        </is>
      </c>
      <c r="AY238" t="inlineStr">
        <is>
          <t>000074240000000000</t>
        </is>
      </c>
      <c r="AZ238" t="inlineStr">
        <is>
          <t>No</t>
        </is>
      </c>
      <c r="BB238" t="n">
        <v>4</v>
      </c>
      <c r="BC238" t="inlineStr">
        <is>
          <t>CANCELADO</t>
        </is>
      </c>
      <c r="BN238" t="inlineStr">
        <is>
          <t>Si</t>
        </is>
      </c>
      <c r="BO238" s="117" t="n">
        <v>46020.63680555556</v>
      </c>
      <c r="BP238" t="inlineStr">
        <is>
          <t>Magaly Guevara Perez</t>
        </is>
      </c>
      <c r="BR238" t="n">
        <v>48</v>
      </c>
      <c r="BS238" t="inlineStr">
        <is>
          <t>19/08/2026 15:08</t>
        </is>
      </c>
      <c r="BT238" t="n">
        <v>0</v>
      </c>
      <c r="BX238" t="inlineStr">
        <is>
          <t>Cobranzas_2025.csv</t>
        </is>
      </c>
      <c r="BY238" t="n">
        <v>2025</v>
      </c>
      <c r="BZ238" t="inlineStr">
        <is>
          <t>01/01/2024</t>
        </is>
      </c>
      <c r="CA238" t="inlineStr">
        <is>
          <t>30/09/2031</t>
        </is>
      </c>
    </row>
    <row r="239">
      <c r="A239" t="inlineStr">
        <is>
          <t>RESIDENCIAL BEYOND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Estacionamiento</t>
        </is>
      </c>
      <c r="F239" t="inlineStr">
        <is>
          <t>E 02</t>
        </is>
      </c>
      <c r="G239" s="39" t="n">
        <v>47500</v>
      </c>
      <c r="H239" s="39" t="n">
        <v>47500</v>
      </c>
      <c r="M239" s="39" t="n"/>
      <c r="N239" s="39" t="n"/>
      <c r="S239" s="39" t="n"/>
      <c r="T239" s="39" t="n"/>
      <c r="Y239" s="39" t="n"/>
      <c r="Z239" s="39" t="n"/>
      <c r="AA239" t="inlineStr">
        <is>
          <t>Margarita Mercedes Lujan Paredes</t>
        </is>
      </c>
      <c r="AB239" t="inlineStr">
        <is>
          <t>06772294</t>
        </is>
      </c>
      <c r="AC239" t="inlineStr">
        <is>
          <t>Jr. Aguarico 1412 Dpto. 202</t>
        </is>
      </c>
      <c r="AD239" t="n">
        <v>0</v>
      </c>
      <c r="AE239" t="inlineStr">
        <is>
          <t>949196249</t>
        </is>
      </c>
      <c r="AF239" t="inlineStr">
        <is>
          <t>maggilujan@hotmail.com</t>
        </is>
      </c>
      <c r="AG239" t="inlineStr">
        <is>
          <t>LIMA</t>
        </is>
      </c>
      <c r="AH239" t="inlineStr">
        <is>
          <t>BREÑA</t>
        </is>
      </c>
      <c r="AI239" s="116" t="n">
        <v>46020</v>
      </c>
      <c r="AJ239" s="116" t="n">
        <v>46020</v>
      </c>
      <c r="AK239" t="inlineStr">
        <is>
          <t>CUOTA INICIAL</t>
        </is>
      </c>
      <c r="AL239" t="n">
        <v>1</v>
      </c>
      <c r="AM239" t="n">
        <v>6500</v>
      </c>
      <c r="AN239" t="n">
        <v>0</v>
      </c>
      <c r="AO239" t="n">
        <v>0</v>
      </c>
      <c r="AP239" s="39" t="n">
        <v>6500</v>
      </c>
      <c r="AQ239" s="39" t="n">
        <v>6500</v>
      </c>
      <c r="AR239" s="39" t="n">
        <v>0</v>
      </c>
      <c r="AS239" t="n">
        <v>0</v>
      </c>
      <c r="AT239" t="inlineStr">
        <is>
          <t>Crédito Directo</t>
        </is>
      </c>
      <c r="AU239" t="inlineStr">
        <is>
          <t>Banco de Credito del Perú</t>
        </is>
      </c>
      <c r="AV239" t="inlineStr">
        <is>
          <t>002-19400732577906596</t>
        </is>
      </c>
      <c r="AW239" t="inlineStr">
        <is>
          <t>TRANSFERENCIA BANCARIA</t>
        </is>
      </c>
      <c r="AY239" t="inlineStr">
        <is>
          <t>00007516000000000</t>
        </is>
      </c>
      <c r="AZ239" t="inlineStr">
        <is>
          <t>No</t>
        </is>
      </c>
      <c r="BB239" t="n">
        <v>4</v>
      </c>
      <c r="BC239" t="inlineStr">
        <is>
          <t>CANCELADO</t>
        </is>
      </c>
      <c r="BN239" t="inlineStr">
        <is>
          <t>Si</t>
        </is>
      </c>
      <c r="BO239" s="117" t="n">
        <v>46020.63680555556</v>
      </c>
      <c r="BP239" t="inlineStr">
        <is>
          <t>Magaly Guevara Perez</t>
        </is>
      </c>
      <c r="BR239" t="n">
        <v>48</v>
      </c>
      <c r="BS239" t="inlineStr">
        <is>
          <t>19/08/2026 15:18</t>
        </is>
      </c>
      <c r="BT239" t="n">
        <v>0</v>
      </c>
      <c r="BX239" t="inlineStr">
        <is>
          <t>Cobranzas_2025.csv</t>
        </is>
      </c>
      <c r="BY239" t="n">
        <v>2025</v>
      </c>
      <c r="BZ239" t="inlineStr">
        <is>
          <t>01/01/2024</t>
        </is>
      </c>
      <c r="CA239" t="inlineStr">
        <is>
          <t>30/09/2031</t>
        </is>
      </c>
    </row>
    <row r="240">
      <c r="A240" t="inlineStr">
        <is>
          <t>RESIDENCIAL BEYOND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202</t>
        </is>
      </c>
      <c r="G240" s="39" t="n">
        <v>430000</v>
      </c>
      <c r="H240" s="39" t="n">
        <v>430000</v>
      </c>
      <c r="M240" s="39" t="n"/>
      <c r="N240" s="39" t="n"/>
      <c r="S240" s="39" t="n"/>
      <c r="T240" s="39" t="n"/>
      <c r="Y240" s="39" t="n"/>
      <c r="Z240" s="39" t="n"/>
      <c r="AA240" t="inlineStr">
        <is>
          <t>Margarita Mercedes Lujas Paredes</t>
        </is>
      </c>
      <c r="AB240" t="inlineStr">
        <is>
          <t>06772294</t>
        </is>
      </c>
      <c r="AC240" t="inlineStr">
        <is>
          <t>Jr. Aguarico 1412 Dpto. 202</t>
        </is>
      </c>
      <c r="AD240" t="n">
        <v>0</v>
      </c>
      <c r="AE240" t="inlineStr">
        <is>
          <t>949196249</t>
        </is>
      </c>
      <c r="AF240" t="inlineStr">
        <is>
          <t>maggilujan@hotmail.com</t>
        </is>
      </c>
      <c r="AG240" t="inlineStr">
        <is>
          <t>LIMA</t>
        </is>
      </c>
      <c r="AH240" t="inlineStr">
        <is>
          <t>BREÑA</t>
        </is>
      </c>
      <c r="AI240" s="116" t="n">
        <v>45837</v>
      </c>
      <c r="AJ240" s="116" t="n">
        <v>45837</v>
      </c>
      <c r="AK240" t="inlineStr">
        <is>
          <t>SEPARACION</t>
        </is>
      </c>
      <c r="AL240" t="n">
        <v>1</v>
      </c>
      <c r="AM240" t="n">
        <v>3000</v>
      </c>
      <c r="AN240" t="n">
        <v>0</v>
      </c>
      <c r="AO240" t="n">
        <v>0</v>
      </c>
      <c r="AP240" s="39" t="n">
        <v>3000</v>
      </c>
      <c r="AQ240" s="39" t="n">
        <v>3000</v>
      </c>
      <c r="AR240" s="39" t="n">
        <v>0</v>
      </c>
      <c r="AS240" t="n">
        <v>0</v>
      </c>
      <c r="AT240" t="inlineStr">
        <is>
          <t>Ahorro</t>
        </is>
      </c>
      <c r="AU240" t="inlineStr">
        <is>
          <t>Banco de Credito del Perú</t>
        </is>
      </c>
      <c r="AV240" t="inlineStr">
        <is>
          <t>194-7325779-0-65</t>
        </is>
      </c>
      <c r="AW240" t="inlineStr">
        <is>
          <t>TRANSFERENCIA BANCARIA</t>
        </is>
      </c>
      <c r="AX240" t="inlineStr">
        <is>
          <t>06772294</t>
        </is>
      </c>
      <c r="AY240" t="inlineStr">
        <is>
          <t>00007175000000000</t>
        </is>
      </c>
      <c r="AZ240" t="inlineStr">
        <is>
          <t>No</t>
        </is>
      </c>
      <c r="BA240" t="inlineStr">
        <is>
          <t>NO PRECISA</t>
        </is>
      </c>
      <c r="BB240" t="n">
        <v>4</v>
      </c>
      <c r="BC240" t="inlineStr">
        <is>
          <t>CANCELADO</t>
        </is>
      </c>
      <c r="BN240" t="inlineStr">
        <is>
          <t>Si</t>
        </is>
      </c>
      <c r="BO240" s="117" t="n">
        <v>45917.17222222222</v>
      </c>
      <c r="BP240" t="inlineStr">
        <is>
          <t>Carla Michue M</t>
        </is>
      </c>
      <c r="BR240" t="n">
        <v>2</v>
      </c>
      <c r="BS240" t="inlineStr">
        <is>
          <t>01/05/2026 09:58</t>
        </is>
      </c>
      <c r="BT240" t="n">
        <v>0</v>
      </c>
      <c r="BX240" t="inlineStr">
        <is>
          <t>Cobranzas_2025.csv</t>
        </is>
      </c>
      <c r="BY240" t="n">
        <v>2025</v>
      </c>
      <c r="BZ240" t="inlineStr">
        <is>
          <t>01/01/2024</t>
        </is>
      </c>
      <c r="CA240" t="inlineStr">
        <is>
          <t>30/09/2031</t>
        </is>
      </c>
    </row>
    <row r="241">
      <c r="A241" t="inlineStr">
        <is>
          <t>RESIDENCIAL BEYOND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202</t>
        </is>
      </c>
      <c r="G241" s="39" t="n">
        <v>430000</v>
      </c>
      <c r="H241" s="39" t="n">
        <v>430000</v>
      </c>
      <c r="M241" s="39" t="n"/>
      <c r="N241" s="39" t="n"/>
      <c r="S241" s="39" t="n"/>
      <c r="T241" s="39" t="n"/>
      <c r="Y241" s="39" t="n"/>
      <c r="Z241" s="39" t="n"/>
      <c r="AA241" t="inlineStr">
        <is>
          <t>Margarita Mercedes Lujas Paredes</t>
        </is>
      </c>
      <c r="AB241" t="inlineStr">
        <is>
          <t>06772294</t>
        </is>
      </c>
      <c r="AC241" t="inlineStr">
        <is>
          <t>Jr. Aguarico 1412 Dpto. 202</t>
        </is>
      </c>
      <c r="AD241" t="n">
        <v>0</v>
      </c>
      <c r="AE241" t="inlineStr">
        <is>
          <t>949196249</t>
        </is>
      </c>
      <c r="AF241" t="inlineStr">
        <is>
          <t>maggilujan@hotmail.com</t>
        </is>
      </c>
      <c r="AG241" t="inlineStr">
        <is>
          <t>LIMA</t>
        </is>
      </c>
      <c r="AH241" t="inlineStr">
        <is>
          <t>BREÑA</t>
        </is>
      </c>
      <c r="AI241" s="116" t="n">
        <v>45917</v>
      </c>
      <c r="AJ241" s="116" t="n">
        <v>45917</v>
      </c>
      <c r="AK241" t="inlineStr">
        <is>
          <t>CUOTA INICIAL</t>
        </is>
      </c>
      <c r="AL241" t="n">
        <v>1</v>
      </c>
      <c r="AM241" t="n">
        <v>20000</v>
      </c>
      <c r="AN241" t="n">
        <v>0</v>
      </c>
      <c r="AO241" t="n">
        <v>0</v>
      </c>
      <c r="AP241" s="39" t="n">
        <v>20000</v>
      </c>
      <c r="AQ241" s="39" t="n">
        <v>20000</v>
      </c>
      <c r="AR241" s="39" t="n">
        <v>0</v>
      </c>
      <c r="AS241" t="n">
        <v>0</v>
      </c>
      <c r="AT241" t="inlineStr">
        <is>
          <t>Ahorro</t>
        </is>
      </c>
      <c r="AU241" t="inlineStr">
        <is>
          <t>Banco de Credito del Perú</t>
        </is>
      </c>
      <c r="AV241" t="inlineStr">
        <is>
          <t>194-7325779-0-65</t>
        </is>
      </c>
      <c r="AW241" t="inlineStr">
        <is>
          <t>TRANSFERENCIA BANCARIA</t>
        </is>
      </c>
      <c r="AX241" t="inlineStr">
        <is>
          <t>06772294</t>
        </is>
      </c>
      <c r="AY241" t="inlineStr">
        <is>
          <t>00007344000000000</t>
        </is>
      </c>
      <c r="AZ241" t="inlineStr">
        <is>
          <t>No</t>
        </is>
      </c>
      <c r="BA241" t="inlineStr">
        <is>
          <t>NO PRECISA</t>
        </is>
      </c>
      <c r="BB241" t="n">
        <v>4</v>
      </c>
      <c r="BC241" t="inlineStr">
        <is>
          <t>CANCELADO</t>
        </is>
      </c>
      <c r="BN241" t="inlineStr">
        <is>
          <t>Si</t>
        </is>
      </c>
      <c r="BO241" s="117" t="n">
        <v>45917.17222222222</v>
      </c>
      <c r="BP241" t="inlineStr">
        <is>
          <t>Carla Michue M</t>
        </is>
      </c>
      <c r="BR241" t="n">
        <v>2</v>
      </c>
      <c r="BS241" t="inlineStr">
        <is>
          <t>18/05/2026 04:17</t>
        </is>
      </c>
      <c r="BT241" t="n">
        <v>0</v>
      </c>
      <c r="BX241" t="inlineStr">
        <is>
          <t>Cobranzas_2025.csv</t>
        </is>
      </c>
      <c r="BY241" t="n">
        <v>2025</v>
      </c>
      <c r="BZ241" t="inlineStr">
        <is>
          <t>01/01/2024</t>
        </is>
      </c>
      <c r="CA241" t="inlineStr">
        <is>
          <t>30/09/2031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202</t>
        </is>
      </c>
      <c r="G242" s="39" t="n">
        <v>446900</v>
      </c>
      <c r="H242" s="39" t="n">
        <v>446900</v>
      </c>
      <c r="M242" s="39" t="n"/>
      <c r="N242" s="39" t="n"/>
      <c r="S242" s="39" t="n"/>
      <c r="T242" s="39" t="n"/>
      <c r="Y242" s="39" t="n"/>
      <c r="Z242" s="39" t="n"/>
      <c r="AA242" t="inlineStr">
        <is>
          <t>María Cristina Collazos Romero</t>
        </is>
      </c>
      <c r="AB242" t="inlineStr">
        <is>
          <t>31676885</t>
        </is>
      </c>
      <c r="AC242" t="inlineStr">
        <is>
          <t>Jr. Huandoy 242</t>
        </is>
      </c>
      <c r="AD242" t="n">
        <v>969870030</v>
      </c>
      <c r="AE242" t="inlineStr">
        <is>
          <t>969870030</t>
        </is>
      </c>
      <c r="AF242" t="inlineStr">
        <is>
          <t>gerenciasnacks1@gmail.com</t>
        </is>
      </c>
      <c r="AG242" t="inlineStr">
        <is>
          <t>HUARAZ</t>
        </is>
      </c>
      <c r="AH242" t="inlineStr">
        <is>
          <t>HUARAZ</t>
        </is>
      </c>
      <c r="AI242" s="116" t="n">
        <v>45911</v>
      </c>
      <c r="AJ242" s="116" t="n">
        <v>45911</v>
      </c>
      <c r="AK242" t="inlineStr">
        <is>
          <t>CUOTA INICIAL</t>
        </is>
      </c>
      <c r="AL242" t="n">
        <v>1</v>
      </c>
      <c r="AM242" t="n">
        <v>86380</v>
      </c>
      <c r="AN242" t="n">
        <v>0</v>
      </c>
      <c r="AO242" t="n">
        <v>0</v>
      </c>
      <c r="AP242" s="39" t="n">
        <v>86380</v>
      </c>
      <c r="AQ242" s="39" t="n">
        <v>86380</v>
      </c>
      <c r="AR242" s="39" t="n">
        <v>0</v>
      </c>
      <c r="AS242" t="n">
        <v>0</v>
      </c>
      <c r="AT242" t="inlineStr">
        <is>
          <t>Crédito Hipotecario</t>
        </is>
      </c>
      <c r="AU242" t="inlineStr">
        <is>
          <t>Scotiabank Perú</t>
        </is>
      </c>
      <c r="AV242" t="inlineStr">
        <is>
          <t>000-2768484</t>
        </is>
      </c>
      <c r="AW242" t="inlineStr">
        <is>
          <t>TRANSFERENCIA BANCARIA</t>
        </is>
      </c>
      <c r="AY242" t="inlineStr">
        <is>
          <t>U100030</t>
        </is>
      </c>
      <c r="AZ242" t="inlineStr">
        <is>
          <t>No</t>
        </is>
      </c>
      <c r="BA242" t="inlineStr">
        <is>
          <t>NO PRECISA</t>
        </is>
      </c>
      <c r="BB242" t="n">
        <v>4</v>
      </c>
      <c r="BC242" t="inlineStr">
        <is>
          <t>CANCELADO</t>
        </is>
      </c>
      <c r="BN242" t="inlineStr">
        <is>
          <t>Si</t>
        </is>
      </c>
      <c r="BO242" s="117" t="n">
        <v>45911.60694444444</v>
      </c>
      <c r="BP242" t="inlineStr">
        <is>
          <t>Kenny Salazar S</t>
        </is>
      </c>
      <c r="BR242" t="n">
        <v>33</v>
      </c>
      <c r="BS242" t="inlineStr">
        <is>
          <t>29/06/2026 21:11</t>
        </is>
      </c>
      <c r="BT242" t="n">
        <v>0</v>
      </c>
      <c r="BX242" t="inlineStr">
        <is>
          <t>Cobranzas_2025.csv</t>
        </is>
      </c>
      <c r="BY242" t="n">
        <v>2025</v>
      </c>
      <c r="BZ242" t="inlineStr">
        <is>
          <t>01/01/2024</t>
        </is>
      </c>
      <c r="CA242" t="inlineStr">
        <is>
          <t>30/09/2031</t>
        </is>
      </c>
    </row>
    <row r="243">
      <c r="A243" t="inlineStr">
        <is>
          <t>RESIDENCIAL PRADA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202</t>
        </is>
      </c>
      <c r="G243" s="39" t="n">
        <v>446900</v>
      </c>
      <c r="H243" s="39" t="n">
        <v>446900</v>
      </c>
      <c r="M243" s="39" t="n"/>
      <c r="N243" s="39" t="n"/>
      <c r="S243" s="39" t="n"/>
      <c r="T243" s="39" t="n"/>
      <c r="Y243" s="39" t="n"/>
      <c r="Z243" s="39" t="n"/>
      <c r="AA243" t="inlineStr">
        <is>
          <t>María Cristina Collazos Romero</t>
        </is>
      </c>
      <c r="AB243" t="inlineStr">
        <is>
          <t>31676885</t>
        </is>
      </c>
      <c r="AC243" t="inlineStr">
        <is>
          <t>Jr. Huandoy 242</t>
        </is>
      </c>
      <c r="AD243" t="n">
        <v>969870030</v>
      </c>
      <c r="AE243" t="inlineStr">
        <is>
          <t>969870030</t>
        </is>
      </c>
      <c r="AF243" t="inlineStr">
        <is>
          <t>gerenciasnacks1@gmail.com</t>
        </is>
      </c>
      <c r="AG243" t="inlineStr">
        <is>
          <t>HUARAZ</t>
        </is>
      </c>
      <c r="AH243" t="inlineStr">
        <is>
          <t>HUARAZ</t>
        </is>
      </c>
      <c r="AI243" s="116" t="n">
        <v>46021</v>
      </c>
      <c r="AJ243" s="116" t="n">
        <v>46021</v>
      </c>
      <c r="AK243" t="inlineStr">
        <is>
          <t>SALDO FINANCIAR</t>
        </is>
      </c>
      <c r="AL243" t="n">
        <v>1</v>
      </c>
      <c r="AM243" t="n">
        <v>357520</v>
      </c>
      <c r="AN243" t="n">
        <v>0</v>
      </c>
      <c r="AO243" t="n">
        <v>0</v>
      </c>
      <c r="AP243" s="39" t="n">
        <v>357520</v>
      </c>
      <c r="AQ243" s="39" t="n">
        <v>357520</v>
      </c>
      <c r="AR243" s="39" t="n">
        <v>0</v>
      </c>
      <c r="AS243" t="n">
        <v>0</v>
      </c>
      <c r="AT243" t="inlineStr">
        <is>
          <t>Crédito Hipotecario</t>
        </is>
      </c>
      <c r="AU243" t="inlineStr">
        <is>
          <t>Scotiabank Perú</t>
        </is>
      </c>
      <c r="AV243" t="inlineStr">
        <is>
          <t>000-2768484</t>
        </is>
      </c>
      <c r="AW243" t="inlineStr">
        <is>
          <t>TRANSFERENCIA BANCARIA</t>
        </is>
      </c>
      <c r="AY243" t="inlineStr">
        <is>
          <t>30102025</t>
        </is>
      </c>
      <c r="AZ243" t="inlineStr">
        <is>
          <t>No</t>
        </is>
      </c>
      <c r="BA243" t="inlineStr">
        <is>
          <t>NO PRECISA</t>
        </is>
      </c>
      <c r="BB243" t="n">
        <v>4</v>
      </c>
      <c r="BC243" t="inlineStr">
        <is>
          <t>CANCELADO</t>
        </is>
      </c>
      <c r="BN243" t="inlineStr">
        <is>
          <t>Si</t>
        </is>
      </c>
      <c r="BO243" s="117" t="n">
        <v>45911.60694444444</v>
      </c>
      <c r="BP243" t="inlineStr">
        <is>
          <t>Kenny Salazar S</t>
        </is>
      </c>
      <c r="BR243" t="n">
        <v>33</v>
      </c>
      <c r="BS243" t="inlineStr">
        <is>
          <t>29/06/2026 21:12</t>
        </is>
      </c>
      <c r="BT243" t="n">
        <v>0</v>
      </c>
      <c r="BX243" t="inlineStr">
        <is>
          <t>Cobranzas_2025.csv</t>
        </is>
      </c>
      <c r="BY243" t="n">
        <v>2025</v>
      </c>
      <c r="BZ243" t="inlineStr">
        <is>
          <t>01/01/2024</t>
        </is>
      </c>
      <c r="CA243" t="inlineStr">
        <is>
          <t>30/09/2031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1002</t>
        </is>
      </c>
      <c r="G244" s="39" t="n">
        <v>415000</v>
      </c>
      <c r="H244" s="39" t="n">
        <v>415000</v>
      </c>
      <c r="M244" s="39" t="n"/>
      <c r="N244" s="39" t="n"/>
      <c r="S244" s="39" t="n"/>
      <c r="T244" s="39" t="n"/>
      <c r="Y244" s="39" t="n"/>
      <c r="Z244" s="39" t="n"/>
      <c r="AA244" t="inlineStr">
        <is>
          <t>Maria de los Angeles Ibañez Mogrovejo</t>
        </is>
      </c>
      <c r="AB244" t="inlineStr">
        <is>
          <t>72190258</t>
        </is>
      </c>
      <c r="AC244" t="inlineStr">
        <is>
          <t xml:space="preserve">Coop.Colegio de Abogados Mz.ELT.1 </t>
        </is>
      </c>
      <c r="AE244" t="inlineStr">
        <is>
          <t>982570759</t>
        </is>
      </c>
      <c r="AF244" t="inlineStr">
        <is>
          <t>maria.benezmogrovejo@gmail.com</t>
        </is>
      </c>
      <c r="AG244" t="inlineStr">
        <is>
          <t>AREQUIPA</t>
        </is>
      </c>
      <c r="AH244" t="inlineStr">
        <is>
          <t>YANAHUARA</t>
        </is>
      </c>
      <c r="AI244" s="116" t="n">
        <v>45921</v>
      </c>
      <c r="AJ244" s="116" t="n">
        <v>45921</v>
      </c>
      <c r="AK244" t="inlineStr">
        <is>
          <t>SEPARACION</t>
        </is>
      </c>
      <c r="AL244" t="n">
        <v>1</v>
      </c>
      <c r="AM244" t="n">
        <v>3000</v>
      </c>
      <c r="AN244" t="n">
        <v>0</v>
      </c>
      <c r="AO244" t="n">
        <v>0</v>
      </c>
      <c r="AP244" s="39" t="n">
        <v>3000</v>
      </c>
      <c r="AQ244" s="39" t="n">
        <v>3000</v>
      </c>
      <c r="AR244" s="39" t="n">
        <v>0</v>
      </c>
      <c r="AS244" t="n">
        <v>0</v>
      </c>
      <c r="AT244" t="inlineStr">
        <is>
          <t>Ahorro</t>
        </is>
      </c>
      <c r="AU244" t="inlineStr">
        <is>
          <t>Scotiabank Perú</t>
        </is>
      </c>
      <c r="AV244" t="inlineStr">
        <is>
          <t>000-2768484</t>
        </is>
      </c>
      <c r="AW244" t="inlineStr">
        <is>
          <t>TRANSFERENCIA BANCARIA</t>
        </is>
      </c>
      <c r="AX244" t="inlineStr">
        <is>
          <t>72190258</t>
        </is>
      </c>
      <c r="AY244" t="inlineStr">
        <is>
          <t>2335911</t>
        </is>
      </c>
      <c r="AZ244" t="inlineStr">
        <is>
          <t>No</t>
        </is>
      </c>
      <c r="BA244" t="inlineStr">
        <is>
          <t>NO PRECISA</t>
        </is>
      </c>
      <c r="BB244" t="n">
        <v>1</v>
      </c>
      <c r="BC244" t="inlineStr">
        <is>
          <t>CANCELADO</t>
        </is>
      </c>
      <c r="BN244" t="inlineStr">
        <is>
          <t>Si</t>
        </is>
      </c>
      <c r="BO244" s="117" t="n">
        <v>45993.73611111111</v>
      </c>
      <c r="BP244" t="inlineStr">
        <is>
          <t>Carla Michue M</t>
        </is>
      </c>
      <c r="BR244" t="n">
        <v>16</v>
      </c>
      <c r="BS244" t="inlineStr">
        <is>
          <t>29/05/2026 12:21</t>
        </is>
      </c>
      <c r="BT244" t="n">
        <v>0</v>
      </c>
      <c r="BX244" t="inlineStr">
        <is>
          <t>Cobranzas_2025.csv</t>
        </is>
      </c>
      <c r="BY244" t="n">
        <v>2025</v>
      </c>
      <c r="BZ244" t="inlineStr">
        <is>
          <t>01/01/2024</t>
        </is>
      </c>
      <c r="CA244" t="inlineStr">
        <is>
          <t>30/09/2031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1002</t>
        </is>
      </c>
      <c r="G245" s="39" t="n">
        <v>415000</v>
      </c>
      <c r="H245" s="39" t="n">
        <v>415000</v>
      </c>
      <c r="M245" s="39" t="n"/>
      <c r="N245" s="39" t="n"/>
      <c r="S245" s="39" t="n"/>
      <c r="T245" s="39" t="n"/>
      <c r="Y245" s="39" t="n"/>
      <c r="Z245" s="39" t="n"/>
      <c r="AA245" t="inlineStr">
        <is>
          <t>Maria de los Angeles Ibañez Mogrovejo</t>
        </is>
      </c>
      <c r="AB245" t="inlineStr">
        <is>
          <t>72190258</t>
        </is>
      </c>
      <c r="AC245" t="inlineStr">
        <is>
          <t xml:space="preserve">Coop.Colegio de Abogados Mz.ELT.1 </t>
        </is>
      </c>
      <c r="AE245" t="inlineStr">
        <is>
          <t>982570759</t>
        </is>
      </c>
      <c r="AF245" t="inlineStr">
        <is>
          <t>maria.benezmogrovejo@gmail.com</t>
        </is>
      </c>
      <c r="AG245" t="inlineStr">
        <is>
          <t>AREQUIPA</t>
        </is>
      </c>
      <c r="AH245" t="inlineStr">
        <is>
          <t>YANAHUARA</t>
        </is>
      </c>
      <c r="AI245" s="116" t="n">
        <v>45993</v>
      </c>
      <c r="AJ245" s="116" t="n">
        <v>45993</v>
      </c>
      <c r="AK245" t="inlineStr">
        <is>
          <t>CUOTA INICIAL</t>
        </is>
      </c>
      <c r="AL245" t="n">
        <v>1</v>
      </c>
      <c r="AM245" t="n">
        <v>38500</v>
      </c>
      <c r="AN245" t="n">
        <v>0</v>
      </c>
      <c r="AO245" t="n">
        <v>0</v>
      </c>
      <c r="AP245" s="39" t="n">
        <v>38500</v>
      </c>
      <c r="AQ245" s="39" t="n">
        <v>38500</v>
      </c>
      <c r="AR245" s="39" t="n">
        <v>0</v>
      </c>
      <c r="AS245" t="n">
        <v>0</v>
      </c>
      <c r="AT245" t="inlineStr">
        <is>
          <t>Ahorro</t>
        </is>
      </c>
      <c r="AU245" t="inlineStr">
        <is>
          <t>Scotiabank Perú</t>
        </is>
      </c>
      <c r="AV245" t="inlineStr">
        <is>
          <t>000-2768484</t>
        </is>
      </c>
      <c r="AW245" t="inlineStr">
        <is>
          <t>TRANSFERENCIA BANCARIA</t>
        </is>
      </c>
      <c r="AY245" t="inlineStr">
        <is>
          <t>0241196</t>
        </is>
      </c>
      <c r="AZ245" t="inlineStr">
        <is>
          <t>No</t>
        </is>
      </c>
      <c r="BB245" t="n">
        <v>4</v>
      </c>
      <c r="BC245" t="inlineStr">
        <is>
          <t>CANCELADO</t>
        </is>
      </c>
      <c r="BN245" t="inlineStr">
        <is>
          <t>Si</t>
        </is>
      </c>
      <c r="BO245" s="117" t="n">
        <v>45993.73611111111</v>
      </c>
      <c r="BP245" t="inlineStr">
        <is>
          <t>Carla Michue M</t>
        </is>
      </c>
      <c r="BR245" t="n">
        <v>16</v>
      </c>
      <c r="BS245" t="inlineStr">
        <is>
          <t>03/07/2026 19:10</t>
        </is>
      </c>
      <c r="BT245" t="n">
        <v>0</v>
      </c>
      <c r="BX245" t="inlineStr">
        <is>
          <t>Cobranzas_2025.csv</t>
        </is>
      </c>
      <c r="BY245" t="n">
        <v>2025</v>
      </c>
      <c r="BZ245" t="inlineStr">
        <is>
          <t>01/01/2024</t>
        </is>
      </c>
      <c r="CA245" t="inlineStr">
        <is>
          <t>30/09/2031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1002</t>
        </is>
      </c>
      <c r="G246" s="39" t="n">
        <v>415000</v>
      </c>
      <c r="H246" s="39" t="n">
        <v>415000</v>
      </c>
      <c r="M246" s="39" t="n"/>
      <c r="N246" s="39" t="n"/>
      <c r="S246" s="39" t="n"/>
      <c r="T246" s="39" t="n"/>
      <c r="Y246" s="39" t="n"/>
      <c r="Z246" s="39" t="n"/>
      <c r="AA246" t="inlineStr">
        <is>
          <t>Maria de los Angeles Ibañez Mogrovejo</t>
        </is>
      </c>
      <c r="AB246" t="inlineStr">
        <is>
          <t>72190258</t>
        </is>
      </c>
      <c r="AC246" t="inlineStr">
        <is>
          <t xml:space="preserve">Coop.Colegio de Abogados Mz.ELT.1 </t>
        </is>
      </c>
      <c r="AE246" t="inlineStr">
        <is>
          <t>982570759</t>
        </is>
      </c>
      <c r="AF246" t="inlineStr">
        <is>
          <t>maria.benezmogrovejo@gmail.com</t>
        </is>
      </c>
      <c r="AG246" t="inlineStr">
        <is>
          <t>AREQUIPA</t>
        </is>
      </c>
      <c r="AH246" t="inlineStr">
        <is>
          <t>YANAHUARA</t>
        </is>
      </c>
      <c r="AI246" s="116" t="n">
        <v>45746</v>
      </c>
      <c r="AJ246" s="116" t="n">
        <v>46203</v>
      </c>
      <c r="AK246" t="inlineStr">
        <is>
          <t>SALDO FINANCIAR</t>
        </is>
      </c>
      <c r="AL246" t="n">
        <v>1</v>
      </c>
      <c r="AM246" t="n">
        <v>244000</v>
      </c>
      <c r="AN246" t="n">
        <v>0</v>
      </c>
      <c r="AO246" t="n">
        <v>0</v>
      </c>
      <c r="AP246" s="39" t="n">
        <v>244000</v>
      </c>
      <c r="AQ246" s="39" t="n">
        <v>244000</v>
      </c>
      <c r="AR246" s="39" t="n">
        <v>0</v>
      </c>
      <c r="AS246" t="n">
        <v>0</v>
      </c>
      <c r="AT246" t="inlineStr">
        <is>
          <t>Ahorro</t>
        </is>
      </c>
      <c r="AU246" t="inlineStr">
        <is>
          <t>Scotiabank Perú</t>
        </is>
      </c>
      <c r="AV246" t="inlineStr">
        <is>
          <t>000-2768484</t>
        </is>
      </c>
      <c r="AW246" t="inlineStr">
        <is>
          <t>TRANSFERENCIA BANCARIA</t>
        </is>
      </c>
      <c r="AY246" t="inlineStr">
        <is>
          <t>30062026</t>
        </is>
      </c>
      <c r="AZ246" t="inlineStr">
        <is>
          <t>Si</t>
        </is>
      </c>
      <c r="BB246" t="n">
        <v>4</v>
      </c>
      <c r="BC246" t="inlineStr">
        <is>
          <t>CANCELADO</t>
        </is>
      </c>
      <c r="BN246" t="inlineStr">
        <is>
          <t>Si</t>
        </is>
      </c>
      <c r="BO246" s="117" t="n">
        <v>45993.73611111111</v>
      </c>
      <c r="BP246" t="inlineStr">
        <is>
          <t>Carla Michue M</t>
        </is>
      </c>
      <c r="BR246" t="n">
        <v>16</v>
      </c>
      <c r="BS246" t="inlineStr">
        <is>
          <t>03/07/2026 19:12</t>
        </is>
      </c>
      <c r="BT246" t="n">
        <v>0</v>
      </c>
      <c r="BX246" t="inlineStr">
        <is>
          <t>Cobranzas_2025.csv</t>
        </is>
      </c>
      <c r="BY246" t="n">
        <v>2025</v>
      </c>
      <c r="BZ246" t="inlineStr">
        <is>
          <t>01/01/2024</t>
        </is>
      </c>
      <c r="CA246" t="inlineStr">
        <is>
          <t>30/09/2031</t>
        </is>
      </c>
    </row>
    <row r="247">
      <c r="A247" t="inlineStr">
        <is>
          <t>RESIDENCIAL VENECIA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205</t>
        </is>
      </c>
      <c r="G247" s="39" t="n">
        <v>386000</v>
      </c>
      <c r="H247" s="39" t="n">
        <v>386000</v>
      </c>
      <c r="I247" t="inlineStr">
        <is>
          <t>Edificio</t>
        </is>
      </c>
      <c r="J247" t="inlineStr">
        <is>
          <t>A</t>
        </is>
      </c>
      <c r="K247" t="inlineStr">
        <is>
          <t>Estacionamiento</t>
        </is>
      </c>
      <c r="L247" t="inlineStr">
        <is>
          <t>E 20</t>
        </is>
      </c>
      <c r="M247" s="39" t="n">
        <v>46800</v>
      </c>
      <c r="N247" s="39" t="n">
        <v>46800</v>
      </c>
      <c r="S247" s="39" t="n"/>
      <c r="T247" s="39" t="n"/>
      <c r="Y247" s="39" t="n"/>
      <c r="Z247" s="39" t="n"/>
      <c r="AA247" t="inlineStr">
        <is>
          <t>Mariela Gabriela Zapata Santivañez</t>
        </is>
      </c>
      <c r="AB247" t="inlineStr">
        <is>
          <t>47172559</t>
        </is>
      </c>
      <c r="AC247" t="inlineStr">
        <is>
          <t>Calle Manuel de Falla 233 - 237 Dpto. 102</t>
        </is>
      </c>
      <c r="AD247" t="n">
        <v>0</v>
      </c>
      <c r="AE247" t="inlineStr">
        <is>
          <t>998346460</t>
        </is>
      </c>
      <c r="AF247" t="inlineStr">
        <is>
          <t>g.zapata.santivanez@gmail.com</t>
        </is>
      </c>
      <c r="AG247" t="inlineStr">
        <is>
          <t>LIMA</t>
        </is>
      </c>
      <c r="AH247" t="inlineStr">
        <is>
          <t>SAN BORJA</t>
        </is>
      </c>
      <c r="AI247" s="116" t="n">
        <v>46009</v>
      </c>
      <c r="AJ247" s="116" t="n">
        <v>46009</v>
      </c>
      <c r="AK247" t="inlineStr">
        <is>
          <t>SEPARACION</t>
        </is>
      </c>
      <c r="AL247" t="n">
        <v>1</v>
      </c>
      <c r="AM247" t="n">
        <v>3000</v>
      </c>
      <c r="AN247" t="n">
        <v>0</v>
      </c>
      <c r="AO247" t="n">
        <v>0</v>
      </c>
      <c r="AP247" s="39" t="n">
        <v>3000</v>
      </c>
      <c r="AQ247" s="39" t="n">
        <v>3000</v>
      </c>
      <c r="AR247" s="39" t="n">
        <v>0</v>
      </c>
      <c r="AS247" t="n">
        <v>0</v>
      </c>
      <c r="AT247" t="inlineStr">
        <is>
          <t>Crédito Hipotecario</t>
        </is>
      </c>
      <c r="AU247" t="inlineStr">
        <is>
          <t>Scotiabank Perú</t>
        </is>
      </c>
      <c r="AV247" t="inlineStr">
        <is>
          <t>0004071419</t>
        </is>
      </c>
      <c r="AW247" t="inlineStr">
        <is>
          <t>TRANSFERENCIA BANCARIA</t>
        </is>
      </c>
      <c r="AY247" t="inlineStr">
        <is>
          <t>007246</t>
        </is>
      </c>
      <c r="AZ247" t="inlineStr">
        <is>
          <t>No</t>
        </is>
      </c>
      <c r="BB247" t="n">
        <v>4</v>
      </c>
      <c r="BC247" t="inlineStr">
        <is>
          <t>CANCELADO</t>
        </is>
      </c>
      <c r="BN247" t="inlineStr">
        <is>
          <t>Si</t>
        </is>
      </c>
      <c r="BO247" s="117" t="n">
        <v>46032.38194444445</v>
      </c>
      <c r="BP247" t="inlineStr">
        <is>
          <t>Magaly Guevara Perez</t>
        </is>
      </c>
      <c r="BR247" t="n">
        <v>4</v>
      </c>
      <c r="BS247" t="inlineStr">
        <is>
          <t>14/07/2026 16:48</t>
        </is>
      </c>
      <c r="BT247" t="n">
        <v>0</v>
      </c>
      <c r="BX247" t="inlineStr">
        <is>
          <t>Cobranzas_2025.csv</t>
        </is>
      </c>
      <c r="BY247" t="n">
        <v>2025</v>
      </c>
      <c r="BZ247" t="inlineStr">
        <is>
          <t>01/01/2024</t>
        </is>
      </c>
      <c r="CA247" t="inlineStr">
        <is>
          <t>30/09/2031</t>
        </is>
      </c>
    </row>
    <row r="248">
      <c r="A248" t="inlineStr">
        <is>
          <t>RESIDENCIAL PRADA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505</t>
        </is>
      </c>
      <c r="G248" s="39" t="n">
        <v>490000</v>
      </c>
      <c r="H248" s="39" t="n">
        <v>490000</v>
      </c>
      <c r="M248" s="39" t="n"/>
      <c r="N248" s="39" t="n"/>
      <c r="S248" s="39" t="n"/>
      <c r="T248" s="39" t="n"/>
      <c r="Y248" s="39" t="n"/>
      <c r="Z248" s="39" t="n"/>
      <c r="AA248" t="inlineStr">
        <is>
          <t xml:space="preserve">Marina Francisca Vasquez Samaniego </t>
        </is>
      </c>
      <c r="AB248" t="inlineStr">
        <is>
          <t>19907001</t>
        </is>
      </c>
      <c r="AC248" t="inlineStr">
        <is>
          <t>Huandoy 887</t>
        </is>
      </c>
      <c r="AD248" t="n">
        <v>964247615</v>
      </c>
      <c r="AE248" t="inlineStr">
        <is>
          <t>964247615</t>
        </is>
      </c>
      <c r="AF248" t="inlineStr">
        <is>
          <t>francisca4547@hotmail.com</t>
        </is>
      </c>
      <c r="AG248" t="inlineStr">
        <is>
          <t>LIMA</t>
        </is>
      </c>
      <c r="AH248" t="inlineStr">
        <is>
          <t>SAN MIGUEL</t>
        </is>
      </c>
      <c r="AI248" s="116" t="n">
        <v>45682</v>
      </c>
      <c r="AJ248" s="116" t="n">
        <v>45682</v>
      </c>
      <c r="AK248" t="inlineStr">
        <is>
          <t>CUOTA INICIAL</t>
        </is>
      </c>
      <c r="AL248" t="n">
        <v>2</v>
      </c>
      <c r="AM248" t="n">
        <v>10000</v>
      </c>
      <c r="AN248" t="n">
        <v>0</v>
      </c>
      <c r="AO248" t="n">
        <v>0</v>
      </c>
      <c r="AP248" s="39" t="n">
        <v>10000</v>
      </c>
      <c r="AQ248" s="39" t="n">
        <v>10000</v>
      </c>
      <c r="AR248" s="39" t="n">
        <v>0</v>
      </c>
      <c r="AS248" t="n">
        <v>0</v>
      </c>
      <c r="AT248" t="inlineStr">
        <is>
          <t>Crédito Hipotecario</t>
        </is>
      </c>
      <c r="AU248" t="inlineStr">
        <is>
          <t>Scotiabank Perú</t>
        </is>
      </c>
      <c r="AV248" t="inlineStr">
        <is>
          <t>000-2768484</t>
        </is>
      </c>
      <c r="AW248" t="inlineStr">
        <is>
          <t>TRANSFERENCIA BANCARIA</t>
        </is>
      </c>
      <c r="AX248" t="inlineStr">
        <is>
          <t>19907001</t>
        </is>
      </c>
      <c r="AY248" t="inlineStr">
        <is>
          <t>15623468</t>
        </is>
      </c>
      <c r="AZ248" t="inlineStr">
        <is>
          <t>No</t>
        </is>
      </c>
      <c r="BA248" t="inlineStr">
        <is>
          <t>NO PRECISA</t>
        </is>
      </c>
      <c r="BB248" t="n">
        <v>4</v>
      </c>
      <c r="BC248" t="inlineStr">
        <is>
          <t>CANCELADO</t>
        </is>
      </c>
      <c r="BN248" t="inlineStr">
        <is>
          <t>Si</t>
        </is>
      </c>
      <c r="BO248" s="117" t="n">
        <v>45652.61666666667</v>
      </c>
      <c r="BP248" t="inlineStr">
        <is>
          <t>Carla Michue M</t>
        </is>
      </c>
      <c r="BR248" t="n">
        <v>37</v>
      </c>
      <c r="BS248" t="inlineStr">
        <is>
          <t>05/06/2026 09:11</t>
        </is>
      </c>
      <c r="BT248" t="n">
        <v>0</v>
      </c>
      <c r="BX248" t="inlineStr">
        <is>
          <t>Cobranzas_2025.csv</t>
        </is>
      </c>
      <c r="BY248" t="n">
        <v>2025</v>
      </c>
      <c r="BZ248" t="inlineStr">
        <is>
          <t>01/01/2024</t>
        </is>
      </c>
      <c r="CA248" t="inlineStr">
        <is>
          <t>30/09/2031</t>
        </is>
      </c>
    </row>
    <row r="249">
      <c r="A249" t="inlineStr">
        <is>
          <t>RESIDENCIAL PRADA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505</t>
        </is>
      </c>
      <c r="G249" s="39" t="n">
        <v>490000</v>
      </c>
      <c r="H249" s="39" t="n">
        <v>490000</v>
      </c>
      <c r="M249" s="39" t="n"/>
      <c r="N249" s="39" t="n"/>
      <c r="S249" s="39" t="n"/>
      <c r="T249" s="39" t="n"/>
      <c r="Y249" s="39" t="n"/>
      <c r="Z249" s="39" t="n"/>
      <c r="AA249" t="inlineStr">
        <is>
          <t xml:space="preserve">Marina Francisca Vasquez Samaniego </t>
        </is>
      </c>
      <c r="AB249" t="inlineStr">
        <is>
          <t>19907001</t>
        </is>
      </c>
      <c r="AC249" t="inlineStr">
        <is>
          <t>Huandoy 887</t>
        </is>
      </c>
      <c r="AD249" t="n">
        <v>964247615</v>
      </c>
      <c r="AE249" t="inlineStr">
        <is>
          <t>964247615</t>
        </is>
      </c>
      <c r="AF249" t="inlineStr">
        <is>
          <t>francisca4547@hotmail.com</t>
        </is>
      </c>
      <c r="AG249" t="inlineStr">
        <is>
          <t>LIMA</t>
        </is>
      </c>
      <c r="AH249" t="inlineStr">
        <is>
          <t>SAN MIGUEL</t>
        </is>
      </c>
      <c r="AI249" s="116" t="n">
        <v>45706</v>
      </c>
      <c r="AJ249" s="116" t="n">
        <v>45709</v>
      </c>
      <c r="AK249" t="inlineStr">
        <is>
          <t>CUOTA INICIAL</t>
        </is>
      </c>
      <c r="AL249" t="n">
        <v>3</v>
      </c>
      <c r="AM249" t="n">
        <v>30000</v>
      </c>
      <c r="AN249" t="n">
        <v>0</v>
      </c>
      <c r="AO249" t="n">
        <v>0</v>
      </c>
      <c r="AP249" s="39" t="n">
        <v>30000</v>
      </c>
      <c r="AQ249" s="39" t="n">
        <v>30000</v>
      </c>
      <c r="AR249" s="39" t="n">
        <v>0</v>
      </c>
      <c r="AS249" t="n">
        <v>0</v>
      </c>
      <c r="AT249" t="inlineStr">
        <is>
          <t>Crédito Hipotecario</t>
        </is>
      </c>
      <c r="AU249" t="inlineStr">
        <is>
          <t>Scotiabank Perú</t>
        </is>
      </c>
      <c r="AV249" t="inlineStr">
        <is>
          <t>000-2768484</t>
        </is>
      </c>
      <c r="AW249" t="inlineStr">
        <is>
          <t>TRANSFERENCIA BANCARIA</t>
        </is>
      </c>
      <c r="AX249" t="inlineStr">
        <is>
          <t>19907001</t>
        </is>
      </c>
      <c r="AY249" t="inlineStr">
        <is>
          <t>050003001</t>
        </is>
      </c>
      <c r="AZ249" t="inlineStr">
        <is>
          <t>No</t>
        </is>
      </c>
      <c r="BA249" t="inlineStr">
        <is>
          <t>NO PRECISA</t>
        </is>
      </c>
      <c r="BB249" t="n">
        <v>4</v>
      </c>
      <c r="BC249" t="inlineStr">
        <is>
          <t>CANCELADO</t>
        </is>
      </c>
      <c r="BN249" t="inlineStr">
        <is>
          <t>Si</t>
        </is>
      </c>
      <c r="BO249" s="117" t="n">
        <v>45652.61666666667</v>
      </c>
      <c r="BP249" t="inlineStr">
        <is>
          <t>Carla Michue M</t>
        </is>
      </c>
      <c r="BR249" t="n">
        <v>37</v>
      </c>
      <c r="BS249" t="inlineStr">
        <is>
          <t>05/06/2026 09:08</t>
        </is>
      </c>
      <c r="BT249" t="n">
        <v>0</v>
      </c>
      <c r="BX249" t="inlineStr">
        <is>
          <t>Cobranzas_2025.csv</t>
        </is>
      </c>
      <c r="BY249" t="n">
        <v>2025</v>
      </c>
      <c r="BZ249" t="inlineStr">
        <is>
          <t>01/01/2024</t>
        </is>
      </c>
      <c r="CA249" t="inlineStr">
        <is>
          <t>30/09/2031</t>
        </is>
      </c>
    </row>
    <row r="250">
      <c r="A250" t="inlineStr">
        <is>
          <t>RESIDENCIAL PRADA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505</t>
        </is>
      </c>
      <c r="G250" s="39" t="n">
        <v>490000</v>
      </c>
      <c r="H250" s="39" t="n">
        <v>490000</v>
      </c>
      <c r="M250" s="39" t="n"/>
      <c r="N250" s="39" t="n"/>
      <c r="S250" s="39" t="n"/>
      <c r="T250" s="39" t="n"/>
      <c r="Y250" s="39" t="n"/>
      <c r="Z250" s="39" t="n"/>
      <c r="AA250" t="inlineStr">
        <is>
          <t xml:space="preserve">Marina Francisca Vasquez Samaniego </t>
        </is>
      </c>
      <c r="AB250" t="inlineStr">
        <is>
          <t>19907001</t>
        </is>
      </c>
      <c r="AC250" t="inlineStr">
        <is>
          <t>Huandoy 887</t>
        </is>
      </c>
      <c r="AD250" t="n">
        <v>964247615</v>
      </c>
      <c r="AE250" t="inlineStr">
        <is>
          <t>964247615</t>
        </is>
      </c>
      <c r="AF250" t="inlineStr">
        <is>
          <t>francisca4547@hotmail.com</t>
        </is>
      </c>
      <c r="AG250" t="inlineStr">
        <is>
          <t>LIMA</t>
        </is>
      </c>
      <c r="AH250" t="inlineStr">
        <is>
          <t>SAN MIGUEL</t>
        </is>
      </c>
      <c r="AI250" s="116" t="n">
        <v>45746</v>
      </c>
      <c r="AJ250" s="116" t="n">
        <v>45736</v>
      </c>
      <c r="AK250" t="inlineStr">
        <is>
          <t>SALDO FINANCIAR</t>
        </is>
      </c>
      <c r="AL250" t="n">
        <v>1</v>
      </c>
      <c r="AM250" t="n">
        <v>427000</v>
      </c>
      <c r="AN250" t="n">
        <v>0</v>
      </c>
      <c r="AO250" t="n">
        <v>0</v>
      </c>
      <c r="AP250" s="39" t="n">
        <v>427000</v>
      </c>
      <c r="AQ250" s="39" t="n">
        <v>427000</v>
      </c>
      <c r="AR250" s="39" t="n">
        <v>0</v>
      </c>
      <c r="AS250" t="n">
        <v>0</v>
      </c>
      <c r="AT250" t="inlineStr">
        <is>
          <t>Crédito Hipotecario</t>
        </is>
      </c>
      <c r="AU250" t="inlineStr">
        <is>
          <t>Scotiabank Perú</t>
        </is>
      </c>
      <c r="AV250" t="inlineStr">
        <is>
          <t>000-2768484</t>
        </is>
      </c>
      <c r="AW250" t="inlineStr">
        <is>
          <t>TRANSFERENCIA BANCARIA</t>
        </is>
      </c>
      <c r="AY250" t="inlineStr">
        <is>
          <t>20032025</t>
        </is>
      </c>
      <c r="AZ250" t="inlineStr">
        <is>
          <t>No</t>
        </is>
      </c>
      <c r="BB250" t="n">
        <v>4</v>
      </c>
      <c r="BC250" t="inlineStr">
        <is>
          <t>CANCELADO</t>
        </is>
      </c>
      <c r="BN250" t="inlineStr">
        <is>
          <t>Si</t>
        </is>
      </c>
      <c r="BO250" s="117" t="n">
        <v>45652.61666666667</v>
      </c>
      <c r="BP250" t="inlineStr">
        <is>
          <t>Carla Michue M</t>
        </is>
      </c>
      <c r="BR250" t="n">
        <v>37</v>
      </c>
      <c r="BS250" t="inlineStr">
        <is>
          <t>07/07/2026 10:36</t>
        </is>
      </c>
      <c r="BT250" t="n">
        <v>0</v>
      </c>
      <c r="BX250" t="inlineStr">
        <is>
          <t>Cobranzas_2025.csv</t>
        </is>
      </c>
      <c r="BY250" t="n">
        <v>2025</v>
      </c>
      <c r="BZ250" t="inlineStr">
        <is>
          <t>01/01/2024</t>
        </is>
      </c>
      <c r="CA250" t="inlineStr">
        <is>
          <t>30/09/2031</t>
        </is>
      </c>
    </row>
    <row r="251">
      <c r="A251" t="inlineStr">
        <is>
          <t>RESIDENCIAL BEYOND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605</t>
        </is>
      </c>
      <c r="G251" s="39" t="n">
        <v>532100</v>
      </c>
      <c r="H251" s="39" t="n">
        <v>495000</v>
      </c>
      <c r="M251" s="39" t="n"/>
      <c r="N251" s="39" t="n"/>
      <c r="S251" s="39" t="n"/>
      <c r="T251" s="39" t="n"/>
      <c r="Y251" s="39" t="n"/>
      <c r="Z251" s="39" t="n"/>
      <c r="AA251" t="inlineStr">
        <is>
          <t>Mayra Andrea Montenegro Gomez</t>
        </is>
      </c>
      <c r="AB251" t="inlineStr">
        <is>
          <t>73214647</t>
        </is>
      </c>
      <c r="AC251" t="inlineStr">
        <is>
          <t>Jr. Huiracocha 1740 Dpto. 202 Edif Maldonado</t>
        </is>
      </c>
      <c r="AD251" t="n">
        <v>0</v>
      </c>
      <c r="AE251" t="inlineStr">
        <is>
          <t>987505094</t>
        </is>
      </c>
      <c r="AF251" t="inlineStr">
        <is>
          <t>maya.monte18@hotmail.com</t>
        </is>
      </c>
      <c r="AG251" t="inlineStr">
        <is>
          <t>LIMA</t>
        </is>
      </c>
      <c r="AH251" t="inlineStr">
        <is>
          <t>JESUS MARIA</t>
        </is>
      </c>
      <c r="AI251" s="116" t="n">
        <v>45844</v>
      </c>
      <c r="AJ251" s="116" t="n">
        <v>45844</v>
      </c>
      <c r="AK251" t="inlineStr">
        <is>
          <t>SEPARACION</t>
        </is>
      </c>
      <c r="AL251" t="n">
        <v>1</v>
      </c>
      <c r="AM251" t="n">
        <v>3000</v>
      </c>
      <c r="AN251" t="n">
        <v>0</v>
      </c>
      <c r="AO251" t="n">
        <v>0</v>
      </c>
      <c r="AP251" s="39" t="n">
        <v>3000</v>
      </c>
      <c r="AQ251" s="39" t="n">
        <v>3000</v>
      </c>
      <c r="AR251" s="39" t="n">
        <v>0</v>
      </c>
      <c r="AS251" t="n">
        <v>0</v>
      </c>
      <c r="AT251" t="inlineStr">
        <is>
          <t>Crédito Hipotecario</t>
        </is>
      </c>
      <c r="AU251" t="inlineStr">
        <is>
          <t>Banco de Credito del Perú</t>
        </is>
      </c>
      <c r="AV251" t="inlineStr">
        <is>
          <t>194-7325779-0-65</t>
        </is>
      </c>
      <c r="AW251" t="inlineStr">
        <is>
          <t>TRANSFERENCIA BANCARIA</t>
        </is>
      </c>
      <c r="AY251" t="inlineStr">
        <is>
          <t>02111811</t>
        </is>
      </c>
      <c r="AZ251" t="inlineStr">
        <is>
          <t>No</t>
        </is>
      </c>
      <c r="BB251" t="n">
        <v>4</v>
      </c>
      <c r="BC251" t="inlineStr">
        <is>
          <t>CANCELADO</t>
        </is>
      </c>
      <c r="BN251" t="inlineStr">
        <is>
          <t>Si</t>
        </is>
      </c>
      <c r="BO251" s="117" t="n">
        <v>45868.40763888889</v>
      </c>
      <c r="BP251" t="inlineStr">
        <is>
          <t>Carla Michue M</t>
        </is>
      </c>
      <c r="BR251" t="n">
        <v>22</v>
      </c>
      <c r="BS251" t="inlineStr">
        <is>
          <t>19/08/2026 12:06</t>
        </is>
      </c>
      <c r="BT251" t="n">
        <v>0</v>
      </c>
      <c r="BX251" t="inlineStr">
        <is>
          <t>Cobranzas_2025.csv</t>
        </is>
      </c>
      <c r="BY251" t="n">
        <v>2025</v>
      </c>
      <c r="BZ251" t="inlineStr">
        <is>
          <t>01/01/2024</t>
        </is>
      </c>
      <c r="CA251" t="inlineStr">
        <is>
          <t>30/09/2031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1005</t>
        </is>
      </c>
      <c r="G252" s="39" t="n">
        <v>372000</v>
      </c>
      <c r="H252" s="39" t="n">
        <v>372000</v>
      </c>
      <c r="M252" s="39" t="n"/>
      <c r="N252" s="39" t="n"/>
      <c r="S252" s="39" t="n"/>
      <c r="T252" s="39" t="n"/>
      <c r="Y252" s="39" t="n"/>
      <c r="Z252" s="39" t="n"/>
      <c r="AA252" t="inlineStr">
        <is>
          <t>Noelia Abarca Chavez</t>
        </is>
      </c>
      <c r="AB252" t="inlineStr">
        <is>
          <t>74834392</t>
        </is>
      </c>
      <c r="AC252" t="inlineStr">
        <is>
          <t xml:space="preserve"> Juan  Dávalos 570 Piso Nº2  Urbanización Pamplona Baj</t>
        </is>
      </c>
      <c r="AD252" t="n">
        <v>0</v>
      </c>
      <c r="AE252" t="inlineStr">
        <is>
          <t>977162821</t>
        </is>
      </c>
      <c r="AF252" t="inlineStr">
        <is>
          <t>noeliaabarca@outlook.com</t>
        </is>
      </c>
      <c r="AG252" t="inlineStr">
        <is>
          <t>LIMA</t>
        </is>
      </c>
      <c r="AH252" t="inlineStr">
        <is>
          <t>SAN JUAN DE MIRAFLORES</t>
        </is>
      </c>
      <c r="AI252" s="116" t="n">
        <v>45878</v>
      </c>
      <c r="AJ252" s="116" t="n">
        <v>45878</v>
      </c>
      <c r="AK252" t="inlineStr">
        <is>
          <t>SEPARACION</t>
        </is>
      </c>
      <c r="AL252" t="n">
        <v>1</v>
      </c>
      <c r="AM252" t="n">
        <v>18600</v>
      </c>
      <c r="AN252" t="n">
        <v>0</v>
      </c>
      <c r="AO252" t="n">
        <v>0</v>
      </c>
      <c r="AP252" s="39" t="n">
        <v>18600</v>
      </c>
      <c r="AQ252" s="39" t="n">
        <v>18600</v>
      </c>
      <c r="AR252" s="39" t="n">
        <v>0</v>
      </c>
      <c r="AS252" t="n">
        <v>0</v>
      </c>
      <c r="AT252" t="inlineStr">
        <is>
          <t>Crédito Hipotecario</t>
        </is>
      </c>
      <c r="AU252" t="inlineStr">
        <is>
          <t>Scotiabank Perú</t>
        </is>
      </c>
      <c r="AV252" t="inlineStr">
        <is>
          <t>0004071419</t>
        </is>
      </c>
      <c r="AW252" t="inlineStr">
        <is>
          <t>TRANSFERENCIA BANCARIA</t>
        </is>
      </c>
      <c r="AY252" t="inlineStr">
        <is>
          <t>1859313</t>
        </is>
      </c>
      <c r="AZ252" t="inlineStr">
        <is>
          <t>No</t>
        </is>
      </c>
      <c r="BB252" t="n">
        <v>4</v>
      </c>
      <c r="BC252" t="inlineStr">
        <is>
          <t>CANCELADO</t>
        </is>
      </c>
      <c r="BN252" t="inlineStr">
        <is>
          <t>Si</t>
        </is>
      </c>
      <c r="BO252" s="117" t="n">
        <v>45878.92083333333</v>
      </c>
      <c r="BP252" t="inlineStr">
        <is>
          <t>Magaly Guevara Perez</t>
        </is>
      </c>
      <c r="BR252" t="n">
        <v>15</v>
      </c>
      <c r="BS252" t="inlineStr">
        <is>
          <t>24/05/2026 22:02</t>
        </is>
      </c>
      <c r="BT252" t="n">
        <v>0</v>
      </c>
      <c r="BX252" t="inlineStr">
        <is>
          <t>Cobranzas_2025.csv</t>
        </is>
      </c>
      <c r="BY252" t="n">
        <v>2025</v>
      </c>
      <c r="BZ252" t="inlineStr">
        <is>
          <t>01/01/2024</t>
        </is>
      </c>
      <c r="CA252" t="inlineStr">
        <is>
          <t>30/09/2031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39" t="n">
        <v>545000</v>
      </c>
      <c r="H253" s="39" t="n">
        <v>545000</v>
      </c>
      <c r="I253" t="inlineStr">
        <is>
          <t>Edificio</t>
        </is>
      </c>
      <c r="J253" t="inlineStr">
        <is>
          <t>A</t>
        </is>
      </c>
      <c r="K253" t="inlineStr">
        <is>
          <t>Estacionamiento</t>
        </is>
      </c>
      <c r="L253" t="inlineStr">
        <is>
          <t>E 11</t>
        </is>
      </c>
      <c r="M253" s="39" t="n">
        <v>50800</v>
      </c>
      <c r="N253" s="39" t="n">
        <v>50800</v>
      </c>
      <c r="S253" s="39" t="n"/>
      <c r="T253" s="39" t="n"/>
      <c r="Y253" s="39" t="n"/>
      <c r="Z253" s="39" t="n"/>
      <c r="AA253" t="inlineStr">
        <is>
          <t>Norma Luz Tello Contreras</t>
        </is>
      </c>
      <c r="AB253" t="inlineStr">
        <is>
          <t>04063971</t>
        </is>
      </c>
      <c r="AC253" t="inlineStr">
        <is>
          <t>Av. Militar 1745 - Dpto. 1202</t>
        </is>
      </c>
      <c r="AD253" t="n">
        <v>0</v>
      </c>
      <c r="AE253" t="inlineStr">
        <is>
          <t>952305311</t>
        </is>
      </c>
      <c r="AF253" t="inlineStr">
        <is>
          <t>normatello@gmail.com</t>
        </is>
      </c>
      <c r="AG253" t="inlineStr">
        <is>
          <t>LIMA</t>
        </is>
      </c>
      <c r="AH253" t="inlineStr">
        <is>
          <t>LA VICTORIA</t>
        </is>
      </c>
      <c r="AI253" s="116" t="n">
        <v>45831</v>
      </c>
      <c r="AJ253" s="116" t="n">
        <v>45831</v>
      </c>
      <c r="AK253" t="inlineStr">
        <is>
          <t>SEPARACION</t>
        </is>
      </c>
      <c r="AL253" t="n">
        <v>1</v>
      </c>
      <c r="AM253" t="n">
        <v>3000</v>
      </c>
      <c r="AN253" t="n">
        <v>0</v>
      </c>
      <c r="AO253" t="n">
        <v>0</v>
      </c>
      <c r="AP253" s="39" t="n">
        <v>3000</v>
      </c>
      <c r="AQ253" s="39" t="n">
        <v>3000</v>
      </c>
      <c r="AR253" s="39" t="n">
        <v>0</v>
      </c>
      <c r="AS253" t="n">
        <v>0</v>
      </c>
      <c r="AT253" t="inlineStr">
        <is>
          <t>Crédito Directo</t>
        </is>
      </c>
      <c r="AU253" t="inlineStr">
        <is>
          <t>Scotiabank Perú</t>
        </is>
      </c>
      <c r="AV253" t="inlineStr">
        <is>
          <t>0004071419</t>
        </is>
      </c>
      <c r="AW253" t="inlineStr">
        <is>
          <t>TRANSFERENCIA BANCARIA</t>
        </is>
      </c>
      <c r="AY253" t="inlineStr">
        <is>
          <t>U26267</t>
        </is>
      </c>
      <c r="AZ253" t="inlineStr">
        <is>
          <t>Si</t>
        </is>
      </c>
      <c r="BB253" t="n">
        <v>4</v>
      </c>
      <c r="BC253" t="inlineStr">
        <is>
          <t>CANCELADO</t>
        </is>
      </c>
      <c r="BN253" t="inlineStr">
        <is>
          <t>Si</t>
        </is>
      </c>
      <c r="BO253" s="117" t="n">
        <v>45857.51944444444</v>
      </c>
      <c r="BP253" t="inlineStr">
        <is>
          <t>Magaly Guevara Perez</t>
        </is>
      </c>
      <c r="BR253" t="n">
        <v>11</v>
      </c>
      <c r="BS253" t="inlineStr">
        <is>
          <t>21/07/2026 14:18</t>
        </is>
      </c>
      <c r="BT253" t="n">
        <v>0</v>
      </c>
      <c r="BX253" t="inlineStr">
        <is>
          <t>Cobranzas_2025.csv</t>
        </is>
      </c>
      <c r="BY253" t="n">
        <v>2025</v>
      </c>
      <c r="BZ253" t="inlineStr">
        <is>
          <t>01/01/2024</t>
        </is>
      </c>
      <c r="CA253" t="inlineStr">
        <is>
          <t>30/09/2031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39" t="n">
        <v>545000</v>
      </c>
      <c r="H254" s="39" t="n">
        <v>545000</v>
      </c>
      <c r="I254" t="inlineStr">
        <is>
          <t>Edificio</t>
        </is>
      </c>
      <c r="J254" t="inlineStr">
        <is>
          <t>A</t>
        </is>
      </c>
      <c r="K254" t="inlineStr">
        <is>
          <t>Estacionamiento</t>
        </is>
      </c>
      <c r="L254" t="inlineStr">
        <is>
          <t>E 11</t>
        </is>
      </c>
      <c r="M254" s="39" t="n">
        <v>50800</v>
      </c>
      <c r="N254" s="39" t="n">
        <v>50800</v>
      </c>
      <c r="S254" s="39" t="n"/>
      <c r="T254" s="39" t="n"/>
      <c r="Y254" s="39" t="n"/>
      <c r="Z254" s="39" t="n"/>
      <c r="AA254" t="inlineStr">
        <is>
          <t>Norma Luz Tello Contreras</t>
        </is>
      </c>
      <c r="AB254" t="inlineStr">
        <is>
          <t>04063971</t>
        </is>
      </c>
      <c r="AC254" t="inlineStr">
        <is>
          <t>Av. Militar 1745 - Dpto. 1202</t>
        </is>
      </c>
      <c r="AD254" t="n">
        <v>0</v>
      </c>
      <c r="AE254" t="inlineStr">
        <is>
          <t>952305311</t>
        </is>
      </c>
      <c r="AF254" t="inlineStr">
        <is>
          <t>normatello@gmail.com</t>
        </is>
      </c>
      <c r="AG254" t="inlineStr">
        <is>
          <t>LIMA</t>
        </is>
      </c>
      <c r="AH254" t="inlineStr">
        <is>
          <t>LA VICTORIA</t>
        </is>
      </c>
      <c r="AI254" s="116" t="n">
        <v>45876</v>
      </c>
      <c r="AJ254" s="116" t="n">
        <v>45876</v>
      </c>
      <c r="AK254" t="inlineStr">
        <is>
          <t>CUOTA INICIAL</t>
        </is>
      </c>
      <c r="AL254" t="n">
        <v>1</v>
      </c>
      <c r="AM254" t="n">
        <v>72000</v>
      </c>
      <c r="AN254" t="n">
        <v>0</v>
      </c>
      <c r="AO254" t="n">
        <v>0</v>
      </c>
      <c r="AP254" s="39" t="n">
        <v>72000</v>
      </c>
      <c r="AQ254" s="39" t="n">
        <v>72000</v>
      </c>
      <c r="AR254" s="39" t="n">
        <v>0</v>
      </c>
      <c r="AS254" t="n">
        <v>0</v>
      </c>
      <c r="AT254" t="inlineStr">
        <is>
          <t>Crédito Directo</t>
        </is>
      </c>
      <c r="AU254" t="inlineStr">
        <is>
          <t>Scotiabank Perú</t>
        </is>
      </c>
      <c r="AV254" t="inlineStr">
        <is>
          <t>0004071419</t>
        </is>
      </c>
      <c r="AW254" t="inlineStr">
        <is>
          <t>TRANSFERENCIA BANCARIA</t>
        </is>
      </c>
      <c r="AY254" t="inlineStr">
        <is>
          <t>U28740</t>
        </is>
      </c>
      <c r="AZ254" t="inlineStr">
        <is>
          <t>Si</t>
        </is>
      </c>
      <c r="BB254" t="n">
        <v>4</v>
      </c>
      <c r="BC254" t="inlineStr">
        <is>
          <t>CANCELADO</t>
        </is>
      </c>
      <c r="BN254" t="inlineStr">
        <is>
          <t>Si</t>
        </is>
      </c>
      <c r="BO254" s="117" t="n">
        <v>45857.51944444444</v>
      </c>
      <c r="BP254" t="inlineStr">
        <is>
          <t>Magaly Guevara Perez</t>
        </is>
      </c>
      <c r="BR254" t="n">
        <v>11</v>
      </c>
      <c r="BS254" t="inlineStr">
        <is>
          <t>21/07/2026 14:21</t>
        </is>
      </c>
      <c r="BT254" t="n">
        <v>0</v>
      </c>
      <c r="BX254" t="inlineStr">
        <is>
          <t>Cobranzas_2025.csv</t>
        </is>
      </c>
      <c r="BY254" t="n">
        <v>2025</v>
      </c>
      <c r="BZ254" t="inlineStr">
        <is>
          <t>01/01/2024</t>
        </is>
      </c>
      <c r="CA254" t="inlineStr">
        <is>
          <t>30/09/2031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39" t="n">
        <v>545000</v>
      </c>
      <c r="H255" s="39" t="n">
        <v>545000</v>
      </c>
      <c r="I255" t="inlineStr">
        <is>
          <t>Edificio</t>
        </is>
      </c>
      <c r="J255" t="inlineStr">
        <is>
          <t>A</t>
        </is>
      </c>
      <c r="K255" t="inlineStr">
        <is>
          <t>Estacionamiento</t>
        </is>
      </c>
      <c r="L255" t="inlineStr">
        <is>
          <t>E 11</t>
        </is>
      </c>
      <c r="M255" s="39" t="n">
        <v>50800</v>
      </c>
      <c r="N255" s="39" t="n">
        <v>50800</v>
      </c>
      <c r="S255" s="39" t="n"/>
      <c r="T255" s="39" t="n"/>
      <c r="Y255" s="39" t="n"/>
      <c r="Z255" s="39" t="n"/>
      <c r="AA255" t="inlineStr">
        <is>
          <t>Norma Luz Tello Contreras</t>
        </is>
      </c>
      <c r="AB255" t="inlineStr">
        <is>
          <t>04063971</t>
        </is>
      </c>
      <c r="AC255" t="inlineStr">
        <is>
          <t>Av. Militar 1745 - Dpto. 1202</t>
        </is>
      </c>
      <c r="AD255" t="n">
        <v>0</v>
      </c>
      <c r="AE255" t="inlineStr">
        <is>
          <t>952305311</t>
        </is>
      </c>
      <c r="AF255" t="inlineStr">
        <is>
          <t>normatello@gmail.com</t>
        </is>
      </c>
      <c r="AG255" t="inlineStr">
        <is>
          <t>LIMA</t>
        </is>
      </c>
      <c r="AH255" t="inlineStr">
        <is>
          <t>LA VICTORIA</t>
        </is>
      </c>
      <c r="AI255" s="116" t="n">
        <v>45883</v>
      </c>
      <c r="AJ255" s="116" t="n">
        <v>45883</v>
      </c>
      <c r="AK255" t="inlineStr">
        <is>
          <t>CUOTA INICIAL</t>
        </is>
      </c>
      <c r="AL255" t="n">
        <v>2</v>
      </c>
      <c r="AM255" t="n">
        <v>70000</v>
      </c>
      <c r="AN255" t="n">
        <v>0</v>
      </c>
      <c r="AO255" t="n">
        <v>0</v>
      </c>
      <c r="AP255" s="39" t="n">
        <v>70000</v>
      </c>
      <c r="AQ255" s="39" t="n">
        <v>70000</v>
      </c>
      <c r="AR255" s="39" t="n">
        <v>0</v>
      </c>
      <c r="AS255" t="n">
        <v>0</v>
      </c>
      <c r="AT255" t="inlineStr">
        <is>
          <t>Crédito Directo</t>
        </is>
      </c>
      <c r="AU255" t="inlineStr">
        <is>
          <t>Scotiabank Perú</t>
        </is>
      </c>
      <c r="AV255" t="inlineStr">
        <is>
          <t>0004071419</t>
        </is>
      </c>
      <c r="AW255" t="inlineStr">
        <is>
          <t>TRANSFERENCIA BANCARIA</t>
        </is>
      </c>
      <c r="AY255" t="inlineStr">
        <is>
          <t>261843</t>
        </is>
      </c>
      <c r="AZ255" t="inlineStr">
        <is>
          <t>Si</t>
        </is>
      </c>
      <c r="BB255" t="n">
        <v>4</v>
      </c>
      <c r="BC255" t="inlineStr">
        <is>
          <t>CANCELADO</t>
        </is>
      </c>
      <c r="BN255" t="inlineStr">
        <is>
          <t>Si</t>
        </is>
      </c>
      <c r="BO255" s="117" t="n">
        <v>45857.51944444444</v>
      </c>
      <c r="BP255" t="inlineStr">
        <is>
          <t>Magaly Guevara Perez</t>
        </is>
      </c>
      <c r="BR255" t="n">
        <v>11</v>
      </c>
      <c r="BS255" t="inlineStr">
        <is>
          <t>21/07/2026 14:19</t>
        </is>
      </c>
      <c r="BT255" t="n">
        <v>0</v>
      </c>
      <c r="BX255" t="inlineStr">
        <is>
          <t>Cobranzas_2025.csv</t>
        </is>
      </c>
      <c r="BY255" t="n">
        <v>2025</v>
      </c>
      <c r="BZ255" t="inlineStr">
        <is>
          <t>01/01/2024</t>
        </is>
      </c>
      <c r="CA255" t="inlineStr">
        <is>
          <t>30/09/2031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39" t="n">
        <v>545000</v>
      </c>
      <c r="H256" s="39" t="n">
        <v>545000</v>
      </c>
      <c r="I256" t="inlineStr">
        <is>
          <t>Edificio</t>
        </is>
      </c>
      <c r="J256" t="inlineStr">
        <is>
          <t>A</t>
        </is>
      </c>
      <c r="K256" t="inlineStr">
        <is>
          <t>Estacionamiento</t>
        </is>
      </c>
      <c r="L256" t="inlineStr">
        <is>
          <t>E 11</t>
        </is>
      </c>
      <c r="M256" s="39" t="n">
        <v>50800</v>
      </c>
      <c r="N256" s="39" t="n">
        <v>50800</v>
      </c>
      <c r="S256" s="39" t="n"/>
      <c r="T256" s="39" t="n"/>
      <c r="Y256" s="39" t="n"/>
      <c r="Z256" s="39" t="n"/>
      <c r="AA256" t="inlineStr">
        <is>
          <t>Norma Luz Tello Contreras</t>
        </is>
      </c>
      <c r="AB256" t="inlineStr">
        <is>
          <t>04063971</t>
        </is>
      </c>
      <c r="AC256" t="inlineStr">
        <is>
          <t>Av. Militar 1745 - Dpto. 1202</t>
        </is>
      </c>
      <c r="AD256" t="n">
        <v>0</v>
      </c>
      <c r="AE256" t="inlineStr">
        <is>
          <t>952305311</t>
        </is>
      </c>
      <c r="AF256" t="inlineStr">
        <is>
          <t>normatello@gmail.com</t>
        </is>
      </c>
      <c r="AG256" t="inlineStr">
        <is>
          <t>LIMA</t>
        </is>
      </c>
      <c r="AH256" t="inlineStr">
        <is>
          <t>LA VICTORIA</t>
        </is>
      </c>
      <c r="AI256" s="116" t="n">
        <v>45857</v>
      </c>
      <c r="AJ256" s="116" t="n">
        <v>45855</v>
      </c>
      <c r="AK256" t="inlineStr">
        <is>
          <t>CUOTA INICIAL</t>
        </is>
      </c>
      <c r="AL256" t="n">
        <v>3</v>
      </c>
      <c r="AM256" t="n">
        <v>95000</v>
      </c>
      <c r="AN256" t="n">
        <v>0</v>
      </c>
      <c r="AO256" t="n">
        <v>0</v>
      </c>
      <c r="AP256" s="39" t="n">
        <v>95000</v>
      </c>
      <c r="AQ256" s="39" t="n">
        <v>95000</v>
      </c>
      <c r="AR256" s="39" t="n">
        <v>0</v>
      </c>
      <c r="AS256" t="n">
        <v>0</v>
      </c>
      <c r="AT256" t="inlineStr">
        <is>
          <t>Crédito Directo</t>
        </is>
      </c>
      <c r="AU256" t="inlineStr">
        <is>
          <t>Scotiabank Perú</t>
        </is>
      </c>
      <c r="AV256" t="inlineStr">
        <is>
          <t>0004071419</t>
        </is>
      </c>
      <c r="AW256" t="inlineStr">
        <is>
          <t>TRANSFERENCIA BANCARIA</t>
        </is>
      </c>
      <c r="AY256" t="inlineStr">
        <is>
          <t>0439131</t>
        </is>
      </c>
      <c r="AZ256" t="inlineStr">
        <is>
          <t>Si</t>
        </is>
      </c>
      <c r="BB256" t="n">
        <v>4</v>
      </c>
      <c r="BC256" t="inlineStr">
        <is>
          <t>CANCELADO</t>
        </is>
      </c>
      <c r="BN256" t="inlineStr">
        <is>
          <t>Si</t>
        </is>
      </c>
      <c r="BO256" s="117" t="n">
        <v>45857.51944444444</v>
      </c>
      <c r="BP256" t="inlineStr">
        <is>
          <t>Magaly Guevara Perez</t>
        </is>
      </c>
      <c r="BR256" t="n">
        <v>11</v>
      </c>
      <c r="BS256" t="inlineStr">
        <is>
          <t>19/08/2026 08:34</t>
        </is>
      </c>
      <c r="BT256" t="n">
        <v>0</v>
      </c>
      <c r="BX256" t="inlineStr">
        <is>
          <t>Cobranzas_2025.csv</t>
        </is>
      </c>
      <c r="BY256" t="n">
        <v>2025</v>
      </c>
      <c r="BZ256" t="inlineStr">
        <is>
          <t>01/01/2024</t>
        </is>
      </c>
      <c r="CA256" t="inlineStr">
        <is>
          <t>30/09/2031</t>
        </is>
      </c>
    </row>
    <row r="257">
      <c r="A257" t="inlineStr">
        <is>
          <t>RESIDENCIAL VENECIA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601</t>
        </is>
      </c>
      <c r="G257" s="39" t="n">
        <v>545000</v>
      </c>
      <c r="H257" s="39" t="n">
        <v>545000</v>
      </c>
      <c r="I257" t="inlineStr">
        <is>
          <t>Edificio</t>
        </is>
      </c>
      <c r="J257" t="inlineStr">
        <is>
          <t>A</t>
        </is>
      </c>
      <c r="K257" t="inlineStr">
        <is>
          <t>Estacionamiento</t>
        </is>
      </c>
      <c r="L257" t="inlineStr">
        <is>
          <t>E 11</t>
        </is>
      </c>
      <c r="M257" s="39" t="n">
        <v>50800</v>
      </c>
      <c r="N257" s="39" t="n">
        <v>50800</v>
      </c>
      <c r="S257" s="39" t="n"/>
      <c r="T257" s="39" t="n"/>
      <c r="Y257" s="39" t="n"/>
      <c r="Z257" s="39" t="n"/>
      <c r="AA257" t="inlineStr">
        <is>
          <t>Norma Luz Tello Contreras</t>
        </is>
      </c>
      <c r="AB257" t="inlineStr">
        <is>
          <t>04063971</t>
        </is>
      </c>
      <c r="AC257" t="inlineStr">
        <is>
          <t>Av. Militar 1745 - Dpto. 1202</t>
        </is>
      </c>
      <c r="AD257" t="n">
        <v>0</v>
      </c>
      <c r="AE257" t="inlineStr">
        <is>
          <t>952305311</t>
        </is>
      </c>
      <c r="AF257" t="inlineStr">
        <is>
          <t>normatello@gmail.com</t>
        </is>
      </c>
      <c r="AG257" t="inlineStr">
        <is>
          <t>LIMA</t>
        </is>
      </c>
      <c r="AH257" t="inlineStr">
        <is>
          <t>LA VICTORIA</t>
        </is>
      </c>
      <c r="AI257" s="116" t="n">
        <v>45930</v>
      </c>
      <c r="AJ257" s="116" t="n">
        <v>45896</v>
      </c>
      <c r="AK257" t="inlineStr">
        <is>
          <t>SALDO FINANCIAR</t>
        </is>
      </c>
      <c r="AL257" t="n">
        <v>1</v>
      </c>
      <c r="AM257" t="n">
        <v>6800</v>
      </c>
      <c r="AN257" t="n">
        <v>0</v>
      </c>
      <c r="AO257" t="n">
        <v>0</v>
      </c>
      <c r="AP257" s="39" t="n">
        <v>6800</v>
      </c>
      <c r="AQ257" s="39" t="n">
        <v>6800</v>
      </c>
      <c r="AR257" s="39" t="n">
        <v>0</v>
      </c>
      <c r="AS257" t="n">
        <v>0</v>
      </c>
      <c r="AT257" t="inlineStr">
        <is>
          <t>Crédito Directo</t>
        </is>
      </c>
      <c r="AU257" t="inlineStr">
        <is>
          <t>Scotiabank Perú</t>
        </is>
      </c>
      <c r="AV257" t="inlineStr">
        <is>
          <t>0004071419</t>
        </is>
      </c>
      <c r="AW257" t="inlineStr">
        <is>
          <t>TRANSFERENCIA BANCARIA</t>
        </is>
      </c>
      <c r="AX257" t="inlineStr">
        <is>
          <t>22079563</t>
        </is>
      </c>
      <c r="AY257" t="inlineStr">
        <is>
          <t>0500010134</t>
        </is>
      </c>
      <c r="AZ257" t="inlineStr">
        <is>
          <t>Si</t>
        </is>
      </c>
      <c r="BA257" t="inlineStr">
        <is>
          <t>NO PRECISA</t>
        </is>
      </c>
      <c r="BB257" t="n">
        <v>4</v>
      </c>
      <c r="BC257" t="inlineStr">
        <is>
          <t>CANCELADO</t>
        </is>
      </c>
      <c r="BN257" t="inlineStr">
        <is>
          <t>Si</t>
        </is>
      </c>
      <c r="BO257" s="117" t="n">
        <v>45857.51944444444</v>
      </c>
      <c r="BP257" t="inlineStr">
        <is>
          <t>Magaly Guevara Perez</t>
        </is>
      </c>
      <c r="BR257" t="n">
        <v>11</v>
      </c>
      <c r="BS257" t="inlineStr">
        <is>
          <t>04/06/2026 09:05</t>
        </is>
      </c>
      <c r="BT257" t="n">
        <v>0</v>
      </c>
      <c r="BX257" t="inlineStr">
        <is>
          <t>Cobranzas_2025.csv</t>
        </is>
      </c>
      <c r="BY257" t="n">
        <v>2025</v>
      </c>
      <c r="BZ257" t="inlineStr">
        <is>
          <t>01/01/2024</t>
        </is>
      </c>
      <c r="CA257" t="inlineStr">
        <is>
          <t>30/09/2031</t>
        </is>
      </c>
    </row>
    <row r="258">
      <c r="A258" t="inlineStr">
        <is>
          <t>RESIDENCIAL VENECIA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601</t>
        </is>
      </c>
      <c r="G258" s="39" t="n">
        <v>545000</v>
      </c>
      <c r="H258" s="39" t="n">
        <v>545000</v>
      </c>
      <c r="I258" t="inlineStr">
        <is>
          <t>Edificio</t>
        </is>
      </c>
      <c r="J258" t="inlineStr">
        <is>
          <t>A</t>
        </is>
      </c>
      <c r="K258" t="inlineStr">
        <is>
          <t>Estacionamiento</t>
        </is>
      </c>
      <c r="L258" t="inlineStr">
        <is>
          <t>E 11</t>
        </is>
      </c>
      <c r="M258" s="39" t="n">
        <v>50800</v>
      </c>
      <c r="N258" s="39" t="n">
        <v>50800</v>
      </c>
      <c r="S258" s="39" t="n"/>
      <c r="T258" s="39" t="n"/>
      <c r="Y258" s="39" t="n"/>
      <c r="Z258" s="39" t="n"/>
      <c r="AA258" t="inlineStr">
        <is>
          <t>Norma Luz Tello Contreras</t>
        </is>
      </c>
      <c r="AB258" t="inlineStr">
        <is>
          <t>04063971</t>
        </is>
      </c>
      <c r="AC258" t="inlineStr">
        <is>
          <t>Av. Militar 1745 - Dpto. 1202</t>
        </is>
      </c>
      <c r="AD258" t="n">
        <v>0</v>
      </c>
      <c r="AE258" t="inlineStr">
        <is>
          <t>952305311</t>
        </is>
      </c>
      <c r="AF258" t="inlineStr">
        <is>
          <t>normatello@gmail.com</t>
        </is>
      </c>
      <c r="AG258" t="inlineStr">
        <is>
          <t>LIMA</t>
        </is>
      </c>
      <c r="AH258" t="inlineStr">
        <is>
          <t>LA VICTORIA</t>
        </is>
      </c>
      <c r="AI258" s="116" t="n">
        <v>45960</v>
      </c>
      <c r="AJ258" s="116" t="n">
        <v>45932</v>
      </c>
      <c r="AK258" t="inlineStr">
        <is>
          <t>SALDO FINANCIAR</t>
        </is>
      </c>
      <c r="AL258" t="n">
        <v>2</v>
      </c>
      <c r="AM258" t="n">
        <v>7500</v>
      </c>
      <c r="AN258" t="n">
        <v>0</v>
      </c>
      <c r="AO258" t="n">
        <v>0</v>
      </c>
      <c r="AP258" s="39" t="n">
        <v>7500</v>
      </c>
      <c r="AQ258" s="39" t="n">
        <v>7500</v>
      </c>
      <c r="AR258" s="39" t="n">
        <v>0</v>
      </c>
      <c r="AS258" t="n">
        <v>0</v>
      </c>
      <c r="AT258" t="inlineStr">
        <is>
          <t>Crédito Directo</t>
        </is>
      </c>
      <c r="AU258" t="inlineStr">
        <is>
          <t>Scotiabank Perú</t>
        </is>
      </c>
      <c r="AV258" t="inlineStr">
        <is>
          <t>0004071419</t>
        </is>
      </c>
      <c r="AW258" t="inlineStr">
        <is>
          <t>TRANSFERENCIA BANCARIA</t>
        </is>
      </c>
      <c r="AX258" t="inlineStr">
        <is>
          <t>22079563</t>
        </is>
      </c>
      <c r="AY258" t="inlineStr">
        <is>
          <t>0500010144</t>
        </is>
      </c>
      <c r="AZ258" t="inlineStr">
        <is>
          <t>Si</t>
        </is>
      </c>
      <c r="BA258" t="inlineStr">
        <is>
          <t>NO PRECISA</t>
        </is>
      </c>
      <c r="BB258" t="n">
        <v>4</v>
      </c>
      <c r="BC258" t="inlineStr">
        <is>
          <t>CANCELADO</t>
        </is>
      </c>
      <c r="BN258" t="inlineStr">
        <is>
          <t>Si</t>
        </is>
      </c>
      <c r="BO258" s="117" t="n">
        <v>45857.51944444444</v>
      </c>
      <c r="BP258" t="inlineStr">
        <is>
          <t>Magaly Guevara Perez</t>
        </is>
      </c>
      <c r="BR258" t="n">
        <v>11</v>
      </c>
      <c r="BS258" t="inlineStr">
        <is>
          <t>04/06/2026 09:17</t>
        </is>
      </c>
      <c r="BT258" t="n">
        <v>0</v>
      </c>
      <c r="BX258" t="inlineStr">
        <is>
          <t>Cobranzas_2025.csv</t>
        </is>
      </c>
      <c r="BY258" t="n">
        <v>2025</v>
      </c>
      <c r="BZ258" t="inlineStr">
        <is>
          <t>01/01/2024</t>
        </is>
      </c>
      <c r="CA258" t="inlineStr">
        <is>
          <t>30/09/2031</t>
        </is>
      </c>
    </row>
    <row r="259">
      <c r="A259" t="inlineStr">
        <is>
          <t>RESIDENCIAL VENECIA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601</t>
        </is>
      </c>
      <c r="G259" s="39" t="n">
        <v>545000</v>
      </c>
      <c r="H259" s="39" t="n">
        <v>545000</v>
      </c>
      <c r="I259" t="inlineStr">
        <is>
          <t>Edificio</t>
        </is>
      </c>
      <c r="J259" t="inlineStr">
        <is>
          <t>A</t>
        </is>
      </c>
      <c r="K259" t="inlineStr">
        <is>
          <t>Estacionamiento</t>
        </is>
      </c>
      <c r="L259" t="inlineStr">
        <is>
          <t>E 11</t>
        </is>
      </c>
      <c r="M259" s="39" t="n">
        <v>50800</v>
      </c>
      <c r="N259" s="39" t="n">
        <v>50800</v>
      </c>
      <c r="S259" s="39" t="n"/>
      <c r="T259" s="39" t="n"/>
      <c r="Y259" s="39" t="n"/>
      <c r="Z259" s="39" t="n"/>
      <c r="AA259" t="inlineStr">
        <is>
          <t>Norma Luz Tello Contreras</t>
        </is>
      </c>
      <c r="AB259" t="inlineStr">
        <is>
          <t>04063971</t>
        </is>
      </c>
      <c r="AC259" t="inlineStr">
        <is>
          <t>Av. Militar 1745 - Dpto. 1202</t>
        </is>
      </c>
      <c r="AD259" t="n">
        <v>0</v>
      </c>
      <c r="AE259" t="inlineStr">
        <is>
          <t>952305311</t>
        </is>
      </c>
      <c r="AF259" t="inlineStr">
        <is>
          <t>normatello@gmail.com</t>
        </is>
      </c>
      <c r="AG259" t="inlineStr">
        <is>
          <t>LIMA</t>
        </is>
      </c>
      <c r="AH259" t="inlineStr">
        <is>
          <t>LA VICTORIA</t>
        </is>
      </c>
      <c r="AI259" s="116" t="n">
        <v>45991</v>
      </c>
      <c r="AJ259" s="116" t="n">
        <v>45964</v>
      </c>
      <c r="AK259" t="inlineStr">
        <is>
          <t>SALDO FINANCIAR</t>
        </is>
      </c>
      <c r="AL259" t="n">
        <v>3</v>
      </c>
      <c r="AM259" t="n">
        <v>7500</v>
      </c>
      <c r="AN259" t="n">
        <v>0</v>
      </c>
      <c r="AO259" t="n">
        <v>0</v>
      </c>
      <c r="AP259" s="39" t="n">
        <v>7500</v>
      </c>
      <c r="AQ259" s="39" t="n">
        <v>7500</v>
      </c>
      <c r="AR259" s="39" t="n">
        <v>0</v>
      </c>
      <c r="AS259" t="n">
        <v>0</v>
      </c>
      <c r="AT259" t="inlineStr">
        <is>
          <t>Crédito Directo</t>
        </is>
      </c>
      <c r="AU259" t="inlineStr">
        <is>
          <t>Scotiabank Perú</t>
        </is>
      </c>
      <c r="AV259" t="inlineStr">
        <is>
          <t>0004071419</t>
        </is>
      </c>
      <c r="AW259" t="inlineStr">
        <is>
          <t>TRANSFERENCIA BANCARIA</t>
        </is>
      </c>
      <c r="AY259" t="inlineStr">
        <is>
          <t>U100169</t>
        </is>
      </c>
      <c r="AZ259" t="inlineStr">
        <is>
          <t>Si</t>
        </is>
      </c>
      <c r="BB259" t="n">
        <v>4</v>
      </c>
      <c r="BC259" t="inlineStr">
        <is>
          <t>CANCELADO</t>
        </is>
      </c>
      <c r="BN259" t="inlineStr">
        <is>
          <t>Si</t>
        </is>
      </c>
      <c r="BO259" s="117" t="n">
        <v>45857.51944444444</v>
      </c>
      <c r="BP259" t="inlineStr">
        <is>
          <t>Magaly Guevara Perez</t>
        </is>
      </c>
      <c r="BR259" t="n">
        <v>11</v>
      </c>
      <c r="BS259" t="inlineStr">
        <is>
          <t>19/08/2026 08:36</t>
        </is>
      </c>
      <c r="BT259" t="n">
        <v>0</v>
      </c>
      <c r="BX259" t="inlineStr">
        <is>
          <t>Cobranzas_2025.csv</t>
        </is>
      </c>
      <c r="BY259" t="n">
        <v>2025</v>
      </c>
      <c r="BZ259" t="inlineStr">
        <is>
          <t>01/01/2024</t>
        </is>
      </c>
      <c r="CA259" t="inlineStr">
        <is>
          <t>30/09/2031</t>
        </is>
      </c>
    </row>
    <row r="260">
      <c r="A260" t="inlineStr">
        <is>
          <t>RESIDENCIAL VENECIA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601</t>
        </is>
      </c>
      <c r="G260" s="39" t="n">
        <v>545000</v>
      </c>
      <c r="H260" s="39" t="n">
        <v>545000</v>
      </c>
      <c r="I260" t="inlineStr">
        <is>
          <t>Edificio</t>
        </is>
      </c>
      <c r="J260" t="inlineStr">
        <is>
          <t>A</t>
        </is>
      </c>
      <c r="K260" t="inlineStr">
        <is>
          <t>Estacionamiento</t>
        </is>
      </c>
      <c r="L260" t="inlineStr">
        <is>
          <t>E 11</t>
        </is>
      </c>
      <c r="M260" s="39" t="n">
        <v>50800</v>
      </c>
      <c r="N260" s="39" t="n">
        <v>50800</v>
      </c>
      <c r="S260" s="39" t="n"/>
      <c r="T260" s="39" t="n"/>
      <c r="Y260" s="39" t="n"/>
      <c r="Z260" s="39" t="n"/>
      <c r="AA260" t="inlineStr">
        <is>
          <t>Norma Luz Tello Contreras</t>
        </is>
      </c>
      <c r="AB260" t="inlineStr">
        <is>
          <t>04063971</t>
        </is>
      </c>
      <c r="AC260" t="inlineStr">
        <is>
          <t>Av. Militar 1745 - Dpto. 1202</t>
        </is>
      </c>
      <c r="AD260" t="n">
        <v>0</v>
      </c>
      <c r="AE260" t="inlineStr">
        <is>
          <t>952305311</t>
        </is>
      </c>
      <c r="AF260" t="inlineStr">
        <is>
          <t>normatello@gmail.com</t>
        </is>
      </c>
      <c r="AG260" t="inlineStr">
        <is>
          <t>LIMA</t>
        </is>
      </c>
      <c r="AH260" t="inlineStr">
        <is>
          <t>LA VICTORIA</t>
        </is>
      </c>
      <c r="AI260" s="116" t="n">
        <v>46021</v>
      </c>
      <c r="AJ260" s="116" t="n">
        <v>45992</v>
      </c>
      <c r="AK260" t="inlineStr">
        <is>
          <t>SALDO FINANCIAR</t>
        </is>
      </c>
      <c r="AL260" t="n">
        <v>4</v>
      </c>
      <c r="AM260" t="n">
        <v>6000</v>
      </c>
      <c r="AN260" t="n">
        <v>0</v>
      </c>
      <c r="AO260" t="n">
        <v>0</v>
      </c>
      <c r="AP260" s="39" t="n">
        <v>6000</v>
      </c>
      <c r="AQ260" s="39" t="n">
        <v>6000</v>
      </c>
      <c r="AR260" s="39" t="n">
        <v>0</v>
      </c>
      <c r="AS260" t="n">
        <v>0</v>
      </c>
      <c r="AT260" t="inlineStr">
        <is>
          <t>Crédito Directo</t>
        </is>
      </c>
      <c r="AU260" t="inlineStr">
        <is>
          <t>Scotiabank Perú</t>
        </is>
      </c>
      <c r="AV260" t="inlineStr">
        <is>
          <t>0004071419</t>
        </is>
      </c>
      <c r="AW260" t="inlineStr">
        <is>
          <t>DEPOSITO EN CUENTA</t>
        </is>
      </c>
      <c r="AY260" t="inlineStr">
        <is>
          <t>U28740</t>
        </is>
      </c>
      <c r="AZ260" t="inlineStr">
        <is>
          <t>Si</t>
        </is>
      </c>
      <c r="BB260" t="n">
        <v>4</v>
      </c>
      <c r="BC260" t="inlineStr">
        <is>
          <t>CANCELADO</t>
        </is>
      </c>
      <c r="BN260" t="inlineStr">
        <is>
          <t>Si</t>
        </is>
      </c>
      <c r="BO260" s="117" t="n">
        <v>45857.51944444444</v>
      </c>
      <c r="BP260" t="inlineStr">
        <is>
          <t>Magaly Guevara Perez</t>
        </is>
      </c>
      <c r="BR260" t="n">
        <v>11</v>
      </c>
      <c r="BS260" t="inlineStr">
        <is>
          <t>19/08/2026 08:42</t>
        </is>
      </c>
      <c r="BT260" t="n">
        <v>0</v>
      </c>
      <c r="BX260" t="inlineStr">
        <is>
          <t>Cobranzas_2025.csv</t>
        </is>
      </c>
      <c r="BY260" t="n">
        <v>2025</v>
      </c>
      <c r="BZ260" t="inlineStr">
        <is>
          <t>01/01/2024</t>
        </is>
      </c>
      <c r="CA260" t="inlineStr">
        <is>
          <t>30/09/2031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39" t="n">
        <v>460000</v>
      </c>
      <c r="H261" s="39" t="n">
        <v>460000</v>
      </c>
      <c r="I261" t="inlineStr">
        <is>
          <t>Edificio</t>
        </is>
      </c>
      <c r="J261" t="inlineStr">
        <is>
          <t>A</t>
        </is>
      </c>
      <c r="K261" t="inlineStr">
        <is>
          <t>Estacionamiento</t>
        </is>
      </c>
      <c r="L261" t="inlineStr">
        <is>
          <t>E 11</t>
        </is>
      </c>
      <c r="M261" s="39" t="n">
        <v>47500</v>
      </c>
      <c r="N261" s="39" t="n">
        <v>47500</v>
      </c>
      <c r="O261" t="inlineStr">
        <is>
          <t>Edificio</t>
        </is>
      </c>
      <c r="P261" t="inlineStr">
        <is>
          <t>A</t>
        </is>
      </c>
      <c r="Q261" t="inlineStr">
        <is>
          <t>Depósito</t>
        </is>
      </c>
      <c r="R261" t="inlineStr">
        <is>
          <t>D 06</t>
        </is>
      </c>
      <c r="S261" s="39" t="n">
        <v>21700</v>
      </c>
      <c r="T261" s="39" t="n">
        <v>21700</v>
      </c>
      <c r="U261" t="inlineStr">
        <is>
          <t>Edificio</t>
        </is>
      </c>
      <c r="V261" t="inlineStr">
        <is>
          <t>A</t>
        </is>
      </c>
      <c r="W261" t="inlineStr">
        <is>
          <t>Depósito</t>
        </is>
      </c>
      <c r="X261" t="inlineStr">
        <is>
          <t>D 07</t>
        </is>
      </c>
      <c r="Y261" s="39" t="n">
        <v>9500</v>
      </c>
      <c r="Z261" s="39" t="n">
        <v>9500</v>
      </c>
      <c r="AA261" t="inlineStr">
        <is>
          <t>PABLO JAIME CORNEJO PEREDA</t>
        </is>
      </c>
      <c r="AB261" t="inlineStr">
        <is>
          <t>07763504</t>
        </is>
      </c>
      <c r="AC261" t="inlineStr">
        <is>
          <t>Lima - Lima - San Miguel - Jr. Simon Bolivar 105 Dpto 1201</t>
        </is>
      </c>
      <c r="AE261" t="inlineStr">
        <is>
          <t>998912031</t>
        </is>
      </c>
      <c r="AF261" t="inlineStr">
        <is>
          <t>pablocornejo@yahoo.com</t>
        </is>
      </c>
      <c r="AG261" t="inlineStr">
        <is>
          <t>LIMA</t>
        </is>
      </c>
      <c r="AH261" t="inlineStr">
        <is>
          <t>SAN MIGUEL</t>
        </is>
      </c>
      <c r="AI261" s="116" t="n">
        <v>45756</v>
      </c>
      <c r="AJ261" s="116" t="n">
        <v>45756</v>
      </c>
      <c r="AK261" t="inlineStr">
        <is>
          <t>SEPARACION</t>
        </is>
      </c>
      <c r="AL261" t="n">
        <v>1</v>
      </c>
      <c r="AM261" t="n">
        <v>3000</v>
      </c>
      <c r="AN261" t="n">
        <v>0</v>
      </c>
      <c r="AO261" t="n">
        <v>0</v>
      </c>
      <c r="AP261" s="39" t="n">
        <v>3000</v>
      </c>
      <c r="AQ261" s="39" t="n">
        <v>3000</v>
      </c>
      <c r="AR261" s="39" t="n">
        <v>0</v>
      </c>
      <c r="AS261" t="n">
        <v>0</v>
      </c>
      <c r="AT261" t="inlineStr">
        <is>
          <t>Crédito Directo</t>
        </is>
      </c>
      <c r="AU261" t="inlineStr">
        <is>
          <t>Banco de Credito del Perú</t>
        </is>
      </c>
      <c r="AV261" t="inlineStr">
        <is>
          <t>194-7325779-0-65</t>
        </is>
      </c>
      <c r="AY261" t="inlineStr">
        <is>
          <t>435048</t>
        </is>
      </c>
      <c r="AZ261" t="inlineStr">
        <is>
          <t>No</t>
        </is>
      </c>
      <c r="BB261" t="n">
        <v>1</v>
      </c>
      <c r="BC261" t="inlineStr">
        <is>
          <t>CANCELADO</t>
        </is>
      </c>
      <c r="BN261" t="inlineStr">
        <is>
          <t>Si</t>
        </is>
      </c>
      <c r="BO261" s="117" t="n">
        <v>45761.40694444445</v>
      </c>
      <c r="BP261" t="inlineStr">
        <is>
          <t>Magaly Guevara Perez</t>
        </is>
      </c>
      <c r="BR261" t="n">
        <v>38</v>
      </c>
      <c r="BS261" t="inlineStr">
        <is>
          <t>29/05/2026 02:48</t>
        </is>
      </c>
      <c r="BT261" t="n">
        <v>0</v>
      </c>
      <c r="BX261" t="inlineStr">
        <is>
          <t>Cobranzas_2025.csv</t>
        </is>
      </c>
      <c r="BY261" t="n">
        <v>2025</v>
      </c>
      <c r="BZ261" t="inlineStr">
        <is>
          <t>01/01/2024</t>
        </is>
      </c>
      <c r="CA261" t="inlineStr">
        <is>
          <t>30/09/2031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39" t="n">
        <v>460000</v>
      </c>
      <c r="H262" s="39" t="n">
        <v>460000</v>
      </c>
      <c r="I262" t="inlineStr">
        <is>
          <t>Edificio</t>
        </is>
      </c>
      <c r="J262" t="inlineStr">
        <is>
          <t>A</t>
        </is>
      </c>
      <c r="K262" t="inlineStr">
        <is>
          <t>Estacionamiento</t>
        </is>
      </c>
      <c r="L262" t="inlineStr">
        <is>
          <t>E 11</t>
        </is>
      </c>
      <c r="M262" s="39" t="n">
        <v>47500</v>
      </c>
      <c r="N262" s="39" t="n">
        <v>47500</v>
      </c>
      <c r="O262" t="inlineStr">
        <is>
          <t>Edificio</t>
        </is>
      </c>
      <c r="P262" t="inlineStr">
        <is>
          <t>A</t>
        </is>
      </c>
      <c r="Q262" t="inlineStr">
        <is>
          <t>Depósito</t>
        </is>
      </c>
      <c r="R262" t="inlineStr">
        <is>
          <t>D 06</t>
        </is>
      </c>
      <c r="S262" s="39" t="n">
        <v>21700</v>
      </c>
      <c r="T262" s="39" t="n">
        <v>21700</v>
      </c>
      <c r="U262" t="inlineStr">
        <is>
          <t>Edificio</t>
        </is>
      </c>
      <c r="V262" t="inlineStr">
        <is>
          <t>A</t>
        </is>
      </c>
      <c r="W262" t="inlineStr">
        <is>
          <t>Depósito</t>
        </is>
      </c>
      <c r="X262" t="inlineStr">
        <is>
          <t>D 07</t>
        </is>
      </c>
      <c r="Y262" s="39" t="n">
        <v>9500</v>
      </c>
      <c r="Z262" s="39" t="n">
        <v>9500</v>
      </c>
      <c r="AA262" t="inlineStr">
        <is>
          <t>PABLO JAIME CORNEJO PEREDA</t>
        </is>
      </c>
      <c r="AB262" t="inlineStr">
        <is>
          <t>07763504</t>
        </is>
      </c>
      <c r="AC262" t="inlineStr">
        <is>
          <t>Lima - Lima - San Miguel - Jr. Simon Bolivar 105 Dpto 1201</t>
        </is>
      </c>
      <c r="AE262" t="inlineStr">
        <is>
          <t>998912031</t>
        </is>
      </c>
      <c r="AF262" t="inlineStr">
        <is>
          <t>pablocornejo@yahoo.com</t>
        </is>
      </c>
      <c r="AG262" t="inlineStr">
        <is>
          <t>LIMA</t>
        </is>
      </c>
      <c r="AH262" t="inlineStr">
        <is>
          <t>SAN MIGUEL</t>
        </is>
      </c>
      <c r="AI262" s="116" t="n">
        <v>45761</v>
      </c>
      <c r="AJ262" s="116" t="n">
        <v>45761</v>
      </c>
      <c r="AK262" t="inlineStr">
        <is>
          <t>CUOTA INICIAL</t>
        </is>
      </c>
      <c r="AL262" t="n">
        <v>2</v>
      </c>
      <c r="AM262" t="n">
        <v>104340</v>
      </c>
      <c r="AN262" t="n">
        <v>0</v>
      </c>
      <c r="AO262" t="n">
        <v>0</v>
      </c>
      <c r="AP262" s="39" t="n">
        <v>104340</v>
      </c>
      <c r="AQ262" s="39" t="n">
        <v>104340</v>
      </c>
      <c r="AR262" s="39" t="n">
        <v>0</v>
      </c>
      <c r="AS262" t="n">
        <v>0</v>
      </c>
      <c r="AT262" t="inlineStr">
        <is>
          <t>Crédito Directo</t>
        </is>
      </c>
      <c r="AU262" t="inlineStr">
        <is>
          <t>Banco de Credito del Perú</t>
        </is>
      </c>
      <c r="AV262" t="inlineStr">
        <is>
          <t>194-7325779-0-65</t>
        </is>
      </c>
      <c r="AY262" t="inlineStr">
        <is>
          <t>004422892</t>
        </is>
      </c>
      <c r="AZ262" t="inlineStr">
        <is>
          <t>No</t>
        </is>
      </c>
      <c r="BB262" t="n">
        <v>1</v>
      </c>
      <c r="BC262" t="inlineStr">
        <is>
          <t>CANCELADO</t>
        </is>
      </c>
      <c r="BN262" t="inlineStr">
        <is>
          <t>Si</t>
        </is>
      </c>
      <c r="BO262" s="117" t="n">
        <v>45761.40694444445</v>
      </c>
      <c r="BP262" t="inlineStr">
        <is>
          <t>Magaly Guevara Perez</t>
        </is>
      </c>
      <c r="BR262" t="n">
        <v>38</v>
      </c>
      <c r="BS262" t="inlineStr">
        <is>
          <t>29/05/2026 02:48</t>
        </is>
      </c>
      <c r="BT262" t="n">
        <v>0</v>
      </c>
      <c r="BX262" t="inlineStr">
        <is>
          <t>Cobranzas_2025.csv</t>
        </is>
      </c>
      <c r="BY262" t="n">
        <v>2025</v>
      </c>
      <c r="BZ262" t="inlineStr">
        <is>
          <t>01/01/2024</t>
        </is>
      </c>
      <c r="CA262" t="inlineStr">
        <is>
          <t>30/09/2031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39" t="n">
        <v>460000</v>
      </c>
      <c r="H263" s="39" t="n">
        <v>460000</v>
      </c>
      <c r="I263" t="inlineStr">
        <is>
          <t>Edificio</t>
        </is>
      </c>
      <c r="J263" t="inlineStr">
        <is>
          <t>A</t>
        </is>
      </c>
      <c r="K263" t="inlineStr">
        <is>
          <t>Estacionamiento</t>
        </is>
      </c>
      <c r="L263" t="inlineStr">
        <is>
          <t>E 11</t>
        </is>
      </c>
      <c r="M263" s="39" t="n">
        <v>47500</v>
      </c>
      <c r="N263" s="39" t="n">
        <v>47500</v>
      </c>
      <c r="O263" t="inlineStr">
        <is>
          <t>Edificio</t>
        </is>
      </c>
      <c r="P263" t="inlineStr">
        <is>
          <t>A</t>
        </is>
      </c>
      <c r="Q263" t="inlineStr">
        <is>
          <t>Depósito</t>
        </is>
      </c>
      <c r="R263" t="inlineStr">
        <is>
          <t>D 06</t>
        </is>
      </c>
      <c r="S263" s="39" t="n">
        <v>21700</v>
      </c>
      <c r="T263" s="39" t="n">
        <v>21700</v>
      </c>
      <c r="U263" t="inlineStr">
        <is>
          <t>Edificio</t>
        </is>
      </c>
      <c r="V263" t="inlineStr">
        <is>
          <t>A</t>
        </is>
      </c>
      <c r="W263" t="inlineStr">
        <is>
          <t>Depósito</t>
        </is>
      </c>
      <c r="X263" t="inlineStr">
        <is>
          <t>D 07</t>
        </is>
      </c>
      <c r="Y263" s="39" t="n">
        <v>9500</v>
      </c>
      <c r="Z263" s="39" t="n">
        <v>9500</v>
      </c>
      <c r="AA263" t="inlineStr">
        <is>
          <t>PABLO JAIME CORNEJO PEREDA</t>
        </is>
      </c>
      <c r="AB263" t="inlineStr">
        <is>
          <t>07763504</t>
        </is>
      </c>
      <c r="AC263" t="inlineStr">
        <is>
          <t>Lima - Lima - San Miguel - Jr. Simon Bolivar 105 Dpto 1201</t>
        </is>
      </c>
      <c r="AE263" t="inlineStr">
        <is>
          <t>998912031</t>
        </is>
      </c>
      <c r="AF263" t="inlineStr">
        <is>
          <t>pablocornejo@yahoo.com</t>
        </is>
      </c>
      <c r="AG263" t="inlineStr">
        <is>
          <t>LIMA</t>
        </is>
      </c>
      <c r="AH263" t="inlineStr">
        <is>
          <t>SAN MIGUEL</t>
        </is>
      </c>
      <c r="AI263" s="116" t="n">
        <v>45800</v>
      </c>
      <c r="AJ263" s="116" t="n">
        <v>45800</v>
      </c>
      <c r="AK263" t="inlineStr">
        <is>
          <t>CUOTA INICIAL</t>
        </is>
      </c>
      <c r="AL263" t="n">
        <v>3</v>
      </c>
      <c r="AM263" t="n">
        <v>104340</v>
      </c>
      <c r="AN263" t="n">
        <v>0</v>
      </c>
      <c r="AO263" t="n">
        <v>0</v>
      </c>
      <c r="AP263" s="39" t="n">
        <v>104340</v>
      </c>
      <c r="AQ263" s="39" t="n">
        <v>104340</v>
      </c>
      <c r="AR263" s="39" t="n">
        <v>0</v>
      </c>
      <c r="AS263" t="n">
        <v>0</v>
      </c>
      <c r="AT263" t="inlineStr">
        <is>
          <t>Crédito Directo</t>
        </is>
      </c>
      <c r="AU263" t="inlineStr">
        <is>
          <t>Banco de Credito del Perú</t>
        </is>
      </c>
      <c r="AV263" t="inlineStr">
        <is>
          <t>194-7325779-0-65</t>
        </is>
      </c>
      <c r="AY263" t="inlineStr">
        <is>
          <t>0748099</t>
        </is>
      </c>
      <c r="AZ263" t="inlineStr">
        <is>
          <t>No</t>
        </is>
      </c>
      <c r="BB263" t="n">
        <v>1</v>
      </c>
      <c r="BC263" t="inlineStr">
        <is>
          <t>CANCELADO</t>
        </is>
      </c>
      <c r="BN263" t="inlineStr">
        <is>
          <t>Si</t>
        </is>
      </c>
      <c r="BO263" s="117" t="n">
        <v>45761.40694444445</v>
      </c>
      <c r="BP263" t="inlineStr">
        <is>
          <t>Magaly Guevara Perez</t>
        </is>
      </c>
      <c r="BR263" t="n">
        <v>38</v>
      </c>
      <c r="BS263" t="inlineStr">
        <is>
          <t>29/05/2026 02:48</t>
        </is>
      </c>
      <c r="BT263" t="n">
        <v>0</v>
      </c>
      <c r="BX263" t="inlineStr">
        <is>
          <t>Cobranzas_2025.csv</t>
        </is>
      </c>
      <c r="BY263" t="n">
        <v>2025</v>
      </c>
      <c r="BZ263" t="inlineStr">
        <is>
          <t>01/01/2024</t>
        </is>
      </c>
      <c r="CA263" t="inlineStr">
        <is>
          <t>30/09/2031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39" t="n">
        <v>460000</v>
      </c>
      <c r="H264" s="39" t="n">
        <v>460000</v>
      </c>
      <c r="I264" t="inlineStr">
        <is>
          <t>Edificio</t>
        </is>
      </c>
      <c r="J264" t="inlineStr">
        <is>
          <t>A</t>
        </is>
      </c>
      <c r="K264" t="inlineStr">
        <is>
          <t>Estacionamiento</t>
        </is>
      </c>
      <c r="L264" t="inlineStr">
        <is>
          <t>E 11</t>
        </is>
      </c>
      <c r="M264" s="39" t="n">
        <v>47500</v>
      </c>
      <c r="N264" s="39" t="n">
        <v>47500</v>
      </c>
      <c r="O264" t="inlineStr">
        <is>
          <t>Edificio</t>
        </is>
      </c>
      <c r="P264" t="inlineStr">
        <is>
          <t>A</t>
        </is>
      </c>
      <c r="Q264" t="inlineStr">
        <is>
          <t>Depósito</t>
        </is>
      </c>
      <c r="R264" t="inlineStr">
        <is>
          <t>D 06</t>
        </is>
      </c>
      <c r="S264" s="39" t="n">
        <v>21700</v>
      </c>
      <c r="T264" s="39" t="n">
        <v>21700</v>
      </c>
      <c r="U264" t="inlineStr">
        <is>
          <t>Edificio</t>
        </is>
      </c>
      <c r="V264" t="inlineStr">
        <is>
          <t>A</t>
        </is>
      </c>
      <c r="W264" t="inlineStr">
        <is>
          <t>Depósito</t>
        </is>
      </c>
      <c r="X264" t="inlineStr">
        <is>
          <t>D 07</t>
        </is>
      </c>
      <c r="Y264" s="39" t="n">
        <v>9500</v>
      </c>
      <c r="Z264" s="39" t="n">
        <v>9500</v>
      </c>
      <c r="AA264" t="inlineStr">
        <is>
          <t>PABLO JAIME CORNEJO PEREDA</t>
        </is>
      </c>
      <c r="AB264" t="inlineStr">
        <is>
          <t>07763504</t>
        </is>
      </c>
      <c r="AC264" t="inlineStr">
        <is>
          <t>Lima - Lima - San Miguel - Jr. Simon Bolivar 105 Dpto 1201</t>
        </is>
      </c>
      <c r="AE264" t="inlineStr">
        <is>
          <t>998912031</t>
        </is>
      </c>
      <c r="AF264" t="inlineStr">
        <is>
          <t>pablocornejo@yahoo.com</t>
        </is>
      </c>
      <c r="AG264" t="inlineStr">
        <is>
          <t>LIMA</t>
        </is>
      </c>
      <c r="AH264" t="inlineStr">
        <is>
          <t>SAN MIGUEL</t>
        </is>
      </c>
      <c r="AI264" s="116" t="n">
        <v>45800</v>
      </c>
      <c r="AJ264" s="116" t="n">
        <v>45800</v>
      </c>
      <c r="AK264" t="inlineStr">
        <is>
          <t>SALDO FINANCIAR</t>
        </is>
      </c>
      <c r="AL264" t="n">
        <v>4</v>
      </c>
      <c r="AM264" t="n">
        <v>9500</v>
      </c>
      <c r="AN264" t="n">
        <v>0</v>
      </c>
      <c r="AO264" t="n">
        <v>0</v>
      </c>
      <c r="AP264" s="39" t="n">
        <v>9500</v>
      </c>
      <c r="AQ264" s="39" t="n">
        <v>9500</v>
      </c>
      <c r="AR264" s="39" t="n">
        <v>0</v>
      </c>
      <c r="AS264" t="n">
        <v>0</v>
      </c>
      <c r="AT264" t="inlineStr">
        <is>
          <t>Crédito Directo</t>
        </is>
      </c>
      <c r="AU264" t="inlineStr">
        <is>
          <t>Banco de Credito del Perú</t>
        </is>
      </c>
      <c r="AV264" t="inlineStr">
        <is>
          <t>194-7325779-0-65</t>
        </is>
      </c>
      <c r="AY264" t="inlineStr">
        <is>
          <t>0737014</t>
        </is>
      </c>
      <c r="AZ264" t="inlineStr">
        <is>
          <t>No</t>
        </is>
      </c>
      <c r="BB264" t="n">
        <v>1</v>
      </c>
      <c r="BC264" t="inlineStr">
        <is>
          <t>CANCELADO</t>
        </is>
      </c>
      <c r="BN264" t="inlineStr">
        <is>
          <t>Si</t>
        </is>
      </c>
      <c r="BO264" s="117" t="n">
        <v>45761.40694444445</v>
      </c>
      <c r="BP264" t="inlineStr">
        <is>
          <t>Magaly Guevara Perez</t>
        </is>
      </c>
      <c r="BR264" t="n">
        <v>38</v>
      </c>
      <c r="BS264" t="inlineStr">
        <is>
          <t>29/05/2026 02:48</t>
        </is>
      </c>
      <c r="BT264" t="n">
        <v>0</v>
      </c>
      <c r="BX264" t="inlineStr">
        <is>
          <t>Cobranzas_2025.csv</t>
        </is>
      </c>
      <c r="BY264" t="n">
        <v>2025</v>
      </c>
      <c r="BZ264" t="inlineStr">
        <is>
          <t>01/01/2024</t>
        </is>
      </c>
      <c r="CA264" t="inlineStr">
        <is>
          <t>30/09/2031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39" t="n">
        <v>460000</v>
      </c>
      <c r="H265" s="39" t="n">
        <v>460000</v>
      </c>
      <c r="I265" t="inlineStr">
        <is>
          <t>Edificio</t>
        </is>
      </c>
      <c r="J265" t="inlineStr">
        <is>
          <t>A</t>
        </is>
      </c>
      <c r="K265" t="inlineStr">
        <is>
          <t>Estacionamiento</t>
        </is>
      </c>
      <c r="L265" t="inlineStr">
        <is>
          <t>E 11</t>
        </is>
      </c>
      <c r="M265" s="39" t="n">
        <v>47500</v>
      </c>
      <c r="N265" s="39" t="n">
        <v>47500</v>
      </c>
      <c r="O265" t="inlineStr">
        <is>
          <t>Edificio</t>
        </is>
      </c>
      <c r="P265" t="inlineStr">
        <is>
          <t>A</t>
        </is>
      </c>
      <c r="Q265" t="inlineStr">
        <is>
          <t>Depósito</t>
        </is>
      </c>
      <c r="R265" t="inlineStr">
        <is>
          <t>D 06</t>
        </is>
      </c>
      <c r="S265" s="39" t="n">
        <v>21700</v>
      </c>
      <c r="T265" s="39" t="n">
        <v>21700</v>
      </c>
      <c r="U265" t="inlineStr">
        <is>
          <t>Edificio</t>
        </is>
      </c>
      <c r="V265" t="inlineStr">
        <is>
          <t>A</t>
        </is>
      </c>
      <c r="W265" t="inlineStr">
        <is>
          <t>Depósito</t>
        </is>
      </c>
      <c r="X265" t="inlineStr">
        <is>
          <t>D 07</t>
        </is>
      </c>
      <c r="Y265" s="39" t="n">
        <v>9500</v>
      </c>
      <c r="Z265" s="39" t="n">
        <v>9500</v>
      </c>
      <c r="AA265" t="inlineStr">
        <is>
          <t>PABLO JAIME CORNEJO PEREDA</t>
        </is>
      </c>
      <c r="AB265" t="inlineStr">
        <is>
          <t>07763504</t>
        </is>
      </c>
      <c r="AC265" t="inlineStr">
        <is>
          <t>Lima - Lima - San Miguel - Jr. Simon Bolivar 105 Dpto 1201</t>
        </is>
      </c>
      <c r="AE265" t="inlineStr">
        <is>
          <t>998912031</t>
        </is>
      </c>
      <c r="AF265" t="inlineStr">
        <is>
          <t>pablocornejo@yahoo.com</t>
        </is>
      </c>
      <c r="AG265" t="inlineStr">
        <is>
          <t>LIMA</t>
        </is>
      </c>
      <c r="AH265" t="inlineStr">
        <is>
          <t>SAN MIGUEL</t>
        </is>
      </c>
      <c r="AI265" s="116" t="n">
        <v>45819</v>
      </c>
      <c r="AJ265" s="116" t="n">
        <v>45819</v>
      </c>
      <c r="AK265" t="inlineStr">
        <is>
          <t>SALDO FINANCIAR</t>
        </is>
      </c>
      <c r="AL265" t="n">
        <v>5</v>
      </c>
      <c r="AM265" t="n">
        <v>21168</v>
      </c>
      <c r="AN265" t="n">
        <v>0</v>
      </c>
      <c r="AO265" t="n">
        <v>0</v>
      </c>
      <c r="AP265" s="39" t="n">
        <v>21168</v>
      </c>
      <c r="AQ265" s="39" t="n">
        <v>21168</v>
      </c>
      <c r="AR265" s="39" t="n">
        <v>0</v>
      </c>
      <c r="AS265" t="n">
        <v>0</v>
      </c>
      <c r="AT265" t="inlineStr">
        <is>
          <t>Crédito Directo</t>
        </is>
      </c>
      <c r="AU265" t="inlineStr">
        <is>
          <t>Banco de Credito del Perú</t>
        </is>
      </c>
      <c r="AV265" t="inlineStr">
        <is>
          <t>194-7325779-0-65</t>
        </is>
      </c>
      <c r="AY265" t="inlineStr">
        <is>
          <t>0825269</t>
        </is>
      </c>
      <c r="AZ265" t="inlineStr">
        <is>
          <t>No</t>
        </is>
      </c>
      <c r="BB265" t="n">
        <v>1</v>
      </c>
      <c r="BC265" t="inlineStr">
        <is>
          <t>CANCELADO</t>
        </is>
      </c>
      <c r="BN265" t="inlineStr">
        <is>
          <t>Si</t>
        </is>
      </c>
      <c r="BO265" s="117" t="n">
        <v>45761.40694444445</v>
      </c>
      <c r="BP265" t="inlineStr">
        <is>
          <t>Magaly Guevara Perez</t>
        </is>
      </c>
      <c r="BR265" t="n">
        <v>38</v>
      </c>
      <c r="BS265" t="inlineStr">
        <is>
          <t>29/05/2026 02:48</t>
        </is>
      </c>
      <c r="BT265" t="n">
        <v>0</v>
      </c>
      <c r="BX265" t="inlineStr">
        <is>
          <t>Cobranzas_2025.csv</t>
        </is>
      </c>
      <c r="BY265" t="n">
        <v>2025</v>
      </c>
      <c r="BZ265" t="inlineStr">
        <is>
          <t>01/01/2024</t>
        </is>
      </c>
      <c r="CA265" t="inlineStr">
        <is>
          <t>30/09/2031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39" t="n">
        <v>460000</v>
      </c>
      <c r="H266" s="39" t="n">
        <v>460000</v>
      </c>
      <c r="I266" t="inlineStr">
        <is>
          <t>Edificio</t>
        </is>
      </c>
      <c r="J266" t="inlineStr">
        <is>
          <t>A</t>
        </is>
      </c>
      <c r="K266" t="inlineStr">
        <is>
          <t>Estacionamiento</t>
        </is>
      </c>
      <c r="L266" t="inlineStr">
        <is>
          <t>E 11</t>
        </is>
      </c>
      <c r="M266" s="39" t="n">
        <v>47500</v>
      </c>
      <c r="N266" s="39" t="n">
        <v>47500</v>
      </c>
      <c r="O266" t="inlineStr">
        <is>
          <t>Edificio</t>
        </is>
      </c>
      <c r="P266" t="inlineStr">
        <is>
          <t>A</t>
        </is>
      </c>
      <c r="Q266" t="inlineStr">
        <is>
          <t>Depósito</t>
        </is>
      </c>
      <c r="R266" t="inlineStr">
        <is>
          <t>D 06</t>
        </is>
      </c>
      <c r="S266" s="39" t="n">
        <v>21700</v>
      </c>
      <c r="T266" s="39" t="n">
        <v>21700</v>
      </c>
      <c r="U266" t="inlineStr">
        <is>
          <t>Edificio</t>
        </is>
      </c>
      <c r="V266" t="inlineStr">
        <is>
          <t>A</t>
        </is>
      </c>
      <c r="W266" t="inlineStr">
        <is>
          <t>Depósito</t>
        </is>
      </c>
      <c r="X266" t="inlineStr">
        <is>
          <t>D 07</t>
        </is>
      </c>
      <c r="Y266" s="39" t="n">
        <v>9500</v>
      </c>
      <c r="Z266" s="39" t="n">
        <v>9500</v>
      </c>
      <c r="AA266" t="inlineStr">
        <is>
          <t>PABLO JAIME CORNEJO PEREDA</t>
        </is>
      </c>
      <c r="AB266" t="inlineStr">
        <is>
          <t>07763504</t>
        </is>
      </c>
      <c r="AC266" t="inlineStr">
        <is>
          <t>Lima - Lima - San Miguel - Jr. Simon Bolivar 105 Dpto 1201</t>
        </is>
      </c>
      <c r="AE266" t="inlineStr">
        <is>
          <t>998912031</t>
        </is>
      </c>
      <c r="AF266" t="inlineStr">
        <is>
          <t>pablocornejo@yahoo.com</t>
        </is>
      </c>
      <c r="AG266" t="inlineStr">
        <is>
          <t>LIMA</t>
        </is>
      </c>
      <c r="AH266" t="inlineStr">
        <is>
          <t>SAN MIGUEL</t>
        </is>
      </c>
      <c r="AI266" s="116" t="n">
        <v>45819</v>
      </c>
      <c r="AJ266" s="116" t="n">
        <v>45819</v>
      </c>
      <c r="AK266" t="inlineStr">
        <is>
          <t>SALDO FINANCIAR</t>
        </is>
      </c>
      <c r="AL266" t="n">
        <v>6</v>
      </c>
      <c r="AM266" t="n">
        <v>21168</v>
      </c>
      <c r="AN266" t="n">
        <v>0</v>
      </c>
      <c r="AO266" t="n">
        <v>0</v>
      </c>
      <c r="AP266" s="39" t="n">
        <v>21168</v>
      </c>
      <c r="AQ266" s="39" t="n">
        <v>21168</v>
      </c>
      <c r="AR266" s="39" t="n">
        <v>0</v>
      </c>
      <c r="AS266" t="n">
        <v>0</v>
      </c>
      <c r="AT266" t="inlineStr">
        <is>
          <t>Crédito Directo</t>
        </is>
      </c>
      <c r="AU266" t="inlineStr">
        <is>
          <t>Banco de Credito del Perú</t>
        </is>
      </c>
      <c r="AV266" t="inlineStr">
        <is>
          <t>194-7325779-0-65</t>
        </is>
      </c>
      <c r="AY266" t="inlineStr">
        <is>
          <t>0828384</t>
        </is>
      </c>
      <c r="AZ266" t="inlineStr">
        <is>
          <t>No</t>
        </is>
      </c>
      <c r="BB266" t="n">
        <v>1</v>
      </c>
      <c r="BC266" t="inlineStr">
        <is>
          <t>CANCELADO</t>
        </is>
      </c>
      <c r="BN266" t="inlineStr">
        <is>
          <t>Si</t>
        </is>
      </c>
      <c r="BO266" s="117" t="n">
        <v>45761.40694444445</v>
      </c>
      <c r="BP266" t="inlineStr">
        <is>
          <t>Magaly Guevara Perez</t>
        </is>
      </c>
      <c r="BR266" t="n">
        <v>38</v>
      </c>
      <c r="BS266" t="inlineStr">
        <is>
          <t>29/05/2026 02:48</t>
        </is>
      </c>
      <c r="BT266" t="n">
        <v>0</v>
      </c>
      <c r="BX266" t="inlineStr">
        <is>
          <t>Cobranzas_2025.csv</t>
        </is>
      </c>
      <c r="BY266" t="n">
        <v>2025</v>
      </c>
      <c r="BZ266" t="inlineStr">
        <is>
          <t>01/01/2024</t>
        </is>
      </c>
      <c r="CA266" t="inlineStr">
        <is>
          <t>30/09/2031</t>
        </is>
      </c>
    </row>
    <row r="267">
      <c r="A267" t="inlineStr">
        <is>
          <t>RESIDENCIAL BEYOND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604</t>
        </is>
      </c>
      <c r="G267" s="39" t="n">
        <v>460000</v>
      </c>
      <c r="H267" s="39" t="n">
        <v>460000</v>
      </c>
      <c r="I267" t="inlineStr">
        <is>
          <t>Edificio</t>
        </is>
      </c>
      <c r="J267" t="inlineStr">
        <is>
          <t>A</t>
        </is>
      </c>
      <c r="K267" t="inlineStr">
        <is>
          <t>Estacionamiento</t>
        </is>
      </c>
      <c r="L267" t="inlineStr">
        <is>
          <t>E 11</t>
        </is>
      </c>
      <c r="M267" s="39" t="n">
        <v>47500</v>
      </c>
      <c r="N267" s="39" t="n">
        <v>47500</v>
      </c>
      <c r="O267" t="inlineStr">
        <is>
          <t>Edificio</t>
        </is>
      </c>
      <c r="P267" t="inlineStr">
        <is>
          <t>A</t>
        </is>
      </c>
      <c r="Q267" t="inlineStr">
        <is>
          <t>Depósito</t>
        </is>
      </c>
      <c r="R267" t="inlineStr">
        <is>
          <t>D 06</t>
        </is>
      </c>
      <c r="S267" s="39" t="n">
        <v>21700</v>
      </c>
      <c r="T267" s="39" t="n">
        <v>21700</v>
      </c>
      <c r="U267" t="inlineStr">
        <is>
          <t>Edificio</t>
        </is>
      </c>
      <c r="V267" t="inlineStr">
        <is>
          <t>A</t>
        </is>
      </c>
      <c r="W267" t="inlineStr">
        <is>
          <t>Depósito</t>
        </is>
      </c>
      <c r="X267" t="inlineStr">
        <is>
          <t>D 07</t>
        </is>
      </c>
      <c r="Y267" s="39" t="n">
        <v>9500</v>
      </c>
      <c r="Z267" s="39" t="n">
        <v>9500</v>
      </c>
      <c r="AA267" t="inlineStr">
        <is>
          <t>PABLO JAIME CORNEJO PEREDA</t>
        </is>
      </c>
      <c r="AB267" t="inlineStr">
        <is>
          <t>07763504</t>
        </is>
      </c>
      <c r="AC267" t="inlineStr">
        <is>
          <t>Lima - Lima - San Miguel - Jr. Simon Bolivar 105 Dpto 1201</t>
        </is>
      </c>
      <c r="AE267" t="inlineStr">
        <is>
          <t>998912031</t>
        </is>
      </c>
      <c r="AF267" t="inlineStr">
        <is>
          <t>pablocornejo@yahoo.com</t>
        </is>
      </c>
      <c r="AG267" t="inlineStr">
        <is>
          <t>LIMA</t>
        </is>
      </c>
      <c r="AH267" t="inlineStr">
        <is>
          <t>SAN MIGUEL</t>
        </is>
      </c>
      <c r="AI267" s="116" t="n">
        <v>45819</v>
      </c>
      <c r="AJ267" s="116" t="n">
        <v>45819</v>
      </c>
      <c r="AK267" t="inlineStr">
        <is>
          <t>SALDO FINANCIAR</t>
        </is>
      </c>
      <c r="AL267" t="n">
        <v>7</v>
      </c>
      <c r="AM267" t="n">
        <v>21168</v>
      </c>
      <c r="AN267" t="n">
        <v>0</v>
      </c>
      <c r="AO267" t="n">
        <v>0</v>
      </c>
      <c r="AP267" s="39" t="n">
        <v>21168</v>
      </c>
      <c r="AQ267" s="39" t="n">
        <v>21168</v>
      </c>
      <c r="AR267" s="39" t="n">
        <v>0</v>
      </c>
      <c r="AS267" t="n">
        <v>0</v>
      </c>
      <c r="AT267" t="inlineStr">
        <is>
          <t>Crédito Directo</t>
        </is>
      </c>
      <c r="AU267" t="inlineStr">
        <is>
          <t>Banco de Credito del Perú</t>
        </is>
      </c>
      <c r="AV267" t="inlineStr">
        <is>
          <t>194-7325779-0-65</t>
        </is>
      </c>
      <c r="AY267" t="inlineStr">
        <is>
          <t>0831202</t>
        </is>
      </c>
      <c r="AZ267" t="inlineStr">
        <is>
          <t>No</t>
        </is>
      </c>
      <c r="BB267" t="n">
        <v>1</v>
      </c>
      <c r="BC267" t="inlineStr">
        <is>
          <t>CANCELADO</t>
        </is>
      </c>
      <c r="BN267" t="inlineStr">
        <is>
          <t>Si</t>
        </is>
      </c>
      <c r="BO267" s="117" t="n">
        <v>45761.40694444445</v>
      </c>
      <c r="BP267" t="inlineStr">
        <is>
          <t>Magaly Guevara Perez</t>
        </is>
      </c>
      <c r="BR267" t="n">
        <v>38</v>
      </c>
      <c r="BS267" t="inlineStr">
        <is>
          <t>29/05/2026 02:48</t>
        </is>
      </c>
      <c r="BT267" t="n">
        <v>0</v>
      </c>
      <c r="BX267" t="inlineStr">
        <is>
          <t>Cobranzas_2025.csv</t>
        </is>
      </c>
      <c r="BY267" t="n">
        <v>2025</v>
      </c>
      <c r="BZ267" t="inlineStr">
        <is>
          <t>01/01/2024</t>
        </is>
      </c>
      <c r="CA267" t="inlineStr">
        <is>
          <t>30/09/2031</t>
        </is>
      </c>
    </row>
    <row r="268">
      <c r="A268" t="inlineStr">
        <is>
          <t>RESIDENCIAL BEYOND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604</t>
        </is>
      </c>
      <c r="G268" s="39" t="n">
        <v>460000</v>
      </c>
      <c r="H268" s="39" t="n">
        <v>460000</v>
      </c>
      <c r="I268" t="inlineStr">
        <is>
          <t>Edificio</t>
        </is>
      </c>
      <c r="J268" t="inlineStr">
        <is>
          <t>A</t>
        </is>
      </c>
      <c r="K268" t="inlineStr">
        <is>
          <t>Estacionamiento</t>
        </is>
      </c>
      <c r="L268" t="inlineStr">
        <is>
          <t>E 11</t>
        </is>
      </c>
      <c r="M268" s="39" t="n">
        <v>47500</v>
      </c>
      <c r="N268" s="39" t="n">
        <v>47500</v>
      </c>
      <c r="O268" t="inlineStr">
        <is>
          <t>Edificio</t>
        </is>
      </c>
      <c r="P268" t="inlineStr">
        <is>
          <t>A</t>
        </is>
      </c>
      <c r="Q268" t="inlineStr">
        <is>
          <t>Depósito</t>
        </is>
      </c>
      <c r="R268" t="inlineStr">
        <is>
          <t>D 06</t>
        </is>
      </c>
      <c r="S268" s="39" t="n">
        <v>21700</v>
      </c>
      <c r="T268" s="39" t="n">
        <v>21700</v>
      </c>
      <c r="U268" t="inlineStr">
        <is>
          <t>Edificio</t>
        </is>
      </c>
      <c r="V268" t="inlineStr">
        <is>
          <t>A</t>
        </is>
      </c>
      <c r="W268" t="inlineStr">
        <is>
          <t>Depósito</t>
        </is>
      </c>
      <c r="X268" t="inlineStr">
        <is>
          <t>D 07</t>
        </is>
      </c>
      <c r="Y268" s="39" t="n">
        <v>9500</v>
      </c>
      <c r="Z268" s="39" t="n">
        <v>9500</v>
      </c>
      <c r="AA268" t="inlineStr">
        <is>
          <t>PABLO JAIME CORNEJO PEREDA</t>
        </is>
      </c>
      <c r="AB268" t="inlineStr">
        <is>
          <t>07763504</t>
        </is>
      </c>
      <c r="AC268" t="inlineStr">
        <is>
          <t>Lima - Lima - San Miguel - Jr. Simon Bolivar 105 Dpto 1201</t>
        </is>
      </c>
      <c r="AE268" t="inlineStr">
        <is>
          <t>998912031</t>
        </is>
      </c>
      <c r="AF268" t="inlineStr">
        <is>
          <t>pablocornejo@yahoo.com</t>
        </is>
      </c>
      <c r="AG268" t="inlineStr">
        <is>
          <t>LIMA</t>
        </is>
      </c>
      <c r="AH268" t="inlineStr">
        <is>
          <t>SAN MIGUEL</t>
        </is>
      </c>
      <c r="AI268" s="116" t="n">
        <v>45819</v>
      </c>
      <c r="AJ268" s="116" t="n">
        <v>45819</v>
      </c>
      <c r="AK268" t="inlineStr">
        <is>
          <t>SALDO FINANCIAR</t>
        </is>
      </c>
      <c r="AL268" t="n">
        <v>8</v>
      </c>
      <c r="AM268" t="n">
        <v>21168</v>
      </c>
      <c r="AN268" t="n">
        <v>0</v>
      </c>
      <c r="AO268" t="n">
        <v>0</v>
      </c>
      <c r="AP268" s="39" t="n">
        <v>21168</v>
      </c>
      <c r="AQ268" s="39" t="n">
        <v>21168</v>
      </c>
      <c r="AR268" s="39" t="n">
        <v>0</v>
      </c>
      <c r="AS268" t="n">
        <v>0</v>
      </c>
      <c r="AT268" t="inlineStr">
        <is>
          <t>Crédito Directo</t>
        </is>
      </c>
      <c r="AU268" t="inlineStr">
        <is>
          <t>Banco de Credito del Perú</t>
        </is>
      </c>
      <c r="AV268" t="inlineStr">
        <is>
          <t>194-7325779-0-65</t>
        </is>
      </c>
      <c r="AY268" t="inlineStr">
        <is>
          <t>0836496</t>
        </is>
      </c>
      <c r="AZ268" t="inlineStr">
        <is>
          <t>No</t>
        </is>
      </c>
      <c r="BB268" t="n">
        <v>1</v>
      </c>
      <c r="BC268" t="inlineStr">
        <is>
          <t>CANCELADO</t>
        </is>
      </c>
      <c r="BN268" t="inlineStr">
        <is>
          <t>Si</t>
        </is>
      </c>
      <c r="BO268" s="117" t="n">
        <v>45761.40694444445</v>
      </c>
      <c r="BP268" t="inlineStr">
        <is>
          <t>Magaly Guevara Perez</t>
        </is>
      </c>
      <c r="BR268" t="n">
        <v>38</v>
      </c>
      <c r="BS268" t="inlineStr">
        <is>
          <t>29/05/2026 02:48</t>
        </is>
      </c>
      <c r="BT268" t="n">
        <v>0</v>
      </c>
      <c r="BX268" t="inlineStr">
        <is>
          <t>Cobranzas_2025.csv</t>
        </is>
      </c>
      <c r="BY268" t="n">
        <v>2025</v>
      </c>
      <c r="BZ268" t="inlineStr">
        <is>
          <t>01/01/2024</t>
        </is>
      </c>
      <c r="CA268" t="inlineStr">
        <is>
          <t>30/09/2031</t>
        </is>
      </c>
    </row>
    <row r="269">
      <c r="A269" t="inlineStr">
        <is>
          <t>RESIDENCIAL BEYOND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604</t>
        </is>
      </c>
      <c r="G269" s="39" t="n">
        <v>460000</v>
      </c>
      <c r="H269" s="39" t="n">
        <v>460000</v>
      </c>
      <c r="I269" t="inlineStr">
        <is>
          <t>Edificio</t>
        </is>
      </c>
      <c r="J269" t="inlineStr">
        <is>
          <t>A</t>
        </is>
      </c>
      <c r="K269" t="inlineStr">
        <is>
          <t>Estacionamiento</t>
        </is>
      </c>
      <c r="L269" t="inlineStr">
        <is>
          <t>E 11</t>
        </is>
      </c>
      <c r="M269" s="39" t="n">
        <v>47500</v>
      </c>
      <c r="N269" s="39" t="n">
        <v>47500</v>
      </c>
      <c r="O269" t="inlineStr">
        <is>
          <t>Edificio</t>
        </is>
      </c>
      <c r="P269" t="inlineStr">
        <is>
          <t>A</t>
        </is>
      </c>
      <c r="Q269" t="inlineStr">
        <is>
          <t>Depósito</t>
        </is>
      </c>
      <c r="R269" t="inlineStr">
        <is>
          <t>D 06</t>
        </is>
      </c>
      <c r="S269" s="39" t="n">
        <v>21700</v>
      </c>
      <c r="T269" s="39" t="n">
        <v>21700</v>
      </c>
      <c r="U269" t="inlineStr">
        <is>
          <t>Edificio</t>
        </is>
      </c>
      <c r="V269" t="inlineStr">
        <is>
          <t>A</t>
        </is>
      </c>
      <c r="W269" t="inlineStr">
        <is>
          <t>Depósito</t>
        </is>
      </c>
      <c r="X269" t="inlineStr">
        <is>
          <t>D 07</t>
        </is>
      </c>
      <c r="Y269" s="39" t="n">
        <v>9500</v>
      </c>
      <c r="Z269" s="39" t="n">
        <v>9500</v>
      </c>
      <c r="AA269" t="inlineStr">
        <is>
          <t>PABLO JAIME CORNEJO PEREDA</t>
        </is>
      </c>
      <c r="AB269" t="inlineStr">
        <is>
          <t>07763504</t>
        </is>
      </c>
      <c r="AC269" t="inlineStr">
        <is>
          <t>Lima - Lima - San Miguel - Jr. Simon Bolivar 105 Dpto 1201</t>
        </is>
      </c>
      <c r="AE269" t="inlineStr">
        <is>
          <t>998912031</t>
        </is>
      </c>
      <c r="AF269" t="inlineStr">
        <is>
          <t>pablocornejo@yahoo.com</t>
        </is>
      </c>
      <c r="AG269" t="inlineStr">
        <is>
          <t>LIMA</t>
        </is>
      </c>
      <c r="AH269" t="inlineStr">
        <is>
          <t>SAN MIGUEL</t>
        </is>
      </c>
      <c r="AI269" s="116" t="n">
        <v>45819</v>
      </c>
      <c r="AJ269" s="116" t="n">
        <v>45819</v>
      </c>
      <c r="AK269" t="inlineStr">
        <is>
          <t>SALDO FINANCIAR</t>
        </is>
      </c>
      <c r="AL269" t="n">
        <v>9</v>
      </c>
      <c r="AM269" t="n">
        <v>21168</v>
      </c>
      <c r="AN269" t="n">
        <v>0</v>
      </c>
      <c r="AO269" t="n">
        <v>0</v>
      </c>
      <c r="AP269" s="39" t="n">
        <v>21168</v>
      </c>
      <c r="AQ269" s="39" t="n">
        <v>21168</v>
      </c>
      <c r="AR269" s="39" t="n">
        <v>0</v>
      </c>
      <c r="AS269" t="n">
        <v>0</v>
      </c>
      <c r="AT269" t="inlineStr">
        <is>
          <t>Crédito Directo</t>
        </is>
      </c>
      <c r="AU269" t="inlineStr">
        <is>
          <t>Banco de Credito del Perú</t>
        </is>
      </c>
      <c r="AV269" t="inlineStr">
        <is>
          <t>194-7325779-0-65</t>
        </is>
      </c>
      <c r="AY269" t="inlineStr">
        <is>
          <t>0836780</t>
        </is>
      </c>
      <c r="AZ269" t="inlineStr">
        <is>
          <t>No</t>
        </is>
      </c>
      <c r="BB269" t="n">
        <v>1</v>
      </c>
      <c r="BC269" t="inlineStr">
        <is>
          <t>CANCELADO</t>
        </is>
      </c>
      <c r="BN269" t="inlineStr">
        <is>
          <t>Si</t>
        </is>
      </c>
      <c r="BO269" s="117" t="n">
        <v>45761.40694444445</v>
      </c>
      <c r="BP269" t="inlineStr">
        <is>
          <t>Magaly Guevara Perez</t>
        </is>
      </c>
      <c r="BR269" t="n">
        <v>38</v>
      </c>
      <c r="BS269" t="inlineStr">
        <is>
          <t>29/05/2026 02:48</t>
        </is>
      </c>
      <c r="BT269" t="n">
        <v>0</v>
      </c>
      <c r="BX269" t="inlineStr">
        <is>
          <t>Cobranzas_2025.csv</t>
        </is>
      </c>
      <c r="BY269" t="n">
        <v>2025</v>
      </c>
      <c r="BZ269" t="inlineStr">
        <is>
          <t>01/01/2024</t>
        </is>
      </c>
      <c r="CA269" t="inlineStr">
        <is>
          <t>30/09/2031</t>
        </is>
      </c>
    </row>
    <row r="270">
      <c r="A270" t="inlineStr">
        <is>
          <t>RESIDENCIAL BEYOND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604</t>
        </is>
      </c>
      <c r="G270" s="39" t="n">
        <v>460000</v>
      </c>
      <c r="H270" s="39" t="n">
        <v>460000</v>
      </c>
      <c r="I270" t="inlineStr">
        <is>
          <t>Edificio</t>
        </is>
      </c>
      <c r="J270" t="inlineStr">
        <is>
          <t>A</t>
        </is>
      </c>
      <c r="K270" t="inlineStr">
        <is>
          <t>Estacionamiento</t>
        </is>
      </c>
      <c r="L270" t="inlineStr">
        <is>
          <t>E 11</t>
        </is>
      </c>
      <c r="M270" s="39" t="n">
        <v>47500</v>
      </c>
      <c r="N270" s="39" t="n">
        <v>47500</v>
      </c>
      <c r="O270" t="inlineStr">
        <is>
          <t>Edificio</t>
        </is>
      </c>
      <c r="P270" t="inlineStr">
        <is>
          <t>A</t>
        </is>
      </c>
      <c r="Q270" t="inlineStr">
        <is>
          <t>Depósito</t>
        </is>
      </c>
      <c r="R270" t="inlineStr">
        <is>
          <t>D 06</t>
        </is>
      </c>
      <c r="S270" s="39" t="n">
        <v>21700</v>
      </c>
      <c r="T270" s="39" t="n">
        <v>21700</v>
      </c>
      <c r="U270" t="inlineStr">
        <is>
          <t>Edificio</t>
        </is>
      </c>
      <c r="V270" t="inlineStr">
        <is>
          <t>A</t>
        </is>
      </c>
      <c r="W270" t="inlineStr">
        <is>
          <t>Depósito</t>
        </is>
      </c>
      <c r="X270" t="inlineStr">
        <is>
          <t>D 07</t>
        </is>
      </c>
      <c r="Y270" s="39" t="n">
        <v>9500</v>
      </c>
      <c r="Z270" s="39" t="n">
        <v>9500</v>
      </c>
      <c r="AA270" t="inlineStr">
        <is>
          <t>PABLO JAIME CORNEJO PEREDA</t>
        </is>
      </c>
      <c r="AB270" t="inlineStr">
        <is>
          <t>07763504</t>
        </is>
      </c>
      <c r="AC270" t="inlineStr">
        <is>
          <t>Lima - Lima - San Miguel - Jr. Simon Bolivar 105 Dpto 1201</t>
        </is>
      </c>
      <c r="AE270" t="inlineStr">
        <is>
          <t>998912031</t>
        </is>
      </c>
      <c r="AF270" t="inlineStr">
        <is>
          <t>pablocornejo@yahoo.com</t>
        </is>
      </c>
      <c r="AG270" t="inlineStr">
        <is>
          <t>LIMA</t>
        </is>
      </c>
      <c r="AH270" t="inlineStr">
        <is>
          <t>SAN MIGUEL</t>
        </is>
      </c>
      <c r="AI270" s="116" t="n">
        <v>45819</v>
      </c>
      <c r="AJ270" s="116" t="n">
        <v>45819</v>
      </c>
      <c r="AK270" t="inlineStr">
        <is>
          <t>SALDO FINANCIAR</t>
        </is>
      </c>
      <c r="AL270" t="n">
        <v>10</v>
      </c>
      <c r="AM270" t="n">
        <v>21168</v>
      </c>
      <c r="AN270" t="n">
        <v>0</v>
      </c>
      <c r="AO270" t="n">
        <v>0</v>
      </c>
      <c r="AP270" s="39" t="n">
        <v>21168</v>
      </c>
      <c r="AQ270" s="39" t="n">
        <v>21168</v>
      </c>
      <c r="AR270" s="39" t="n">
        <v>0</v>
      </c>
      <c r="AS270" t="n">
        <v>0</v>
      </c>
      <c r="AT270" t="inlineStr">
        <is>
          <t>Crédito Directo</t>
        </is>
      </c>
      <c r="AU270" t="inlineStr">
        <is>
          <t>Banco de Credito del Perú</t>
        </is>
      </c>
      <c r="AV270" t="inlineStr">
        <is>
          <t>194-7325779-0-65</t>
        </is>
      </c>
      <c r="AY270" t="inlineStr">
        <is>
          <t>0837109</t>
        </is>
      </c>
      <c r="AZ270" t="inlineStr">
        <is>
          <t>No</t>
        </is>
      </c>
      <c r="BB270" t="n">
        <v>1</v>
      </c>
      <c r="BC270" t="inlineStr">
        <is>
          <t>CANCELADO</t>
        </is>
      </c>
      <c r="BN270" t="inlineStr">
        <is>
          <t>Si</t>
        </is>
      </c>
      <c r="BO270" s="117" t="n">
        <v>45761.40694444445</v>
      </c>
      <c r="BP270" t="inlineStr">
        <is>
          <t>Magaly Guevara Perez</t>
        </is>
      </c>
      <c r="BR270" t="n">
        <v>38</v>
      </c>
      <c r="BS270" t="inlineStr">
        <is>
          <t>29/05/2026 02:48</t>
        </is>
      </c>
      <c r="BT270" t="n">
        <v>0</v>
      </c>
      <c r="BX270" t="inlineStr">
        <is>
          <t>Cobranzas_2025.csv</t>
        </is>
      </c>
      <c r="BY270" t="n">
        <v>2025</v>
      </c>
      <c r="BZ270" t="inlineStr">
        <is>
          <t>01/01/2024</t>
        </is>
      </c>
      <c r="CA270" t="inlineStr">
        <is>
          <t>30/09/2031</t>
        </is>
      </c>
    </row>
    <row r="271">
      <c r="A271" t="inlineStr">
        <is>
          <t>RESIDENCIAL PRADA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503</t>
        </is>
      </c>
      <c r="G271" s="39" t="n">
        <v>660000</v>
      </c>
      <c r="H271" s="39" t="n">
        <v>660000</v>
      </c>
      <c r="M271" s="39" t="n"/>
      <c r="N271" s="39" t="n"/>
      <c r="S271" s="39" t="n"/>
      <c r="T271" s="39" t="n"/>
      <c r="Y271" s="39" t="n"/>
      <c r="Z271" s="39" t="n"/>
      <c r="AA271" t="inlineStr">
        <is>
          <t>PATROCINIO HUAMANI CUEVAS</t>
        </is>
      </c>
      <c r="AB271" t="inlineStr">
        <is>
          <t>28965506</t>
        </is>
      </c>
      <c r="AC271" t="inlineStr">
        <is>
          <t>AV. SALAVERRY N°2080 DPTO. 304</t>
        </is>
      </c>
      <c r="AE271" t="inlineStr">
        <is>
          <t>991730000</t>
        </is>
      </c>
      <c r="AF271" t="inlineStr">
        <is>
          <t>oftalmconsulta@gmail.com</t>
        </is>
      </c>
      <c r="AG271" t="inlineStr">
        <is>
          <t>LIMA</t>
        </is>
      </c>
      <c r="AH271" t="inlineStr">
        <is>
          <t>JESUS MARIA</t>
        </is>
      </c>
      <c r="AI271" s="116" t="n">
        <v>45805</v>
      </c>
      <c r="AJ271" s="116" t="n">
        <v>45805</v>
      </c>
      <c r="AK271" t="inlineStr">
        <is>
          <t>SEPARACION</t>
        </is>
      </c>
      <c r="AL271" t="n">
        <v>1</v>
      </c>
      <c r="AM271" t="n">
        <v>3000</v>
      </c>
      <c r="AN271" t="n">
        <v>0</v>
      </c>
      <c r="AO271" t="n">
        <v>0</v>
      </c>
      <c r="AP271" s="39" t="n">
        <v>3000</v>
      </c>
      <c r="AQ271" s="39" t="n">
        <v>3000</v>
      </c>
      <c r="AR271" s="39" t="n">
        <v>0</v>
      </c>
      <c r="AS271" t="n">
        <v>0</v>
      </c>
      <c r="AT271" t="inlineStr">
        <is>
          <t>Crédito Directo</t>
        </is>
      </c>
      <c r="AU271" t="inlineStr">
        <is>
          <t>Scotiabank Perú</t>
        </is>
      </c>
      <c r="AV271" t="inlineStr">
        <is>
          <t>000-2768484</t>
        </is>
      </c>
      <c r="AW271" t="inlineStr">
        <is>
          <t>TRANSFERENCIA BANCARIA</t>
        </is>
      </c>
      <c r="AX271" t="inlineStr">
        <is>
          <t>28965506</t>
        </is>
      </c>
      <c r="AY271" t="inlineStr">
        <is>
          <t>00016000000018</t>
        </is>
      </c>
      <c r="AZ271" t="inlineStr">
        <is>
          <t>No</t>
        </is>
      </c>
      <c r="BA271" t="inlineStr">
        <is>
          <t>NO PRECISA</t>
        </is>
      </c>
      <c r="BB271" t="n">
        <v>1</v>
      </c>
      <c r="BC271" t="inlineStr">
        <is>
          <t>CANCELADO</t>
        </is>
      </c>
      <c r="BN271" t="inlineStr">
        <is>
          <t>Si</t>
        </is>
      </c>
      <c r="BO271" s="117" t="n">
        <v>45856.68958333333</v>
      </c>
      <c r="BP271" t="inlineStr">
        <is>
          <t>Carla Michue M</t>
        </is>
      </c>
      <c r="BR271" t="n">
        <v>14</v>
      </c>
      <c r="BS271" t="inlineStr">
        <is>
          <t>29/05/2026 12:21</t>
        </is>
      </c>
      <c r="BT271" t="n">
        <v>0</v>
      </c>
      <c r="BX271" t="inlineStr">
        <is>
          <t>Cobranzas_2025.csv</t>
        </is>
      </c>
      <c r="BY271" t="n">
        <v>2025</v>
      </c>
      <c r="BZ271" t="inlineStr">
        <is>
          <t>01/01/2024</t>
        </is>
      </c>
      <c r="CA271" t="inlineStr">
        <is>
          <t>30/09/2031</t>
        </is>
      </c>
    </row>
    <row r="272">
      <c r="A272" t="inlineStr">
        <is>
          <t>RESIDENCIAL PRADA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503</t>
        </is>
      </c>
      <c r="G272" s="39" t="n">
        <v>660000</v>
      </c>
      <c r="H272" s="39" t="n">
        <v>660000</v>
      </c>
      <c r="M272" s="39" t="n"/>
      <c r="N272" s="39" t="n"/>
      <c r="S272" s="39" t="n"/>
      <c r="T272" s="39" t="n"/>
      <c r="Y272" s="39" t="n"/>
      <c r="Z272" s="39" t="n"/>
      <c r="AA272" t="inlineStr">
        <is>
          <t>PATROCINIO HUAMANI CUEVAS</t>
        </is>
      </c>
      <c r="AB272" t="inlineStr">
        <is>
          <t>28965506</t>
        </is>
      </c>
      <c r="AC272" t="inlineStr">
        <is>
          <t>AV. SALAVERRY N°2080 DPTO. 304</t>
        </is>
      </c>
      <c r="AE272" t="inlineStr">
        <is>
          <t>991730000</t>
        </is>
      </c>
      <c r="AF272" t="inlineStr">
        <is>
          <t>oftalmconsulta@gmail.com</t>
        </is>
      </c>
      <c r="AG272" t="inlineStr">
        <is>
          <t>LIMA</t>
        </is>
      </c>
      <c r="AH272" t="inlineStr">
        <is>
          <t>JESUS MARIA</t>
        </is>
      </c>
      <c r="AI272" s="116" t="n">
        <v>45856</v>
      </c>
      <c r="AJ272" s="116" t="n">
        <v>45856</v>
      </c>
      <c r="AK272" t="inlineStr">
        <is>
          <t>CUOTA INICIAL</t>
        </is>
      </c>
      <c r="AL272" t="n">
        <v>2</v>
      </c>
      <c r="AM272" t="n">
        <v>162000</v>
      </c>
      <c r="AN272" t="n">
        <v>0</v>
      </c>
      <c r="AO272" t="n">
        <v>0</v>
      </c>
      <c r="AP272" s="39" t="n">
        <v>162000</v>
      </c>
      <c r="AQ272" s="39" t="n">
        <v>162</v>
      </c>
      <c r="AR272" s="39" t="n">
        <v>0</v>
      </c>
      <c r="AS272" t="n">
        <v>0</v>
      </c>
      <c r="AT272" t="inlineStr">
        <is>
          <t>Crédito Directo</t>
        </is>
      </c>
      <c r="AU272" t="inlineStr">
        <is>
          <t>Scotiabank Perú</t>
        </is>
      </c>
      <c r="AV272" t="inlineStr">
        <is>
          <t>000-2768484</t>
        </is>
      </c>
      <c r="AW272" t="inlineStr">
        <is>
          <t>TRANSFERENCIA BANCARIA</t>
        </is>
      </c>
      <c r="AY272" t="inlineStr">
        <is>
          <t>006905091</t>
        </is>
      </c>
      <c r="AZ272" t="inlineStr">
        <is>
          <t>No</t>
        </is>
      </c>
      <c r="BA272" t="inlineStr">
        <is>
          <t>NO PRECISA</t>
        </is>
      </c>
      <c r="BB272" t="n">
        <v>4</v>
      </c>
      <c r="BC272" t="inlineStr">
        <is>
          <t>CANCELADO</t>
        </is>
      </c>
      <c r="BN272" t="inlineStr">
        <is>
          <t>Si</t>
        </is>
      </c>
      <c r="BO272" s="117" t="n">
        <v>45856.68958333333</v>
      </c>
      <c r="BP272" t="inlineStr">
        <is>
          <t>Carla Michue M</t>
        </is>
      </c>
      <c r="BR272" t="n">
        <v>14</v>
      </c>
      <c r="BS272" t="inlineStr">
        <is>
          <t>07/07/2026 09:46</t>
        </is>
      </c>
      <c r="BT272" t="n">
        <v>0</v>
      </c>
      <c r="BX272" t="inlineStr">
        <is>
          <t>Cobranzas_2025.csv</t>
        </is>
      </c>
      <c r="BY272" t="n">
        <v>2025</v>
      </c>
      <c r="BZ272" t="inlineStr">
        <is>
          <t>01/01/2024</t>
        </is>
      </c>
      <c r="CA272" t="inlineStr">
        <is>
          <t>30/09/2031</t>
        </is>
      </c>
    </row>
    <row r="273">
      <c r="A273" t="inlineStr">
        <is>
          <t>RESIDENCIAL PRADA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503</t>
        </is>
      </c>
      <c r="G273" s="39" t="n">
        <v>660000</v>
      </c>
      <c r="H273" s="39" t="n">
        <v>660000</v>
      </c>
      <c r="M273" s="39" t="n"/>
      <c r="N273" s="39" t="n"/>
      <c r="S273" s="39" t="n"/>
      <c r="T273" s="39" t="n"/>
      <c r="Y273" s="39" t="n"/>
      <c r="Z273" s="39" t="n"/>
      <c r="AA273" t="inlineStr">
        <is>
          <t>PATROCINIO HUAMANI CUEVAS</t>
        </is>
      </c>
      <c r="AB273" t="inlineStr">
        <is>
          <t>28965506</t>
        </is>
      </c>
      <c r="AC273" t="inlineStr">
        <is>
          <t>AV. SALAVERRY N°2080 DPTO. 304</t>
        </is>
      </c>
      <c r="AE273" t="inlineStr">
        <is>
          <t>991730000</t>
        </is>
      </c>
      <c r="AF273" t="inlineStr">
        <is>
          <t>oftalmconsulta@gmail.com</t>
        </is>
      </c>
      <c r="AG273" t="inlineStr">
        <is>
          <t>LIMA</t>
        </is>
      </c>
      <c r="AH273" t="inlineStr">
        <is>
          <t>JESUS MARIA</t>
        </is>
      </c>
      <c r="AI273" s="116" t="n">
        <v>45856</v>
      </c>
      <c r="AJ273" s="116" t="n">
        <v>45856</v>
      </c>
      <c r="AK273" t="inlineStr">
        <is>
          <t>CUOTA INICIAL</t>
        </is>
      </c>
      <c r="AL273" t="n">
        <v>2</v>
      </c>
      <c r="AM273" t="n">
        <v>0</v>
      </c>
      <c r="AN273" t="n">
        <v>0</v>
      </c>
      <c r="AO273" t="n">
        <v>0</v>
      </c>
      <c r="AP273" s="39" t="n">
        <v>0</v>
      </c>
      <c r="AQ273" s="39" t="n">
        <v>161838</v>
      </c>
      <c r="AR273" s="39" t="n">
        <v>0</v>
      </c>
      <c r="AS273" t="n">
        <v>0</v>
      </c>
      <c r="AT273" t="inlineStr">
        <is>
          <t>Crédito Directo</t>
        </is>
      </c>
      <c r="AU273" t="inlineStr">
        <is>
          <t>Scotiabank Perú</t>
        </is>
      </c>
      <c r="AV273" t="inlineStr">
        <is>
          <t>000-2768484</t>
        </is>
      </c>
      <c r="AW273" t="inlineStr">
        <is>
          <t>TRANSFERENCIA BANCARIA</t>
        </is>
      </c>
      <c r="AY273" t="inlineStr">
        <is>
          <t>006913096</t>
        </is>
      </c>
      <c r="AZ273" t="inlineStr">
        <is>
          <t>No</t>
        </is>
      </c>
      <c r="BA273" t="inlineStr">
        <is>
          <t>NO PRECISA</t>
        </is>
      </c>
      <c r="BB273" t="n">
        <v>4</v>
      </c>
      <c r="BC273" t="inlineStr">
        <is>
          <t>CANCELADO</t>
        </is>
      </c>
      <c r="BN273" t="inlineStr">
        <is>
          <t>Si</t>
        </is>
      </c>
      <c r="BO273" s="117" t="n">
        <v>45856.68958333333</v>
      </c>
      <c r="BP273" t="inlineStr">
        <is>
          <t>Carla Michue M</t>
        </is>
      </c>
      <c r="BR273" t="n">
        <v>14</v>
      </c>
      <c r="BS273" t="inlineStr">
        <is>
          <t>07/07/2026 09:46</t>
        </is>
      </c>
      <c r="BT273" t="n">
        <v>0</v>
      </c>
      <c r="BX273" t="inlineStr">
        <is>
          <t>Cobranzas_2025.csv</t>
        </is>
      </c>
      <c r="BY273" t="n">
        <v>2025</v>
      </c>
      <c r="BZ273" t="inlineStr">
        <is>
          <t>01/01/2024</t>
        </is>
      </c>
      <c r="CA273" t="inlineStr">
        <is>
          <t>30/09/2031</t>
        </is>
      </c>
    </row>
    <row r="274">
      <c r="A274" t="inlineStr">
        <is>
          <t>RESIDENCIAL PRADA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Estacionamiento</t>
        </is>
      </c>
      <c r="F274" t="inlineStr">
        <is>
          <t>E 17 - D 12</t>
        </is>
      </c>
      <c r="G274" s="39" t="n">
        <v>52500</v>
      </c>
      <c r="H274" s="39" t="n">
        <v>52500</v>
      </c>
      <c r="M274" s="39" t="n"/>
      <c r="N274" s="39" t="n"/>
      <c r="S274" s="39" t="n"/>
      <c r="T274" s="39" t="n"/>
      <c r="Y274" s="39" t="n"/>
      <c r="Z274" s="39" t="n"/>
      <c r="AA274" t="inlineStr">
        <is>
          <t>PATROCINIO HUAMANI CUEVAS</t>
        </is>
      </c>
      <c r="AB274" t="inlineStr">
        <is>
          <t>28965506</t>
        </is>
      </c>
      <c r="AC274" t="inlineStr">
        <is>
          <t>AV. SALAVERRY N°2080 DPTO. 304</t>
        </is>
      </c>
      <c r="AD274" t="n">
        <v>0</v>
      </c>
      <c r="AE274" t="inlineStr">
        <is>
          <t>991730000</t>
        </is>
      </c>
      <c r="AF274" t="inlineStr">
        <is>
          <t>oftalmconsulta@gmail.com</t>
        </is>
      </c>
      <c r="AG274" t="inlineStr">
        <is>
          <t>LIMA</t>
        </is>
      </c>
      <c r="AH274" t="inlineStr">
        <is>
          <t>JESUS MARIA</t>
        </is>
      </c>
      <c r="AI274" s="116" t="n">
        <v>45869</v>
      </c>
      <c r="AJ274" s="116" t="n">
        <v>45869</v>
      </c>
      <c r="AK274" t="inlineStr">
        <is>
          <t>SEPARACION</t>
        </is>
      </c>
      <c r="AL274" t="n">
        <v>1</v>
      </c>
      <c r="AM274" t="n">
        <v>3000</v>
      </c>
      <c r="AN274" t="n">
        <v>0</v>
      </c>
      <c r="AO274" t="n">
        <v>0</v>
      </c>
      <c r="AP274" s="39" t="n">
        <v>3000</v>
      </c>
      <c r="AQ274" s="39" t="n">
        <v>3000</v>
      </c>
      <c r="AR274" s="39" t="n">
        <v>0</v>
      </c>
      <c r="AS274" t="n">
        <v>0</v>
      </c>
      <c r="AT274" t="inlineStr">
        <is>
          <t>Crédito Directo</t>
        </is>
      </c>
      <c r="AU274" t="inlineStr">
        <is>
          <t>Scotiabank Perú</t>
        </is>
      </c>
      <c r="AV274" t="inlineStr">
        <is>
          <t>000-2768484</t>
        </is>
      </c>
      <c r="AW274" t="inlineStr">
        <is>
          <t>TRANSFERENCIA BANCARIA</t>
        </is>
      </c>
      <c r="AY274" t="inlineStr">
        <is>
          <t>31072025</t>
        </is>
      </c>
      <c r="AZ274" t="inlineStr">
        <is>
          <t>No</t>
        </is>
      </c>
      <c r="BB274" t="n">
        <v>4</v>
      </c>
      <c r="BC274" t="inlineStr">
        <is>
          <t>CANCELADO</t>
        </is>
      </c>
      <c r="BN274" t="inlineStr">
        <is>
          <t>Si</t>
        </is>
      </c>
      <c r="BO274" s="117" t="n">
        <v>45869.43472222222</v>
      </c>
      <c r="BP274" t="inlineStr">
        <is>
          <t>Magaly Guevara Perez</t>
        </is>
      </c>
      <c r="BR274" t="n">
        <v>65</v>
      </c>
      <c r="BS274" t="inlineStr">
        <is>
          <t>07/07/2026 10:26</t>
        </is>
      </c>
      <c r="BT274" t="n">
        <v>0</v>
      </c>
      <c r="BX274" t="inlineStr">
        <is>
          <t>Cobranzas_2025.csv</t>
        </is>
      </c>
      <c r="BY274" t="n">
        <v>2025</v>
      </c>
      <c r="BZ274" t="inlineStr">
        <is>
          <t>01/01/2024</t>
        </is>
      </c>
      <c r="CA274" t="inlineStr">
        <is>
          <t>30/09/2031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Estacionamiento</t>
        </is>
      </c>
      <c r="F275" t="inlineStr">
        <is>
          <t>E 17 - D 12</t>
        </is>
      </c>
      <c r="G275" s="39" t="n">
        <v>52500</v>
      </c>
      <c r="H275" s="39" t="n">
        <v>52500</v>
      </c>
      <c r="M275" s="39" t="n"/>
      <c r="N275" s="39" t="n"/>
      <c r="S275" s="39" t="n"/>
      <c r="T275" s="39" t="n"/>
      <c r="Y275" s="39" t="n"/>
      <c r="Z275" s="39" t="n"/>
      <c r="AA275" t="inlineStr">
        <is>
          <t>PATROCINIO HUAMANI CUEVAS</t>
        </is>
      </c>
      <c r="AB275" t="inlineStr">
        <is>
          <t>28965506</t>
        </is>
      </c>
      <c r="AC275" t="inlineStr">
        <is>
          <t>AV. SALAVERRY N°2080 DPTO. 304</t>
        </is>
      </c>
      <c r="AD275" t="n">
        <v>0</v>
      </c>
      <c r="AE275" t="inlineStr">
        <is>
          <t>991730000</t>
        </is>
      </c>
      <c r="AF275" t="inlineStr">
        <is>
          <t>oftalmconsulta@gmail.com</t>
        </is>
      </c>
      <c r="AG275" t="inlineStr">
        <is>
          <t>LIMA</t>
        </is>
      </c>
      <c r="AH275" t="inlineStr">
        <is>
          <t>JESUS MARIA</t>
        </is>
      </c>
      <c r="AI275" s="116" t="n">
        <v>45870</v>
      </c>
      <c r="AJ275" s="116" t="n">
        <v>45870</v>
      </c>
      <c r="AK275" t="inlineStr">
        <is>
          <t>CUOTA INICIAL</t>
        </is>
      </c>
      <c r="AL275" t="n">
        <v>1</v>
      </c>
      <c r="AM275" t="n">
        <v>2000</v>
      </c>
      <c r="AN275" t="n">
        <v>0</v>
      </c>
      <c r="AO275" t="n">
        <v>0</v>
      </c>
      <c r="AP275" s="39" t="n">
        <v>2000</v>
      </c>
      <c r="AQ275" s="39" t="n">
        <v>2000</v>
      </c>
      <c r="AR275" s="39" t="n">
        <v>0</v>
      </c>
      <c r="AS275" t="n">
        <v>0</v>
      </c>
      <c r="AT275" t="inlineStr">
        <is>
          <t>Crédito Directo</t>
        </is>
      </c>
      <c r="AU275" t="inlineStr">
        <is>
          <t>Scotiabank Perú</t>
        </is>
      </c>
      <c r="AV275" t="inlineStr">
        <is>
          <t>000-2768484</t>
        </is>
      </c>
      <c r="AW275" t="inlineStr">
        <is>
          <t>TRANSFERENCIA BANCARIA</t>
        </is>
      </c>
      <c r="AY275" t="inlineStr">
        <is>
          <t>U27330</t>
        </is>
      </c>
      <c r="AZ275" t="inlineStr">
        <is>
          <t>No</t>
        </is>
      </c>
      <c r="BB275" t="n">
        <v>4</v>
      </c>
      <c r="BC275" t="inlineStr">
        <is>
          <t>CANCELADO</t>
        </is>
      </c>
      <c r="BN275" t="inlineStr">
        <is>
          <t>Si</t>
        </is>
      </c>
      <c r="BO275" s="117" t="n">
        <v>45869.43472222222</v>
      </c>
      <c r="BP275" t="inlineStr">
        <is>
          <t>Magaly Guevara Perez</t>
        </is>
      </c>
      <c r="BR275" t="n">
        <v>65</v>
      </c>
      <c r="BS275" t="inlineStr">
        <is>
          <t>07/07/2026 10:28</t>
        </is>
      </c>
      <c r="BT275" t="n">
        <v>0</v>
      </c>
      <c r="BX275" t="inlineStr">
        <is>
          <t>Cobranzas_2025.csv</t>
        </is>
      </c>
      <c r="BY275" t="n">
        <v>2025</v>
      </c>
      <c r="BZ275" t="inlineStr">
        <is>
          <t>01/01/2024</t>
        </is>
      </c>
      <c r="CA275" t="inlineStr">
        <is>
          <t>30/09/2031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405</t>
        </is>
      </c>
      <c r="G276" s="39" t="n">
        <v>392000</v>
      </c>
      <c r="H276" s="39" t="n">
        <v>392000</v>
      </c>
      <c r="I276" t="inlineStr">
        <is>
          <t>Edificio</t>
        </is>
      </c>
      <c r="J276" t="inlineStr">
        <is>
          <t>A</t>
        </is>
      </c>
      <c r="K276" t="inlineStr">
        <is>
          <t>Estacionamiento</t>
        </is>
      </c>
      <c r="L276" t="inlineStr">
        <is>
          <t>E 29 - D 13</t>
        </is>
      </c>
      <c r="M276" s="39" t="n">
        <v>43000</v>
      </c>
      <c r="N276" s="39" t="n">
        <v>43000</v>
      </c>
      <c r="S276" s="39" t="n"/>
      <c r="T276" s="39" t="n"/>
      <c r="Y276" s="39" t="n"/>
      <c r="Z276" s="39" t="n"/>
      <c r="AA276" t="inlineStr">
        <is>
          <t>Petronila Tisnado Meneses</t>
        </is>
      </c>
      <c r="AB276" t="inlineStr">
        <is>
          <t>01207150</t>
        </is>
      </c>
      <c r="AC276" t="inlineStr">
        <is>
          <t>Jr. Jose de La Mar Nº 460 Barrio San Josè</t>
        </is>
      </c>
      <c r="AD276" t="n">
        <v>0</v>
      </c>
      <c r="AE276" t="inlineStr">
        <is>
          <t>989735959</t>
        </is>
      </c>
      <c r="AF276" t="inlineStr">
        <is>
          <t>lupequis60@hotmail.com</t>
        </is>
      </c>
      <c r="AG276" t="inlineStr">
        <is>
          <t>PUNO</t>
        </is>
      </c>
      <c r="AH276" t="inlineStr">
        <is>
          <t>PUNO</t>
        </is>
      </c>
      <c r="AI276" s="116" t="n">
        <v>45896</v>
      </c>
      <c r="AJ276" s="116" t="n">
        <v>45896</v>
      </c>
      <c r="AK276" t="inlineStr">
        <is>
          <t>SEPARACION</t>
        </is>
      </c>
      <c r="AL276" t="n">
        <v>1</v>
      </c>
      <c r="AM276" t="n">
        <v>3000</v>
      </c>
      <c r="AN276" t="n">
        <v>0</v>
      </c>
      <c r="AO276" t="n">
        <v>0</v>
      </c>
      <c r="AP276" s="39" t="n">
        <v>3000</v>
      </c>
      <c r="AQ276" s="39" t="n">
        <v>3000</v>
      </c>
      <c r="AR276" s="39" t="n">
        <v>0</v>
      </c>
      <c r="AS276" t="n">
        <v>0</v>
      </c>
      <c r="AT276" t="inlineStr">
        <is>
          <t>Crédito Directo</t>
        </is>
      </c>
      <c r="AY276" t="inlineStr">
        <is>
          <t>00921160</t>
        </is>
      </c>
      <c r="AZ276" t="inlineStr">
        <is>
          <t>No</t>
        </is>
      </c>
      <c r="BB276" t="n">
        <v>4</v>
      </c>
      <c r="BC276" t="inlineStr">
        <is>
          <t>CANCELADO</t>
        </is>
      </c>
      <c r="BN276" t="inlineStr">
        <is>
          <t>Si</t>
        </is>
      </c>
      <c r="BO276" s="117" t="n">
        <v>46178.34305555555</v>
      </c>
      <c r="BP276" t="inlineStr">
        <is>
          <t>Magaly Guevara Perez</t>
        </is>
      </c>
      <c r="BR276" t="n">
        <v>9</v>
      </c>
      <c r="BS276" t="inlineStr">
        <is>
          <t>24/05/2026 19:37</t>
        </is>
      </c>
      <c r="BT276" t="n">
        <v>0</v>
      </c>
      <c r="BX276" t="inlineStr">
        <is>
          <t>Cobranzas_2025.csv</t>
        </is>
      </c>
      <c r="BY276" t="n">
        <v>2025</v>
      </c>
      <c r="BZ276" t="inlineStr">
        <is>
          <t>01/01/2024</t>
        </is>
      </c>
      <c r="CA276" t="inlineStr">
        <is>
          <t>30/09/2031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405</t>
        </is>
      </c>
      <c r="G277" s="39" t="n">
        <v>392000</v>
      </c>
      <c r="H277" s="39" t="n">
        <v>392000</v>
      </c>
      <c r="I277" t="inlineStr">
        <is>
          <t>Edificio</t>
        </is>
      </c>
      <c r="J277" t="inlineStr">
        <is>
          <t>A</t>
        </is>
      </c>
      <c r="K277" t="inlineStr">
        <is>
          <t>Estacionamiento</t>
        </is>
      </c>
      <c r="L277" t="inlineStr">
        <is>
          <t>E 29 - D 13</t>
        </is>
      </c>
      <c r="M277" s="39" t="n">
        <v>43000</v>
      </c>
      <c r="N277" s="39" t="n">
        <v>43000</v>
      </c>
      <c r="S277" s="39" t="n"/>
      <c r="T277" s="39" t="n"/>
      <c r="Y277" s="39" t="n"/>
      <c r="Z277" s="39" t="n"/>
      <c r="AA277" t="inlineStr">
        <is>
          <t>Petronila Tisnado Meneses</t>
        </is>
      </c>
      <c r="AB277" t="inlineStr">
        <is>
          <t>01207150</t>
        </is>
      </c>
      <c r="AC277" t="inlineStr">
        <is>
          <t>Jr. Jose de La Mar Nº 460 Barrio San Josè</t>
        </is>
      </c>
      <c r="AD277" t="n">
        <v>0</v>
      </c>
      <c r="AE277" t="inlineStr">
        <is>
          <t>989735959</t>
        </is>
      </c>
      <c r="AF277" t="inlineStr">
        <is>
          <t>lupequis60@hotmail.com</t>
        </is>
      </c>
      <c r="AG277" t="inlineStr">
        <is>
          <t>PUNO</t>
        </is>
      </c>
      <c r="AH277" t="inlineStr">
        <is>
          <t>PUNO</t>
        </is>
      </c>
      <c r="AI277" s="116" t="n">
        <v>45905</v>
      </c>
      <c r="AJ277" s="116" t="n">
        <v>45905</v>
      </c>
      <c r="AK277" t="inlineStr">
        <is>
          <t>CUOTA INICIAL</t>
        </is>
      </c>
      <c r="AL277" t="n">
        <v>1</v>
      </c>
      <c r="AM277" t="n">
        <v>217500</v>
      </c>
      <c r="AN277" t="n">
        <v>0</v>
      </c>
      <c r="AO277" t="n">
        <v>0</v>
      </c>
      <c r="AP277" s="39" t="n">
        <v>217500</v>
      </c>
      <c r="AQ277" s="39" t="n">
        <v>217500</v>
      </c>
      <c r="AR277" s="39" t="n">
        <v>0</v>
      </c>
      <c r="AS277" t="n">
        <v>0</v>
      </c>
      <c r="AT277" t="inlineStr">
        <is>
          <t>Crédito Directo</t>
        </is>
      </c>
      <c r="AU277" t="inlineStr">
        <is>
          <t>Scotiabank Perú</t>
        </is>
      </c>
      <c r="AV277" t="inlineStr">
        <is>
          <t>0004071419</t>
        </is>
      </c>
      <c r="AW277" t="inlineStr">
        <is>
          <t>CHEQUE DE GERENCIA</t>
        </is>
      </c>
      <c r="AX277" t="inlineStr">
        <is>
          <t>01202614</t>
        </is>
      </c>
      <c r="AY277" t="inlineStr">
        <is>
          <t>000031195011094090000001705</t>
        </is>
      </c>
      <c r="AZ277" t="inlineStr">
        <is>
          <t>No</t>
        </is>
      </c>
      <c r="BA277" t="inlineStr">
        <is>
          <t>NO PRECISA</t>
        </is>
      </c>
      <c r="BB277" t="n">
        <v>4</v>
      </c>
      <c r="BC277" t="inlineStr">
        <is>
          <t>CANCELADO</t>
        </is>
      </c>
      <c r="BN277" t="inlineStr">
        <is>
          <t>Si</t>
        </is>
      </c>
      <c r="BO277" s="117" t="n">
        <v>46178.34305555555</v>
      </c>
      <c r="BP277" t="inlineStr">
        <is>
          <t>Magaly Guevara Perez</t>
        </is>
      </c>
      <c r="BR277" t="n">
        <v>9</v>
      </c>
      <c r="BS277" t="inlineStr">
        <is>
          <t>04/06/2026 08:45</t>
        </is>
      </c>
      <c r="BT277" t="n">
        <v>0</v>
      </c>
      <c r="BX277" t="inlineStr">
        <is>
          <t>Cobranzas_2025.csv</t>
        </is>
      </c>
      <c r="BY277" t="n">
        <v>2025</v>
      </c>
      <c r="BZ277" t="inlineStr">
        <is>
          <t>01/01/2024</t>
        </is>
      </c>
      <c r="CA277" t="inlineStr">
        <is>
          <t>30/09/2031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405</t>
        </is>
      </c>
      <c r="G278" s="39" t="n">
        <v>392000</v>
      </c>
      <c r="H278" s="39" t="n">
        <v>392000</v>
      </c>
      <c r="I278" t="inlineStr">
        <is>
          <t>Edificio</t>
        </is>
      </c>
      <c r="J278" t="inlineStr">
        <is>
          <t>A</t>
        </is>
      </c>
      <c r="K278" t="inlineStr">
        <is>
          <t>Estacionamiento</t>
        </is>
      </c>
      <c r="L278" t="inlineStr">
        <is>
          <t>E 29 - D 13</t>
        </is>
      </c>
      <c r="M278" s="39" t="n">
        <v>43000</v>
      </c>
      <c r="N278" s="39" t="n">
        <v>43000</v>
      </c>
      <c r="S278" s="39" t="n"/>
      <c r="T278" s="39" t="n"/>
      <c r="Y278" s="39" t="n"/>
      <c r="Z278" s="39" t="n"/>
      <c r="AA278" t="inlineStr">
        <is>
          <t>Petronila Tisnado Meneses</t>
        </is>
      </c>
      <c r="AB278" t="inlineStr">
        <is>
          <t>01207150</t>
        </is>
      </c>
      <c r="AC278" t="inlineStr">
        <is>
          <t>Jr. Jose de La Mar Nº 460 Barrio San Josè</t>
        </is>
      </c>
      <c r="AD278" t="n">
        <v>0</v>
      </c>
      <c r="AE278" t="inlineStr">
        <is>
          <t>989735959</t>
        </is>
      </c>
      <c r="AF278" t="inlineStr">
        <is>
          <t>lupequis60@hotmail.com</t>
        </is>
      </c>
      <c r="AG278" t="inlineStr">
        <is>
          <t>PUNO</t>
        </is>
      </c>
      <c r="AH278" t="inlineStr">
        <is>
          <t>PUNO</t>
        </is>
      </c>
      <c r="AI278" s="116" t="n">
        <v>45961</v>
      </c>
      <c r="AJ278" s="116" t="n">
        <v>45954</v>
      </c>
      <c r="AK278" t="inlineStr">
        <is>
          <t>SALDO FINANCIAR</t>
        </is>
      </c>
      <c r="AL278" t="n">
        <v>1</v>
      </c>
      <c r="AM278" t="n">
        <v>14300</v>
      </c>
      <c r="AN278" t="n">
        <v>0</v>
      </c>
      <c r="AO278" t="n">
        <v>0</v>
      </c>
      <c r="AP278" s="39" t="n">
        <v>14300</v>
      </c>
      <c r="AQ278" s="39" t="n">
        <v>14300</v>
      </c>
      <c r="AR278" s="39" t="n">
        <v>0</v>
      </c>
      <c r="AS278" t="n">
        <v>0</v>
      </c>
      <c r="AT278" t="inlineStr">
        <is>
          <t>Crédito Directo</t>
        </is>
      </c>
      <c r="AU278" t="inlineStr">
        <is>
          <t>Scotiabank Perú</t>
        </is>
      </c>
      <c r="AV278" t="inlineStr">
        <is>
          <t>0004071419</t>
        </is>
      </c>
      <c r="AW278" t="inlineStr">
        <is>
          <t>DEPOSITO EN CUENTA</t>
        </is>
      </c>
      <c r="AY278" t="inlineStr">
        <is>
          <t>U28921</t>
        </is>
      </c>
      <c r="AZ278" t="inlineStr">
        <is>
          <t>Si</t>
        </is>
      </c>
      <c r="BB278" t="n">
        <v>4</v>
      </c>
      <c r="BC278" t="inlineStr">
        <is>
          <t>CANCELADO</t>
        </is>
      </c>
      <c r="BN278" t="inlineStr">
        <is>
          <t>Si</t>
        </is>
      </c>
      <c r="BO278" s="117" t="n">
        <v>46178.34305555555</v>
      </c>
      <c r="BP278" t="inlineStr">
        <is>
          <t>Magaly Guevara Perez</t>
        </is>
      </c>
      <c r="BR278" t="n">
        <v>9</v>
      </c>
      <c r="BS278" t="inlineStr">
        <is>
          <t>08/06/2026 11:42</t>
        </is>
      </c>
      <c r="BT278" t="n">
        <v>0</v>
      </c>
      <c r="BX278" t="inlineStr">
        <is>
          <t>Cobranzas_2025.csv</t>
        </is>
      </c>
      <c r="BY278" t="n">
        <v>2025</v>
      </c>
      <c r="BZ278" t="inlineStr">
        <is>
          <t>01/01/2024</t>
        </is>
      </c>
      <c r="CA278" t="inlineStr">
        <is>
          <t>30/09/2031</t>
        </is>
      </c>
    </row>
    <row r="279">
      <c r="A279" t="inlineStr">
        <is>
          <t>RESIDENCIAL VENECIA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405</t>
        </is>
      </c>
      <c r="G279" s="39" t="n">
        <v>392000</v>
      </c>
      <c r="H279" s="39" t="n">
        <v>392000</v>
      </c>
      <c r="I279" t="inlineStr">
        <is>
          <t>Edificio</t>
        </is>
      </c>
      <c r="J279" t="inlineStr">
        <is>
          <t>A</t>
        </is>
      </c>
      <c r="K279" t="inlineStr">
        <is>
          <t>Estacionamiento</t>
        </is>
      </c>
      <c r="L279" t="inlineStr">
        <is>
          <t>E 29 - D 13</t>
        </is>
      </c>
      <c r="M279" s="39" t="n">
        <v>43000</v>
      </c>
      <c r="N279" s="39" t="n">
        <v>43000</v>
      </c>
      <c r="S279" s="39" t="n"/>
      <c r="T279" s="39" t="n"/>
      <c r="Y279" s="39" t="n"/>
      <c r="Z279" s="39" t="n"/>
      <c r="AA279" t="inlineStr">
        <is>
          <t>Petronila Tisnado Meneses</t>
        </is>
      </c>
      <c r="AB279" t="inlineStr">
        <is>
          <t>01207150</t>
        </is>
      </c>
      <c r="AC279" t="inlineStr">
        <is>
          <t>Jr. Jose de La Mar Nº 460 Barrio San Josè</t>
        </is>
      </c>
      <c r="AD279" t="n">
        <v>0</v>
      </c>
      <c r="AE279" t="inlineStr">
        <is>
          <t>989735959</t>
        </is>
      </c>
      <c r="AF279" t="inlineStr">
        <is>
          <t>lupequis60@hotmail.com</t>
        </is>
      </c>
      <c r="AG279" t="inlineStr">
        <is>
          <t>PUNO</t>
        </is>
      </c>
      <c r="AH279" t="inlineStr">
        <is>
          <t>PUNO</t>
        </is>
      </c>
      <c r="AI279" s="116" t="n">
        <v>45991</v>
      </c>
      <c r="AJ279" s="116" t="n">
        <v>45988</v>
      </c>
      <c r="AK279" t="inlineStr">
        <is>
          <t>SALDO FINANCIAR</t>
        </is>
      </c>
      <c r="AL279" t="n">
        <v>2</v>
      </c>
      <c r="AM279" t="n">
        <v>14300</v>
      </c>
      <c r="AN279" t="n">
        <v>0</v>
      </c>
      <c r="AO279" t="n">
        <v>0</v>
      </c>
      <c r="AP279" s="39" t="n">
        <v>14300</v>
      </c>
      <c r="AQ279" s="39" t="n">
        <v>14300</v>
      </c>
      <c r="AR279" s="39" t="n">
        <v>0</v>
      </c>
      <c r="AS279" t="n">
        <v>0</v>
      </c>
      <c r="AT279" t="inlineStr">
        <is>
          <t>Crédito Directo</t>
        </is>
      </c>
      <c r="AU279" t="inlineStr">
        <is>
          <t>Scotiabank Perú</t>
        </is>
      </c>
      <c r="AV279" t="inlineStr">
        <is>
          <t>0004071419</t>
        </is>
      </c>
      <c r="AW279" t="inlineStr">
        <is>
          <t>DEPOSITO EN CUENTA</t>
        </is>
      </c>
      <c r="AY279" t="inlineStr">
        <is>
          <t>U26974</t>
        </is>
      </c>
      <c r="AZ279" t="inlineStr">
        <is>
          <t>Si</t>
        </is>
      </c>
      <c r="BB279" t="n">
        <v>4</v>
      </c>
      <c r="BC279" t="inlineStr">
        <is>
          <t>CANCELADO</t>
        </is>
      </c>
      <c r="BN279" t="inlineStr">
        <is>
          <t>Si</t>
        </is>
      </c>
      <c r="BO279" s="117" t="n">
        <v>46178.34305555555</v>
      </c>
      <c r="BP279" t="inlineStr">
        <is>
          <t>Magaly Guevara Perez</t>
        </is>
      </c>
      <c r="BR279" t="n">
        <v>9</v>
      </c>
      <c r="BS279" t="inlineStr">
        <is>
          <t>08/06/2026 11:44</t>
        </is>
      </c>
      <c r="BT279" t="n">
        <v>0</v>
      </c>
      <c r="BX279" t="inlineStr">
        <is>
          <t>Cobranzas_2025.csv</t>
        </is>
      </c>
      <c r="BY279" t="n">
        <v>2025</v>
      </c>
      <c r="BZ279" t="inlineStr">
        <is>
          <t>01/01/2024</t>
        </is>
      </c>
      <c r="CA279" t="inlineStr">
        <is>
          <t>30/09/2031</t>
        </is>
      </c>
    </row>
    <row r="280">
      <c r="A280" t="inlineStr">
        <is>
          <t>RESIDENCIAL VENECIA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405</t>
        </is>
      </c>
      <c r="G280" s="39" t="n">
        <v>392000</v>
      </c>
      <c r="H280" s="39" t="n">
        <v>392000</v>
      </c>
      <c r="I280" t="inlineStr">
        <is>
          <t>Edificio</t>
        </is>
      </c>
      <c r="J280" t="inlineStr">
        <is>
          <t>A</t>
        </is>
      </c>
      <c r="K280" t="inlineStr">
        <is>
          <t>Estacionamiento</t>
        </is>
      </c>
      <c r="L280" t="inlineStr">
        <is>
          <t>E 29 - D 13</t>
        </is>
      </c>
      <c r="M280" s="39" t="n">
        <v>43000</v>
      </c>
      <c r="N280" s="39" t="n">
        <v>43000</v>
      </c>
      <c r="S280" s="39" t="n"/>
      <c r="T280" s="39" t="n"/>
      <c r="Y280" s="39" t="n"/>
      <c r="Z280" s="39" t="n"/>
      <c r="AA280" t="inlineStr">
        <is>
          <t>Petronila Tisnado Meneses</t>
        </is>
      </c>
      <c r="AB280" t="inlineStr">
        <is>
          <t>01207150</t>
        </is>
      </c>
      <c r="AC280" t="inlineStr">
        <is>
          <t>Jr. Jose de La Mar Nº 460 Barrio San Josè</t>
        </is>
      </c>
      <c r="AD280" t="n">
        <v>0</v>
      </c>
      <c r="AE280" t="inlineStr">
        <is>
          <t>989735959</t>
        </is>
      </c>
      <c r="AF280" t="inlineStr">
        <is>
          <t>lupequis60@hotmail.com</t>
        </is>
      </c>
      <c r="AG280" t="inlineStr">
        <is>
          <t>PUNO</t>
        </is>
      </c>
      <c r="AH280" t="inlineStr">
        <is>
          <t>PUNO</t>
        </is>
      </c>
      <c r="AI280" s="116" t="n">
        <v>46022</v>
      </c>
      <c r="AJ280" s="116" t="n">
        <v>45988</v>
      </c>
      <c r="AK280" t="inlineStr">
        <is>
          <t>SALDO FINANCIAR</t>
        </is>
      </c>
      <c r="AL280" t="n">
        <v>3</v>
      </c>
      <c r="AM280" t="n">
        <v>14300</v>
      </c>
      <c r="AN280" t="n">
        <v>0</v>
      </c>
      <c r="AO280" t="n">
        <v>0</v>
      </c>
      <c r="AP280" s="39" t="n">
        <v>14300</v>
      </c>
      <c r="AQ280" s="39" t="n">
        <v>14300</v>
      </c>
      <c r="AR280" s="39" t="n">
        <v>0</v>
      </c>
      <c r="AS280" t="n">
        <v>0</v>
      </c>
      <c r="AT280" t="inlineStr">
        <is>
          <t>Crédito Directo</t>
        </is>
      </c>
      <c r="AU280" t="inlineStr">
        <is>
          <t>Scotiabank Perú</t>
        </is>
      </c>
      <c r="AV280" t="inlineStr">
        <is>
          <t>0004071419</t>
        </is>
      </c>
      <c r="AW280" t="inlineStr">
        <is>
          <t>DEPOSITO EN CUENTA</t>
        </is>
      </c>
      <c r="AY280" t="inlineStr">
        <is>
          <t>U26974</t>
        </is>
      </c>
      <c r="AZ280" t="inlineStr">
        <is>
          <t>Si</t>
        </is>
      </c>
      <c r="BB280" t="n">
        <v>4</v>
      </c>
      <c r="BC280" t="inlineStr">
        <is>
          <t>CANCELADO</t>
        </is>
      </c>
      <c r="BN280" t="inlineStr">
        <is>
          <t>Si</t>
        </is>
      </c>
      <c r="BO280" s="117" t="n">
        <v>46178.34305555555</v>
      </c>
      <c r="BP280" t="inlineStr">
        <is>
          <t>Magaly Guevara Perez</t>
        </is>
      </c>
      <c r="BR280" t="n">
        <v>9</v>
      </c>
      <c r="BS280" t="inlineStr">
        <is>
          <t>08/06/2026 11:44</t>
        </is>
      </c>
      <c r="BT280" t="n">
        <v>0</v>
      </c>
      <c r="BX280" t="inlineStr">
        <is>
          <t>Cobranzas_2025.csv</t>
        </is>
      </c>
      <c r="BY280" t="n">
        <v>2025</v>
      </c>
      <c r="BZ280" t="inlineStr">
        <is>
          <t>01/01/2024</t>
        </is>
      </c>
      <c r="CA280" t="inlineStr">
        <is>
          <t>30/09/2031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701</t>
        </is>
      </c>
      <c r="G281" s="39" t="n">
        <v>592500</v>
      </c>
      <c r="H281" s="39" t="n">
        <v>592500</v>
      </c>
      <c r="M281" s="39" t="n"/>
      <c r="N281" s="39" t="n"/>
      <c r="S281" s="39" t="n"/>
      <c r="T281" s="39" t="n"/>
      <c r="Y281" s="39" t="n"/>
      <c r="Z281" s="39" t="n"/>
      <c r="AA281" t="inlineStr">
        <is>
          <t>Richard Humberto Lima Garcia</t>
        </is>
      </c>
      <c r="AB281" t="inlineStr">
        <is>
          <t>10606793</t>
        </is>
      </c>
      <c r="AC281" t="inlineStr">
        <is>
          <t>Mz E2 lote 10 Urb Coovitiomar - Ancón</t>
        </is>
      </c>
      <c r="AE281" t="inlineStr">
        <is>
          <t>940170759</t>
        </is>
      </c>
      <c r="AF281" t="inlineStr">
        <is>
          <t>richard_13_312@hotmail.com</t>
        </is>
      </c>
      <c r="AG281" t="inlineStr">
        <is>
          <t>LIMA</t>
        </is>
      </c>
      <c r="AH281" t="inlineStr">
        <is>
          <t>SANTA ROSA</t>
        </is>
      </c>
      <c r="AI281" s="116" t="n">
        <v>45688</v>
      </c>
      <c r="AJ281" s="116" t="n">
        <v>45747</v>
      </c>
      <c r="AK281" t="inlineStr">
        <is>
          <t>SALDO FINANCIAR</t>
        </is>
      </c>
      <c r="AL281" t="n">
        <v>4</v>
      </c>
      <c r="AM281" t="n">
        <v>533250</v>
      </c>
      <c r="AN281" t="n">
        <v>0</v>
      </c>
      <c r="AO281" t="n">
        <v>0</v>
      </c>
      <c r="AP281" s="39" t="n">
        <v>533250</v>
      </c>
      <c r="AQ281" s="39" t="n">
        <v>533250</v>
      </c>
      <c r="AR281" s="39" t="n">
        <v>0</v>
      </c>
      <c r="AS281" t="n">
        <v>0</v>
      </c>
      <c r="AT281" t="inlineStr">
        <is>
          <t>Crédito Hipotecario</t>
        </is>
      </c>
      <c r="AU281" t="inlineStr">
        <is>
          <t>Scotiabank Perú</t>
        </is>
      </c>
      <c r="AV281" t="inlineStr">
        <is>
          <t>000-2768484</t>
        </is>
      </c>
      <c r="AW281" t="inlineStr">
        <is>
          <t>TRANSFERENCIA BANCARIA</t>
        </is>
      </c>
      <c r="AY281" t="inlineStr">
        <is>
          <t>31032025</t>
        </is>
      </c>
      <c r="AZ281" t="inlineStr">
        <is>
          <t>Si</t>
        </is>
      </c>
      <c r="BB281" t="n">
        <v>4</v>
      </c>
      <c r="BC281" t="inlineStr">
        <is>
          <t>CANCELADO</t>
        </is>
      </c>
      <c r="BN281" t="inlineStr">
        <is>
          <t>Si</t>
        </is>
      </c>
      <c r="BO281" s="117" t="n">
        <v>45638.38819444444</v>
      </c>
      <c r="BP281" t="inlineStr">
        <is>
          <t>Carla Michue M</t>
        </is>
      </c>
      <c r="BR281" t="n">
        <v>3</v>
      </c>
      <c r="BS281" t="inlineStr">
        <is>
          <t>07/07/2026 11:34</t>
        </is>
      </c>
      <c r="BT281" t="n">
        <v>0</v>
      </c>
      <c r="BX281" t="inlineStr">
        <is>
          <t>Cobranzas_2025.csv</t>
        </is>
      </c>
      <c r="BY281" t="n">
        <v>2025</v>
      </c>
      <c r="BZ281" t="inlineStr">
        <is>
          <t>01/01/2024</t>
        </is>
      </c>
      <c r="CA281" t="inlineStr">
        <is>
          <t>30/09/2031</t>
        </is>
      </c>
    </row>
    <row r="282">
      <c r="A282" t="inlineStr">
        <is>
          <t>RESIDENCIAL VENECIA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602</t>
        </is>
      </c>
      <c r="G282" s="39" t="n">
        <v>573000</v>
      </c>
      <c r="H282" s="39" t="n">
        <v>573000</v>
      </c>
      <c r="I282" t="inlineStr">
        <is>
          <t>Edificio</t>
        </is>
      </c>
      <c r="J282" t="inlineStr">
        <is>
          <t>A</t>
        </is>
      </c>
      <c r="K282" t="inlineStr">
        <is>
          <t>Estacionamiento</t>
        </is>
      </c>
      <c r="L282" t="inlineStr">
        <is>
          <t>E 24 - D 5</t>
        </is>
      </c>
      <c r="M282" s="39" t="n">
        <v>51000</v>
      </c>
      <c r="N282" s="39" t="n">
        <v>51000</v>
      </c>
      <c r="S282" s="39" t="n"/>
      <c r="T282" s="39" t="n"/>
      <c r="Y282" s="39" t="n"/>
      <c r="Z282" s="39" t="n"/>
      <c r="AA282" t="inlineStr">
        <is>
          <t>Rocio Chuquimango Valencia</t>
        </is>
      </c>
      <c r="AB282" t="inlineStr">
        <is>
          <t>26707781</t>
        </is>
      </c>
      <c r="AC282" t="inlineStr">
        <is>
          <t xml:space="preserve">AV.ATAHUALPA 337.INT 2 </t>
        </is>
      </c>
      <c r="AD282" t="n">
        <v>0</v>
      </c>
      <c r="AE282" t="inlineStr">
        <is>
          <t>976685767</t>
        </is>
      </c>
      <c r="AF282" t="inlineStr">
        <is>
          <t>rocio-0511@hotmail.com</t>
        </is>
      </c>
      <c r="AG282" t="inlineStr">
        <is>
          <t>CAJAMARCA</t>
        </is>
      </c>
      <c r="AH282" t="inlineStr">
        <is>
          <t>CAJAMARCA</t>
        </is>
      </c>
      <c r="AI282" s="116" t="n">
        <v>45871</v>
      </c>
      <c r="AJ282" s="116" t="n">
        <v>45871</v>
      </c>
      <c r="AK282" t="inlineStr">
        <is>
          <t>SEPARACION</t>
        </is>
      </c>
      <c r="AL282" t="n">
        <v>1</v>
      </c>
      <c r="AM282" t="n">
        <v>3000</v>
      </c>
      <c r="AN282" t="n">
        <v>0</v>
      </c>
      <c r="AO282" t="n">
        <v>0</v>
      </c>
      <c r="AP282" s="39" t="n">
        <v>3000</v>
      </c>
      <c r="AQ282" s="39" t="n">
        <v>3000</v>
      </c>
      <c r="AR282" s="39" t="n">
        <v>0</v>
      </c>
      <c r="AS282" t="n">
        <v>0</v>
      </c>
      <c r="AT282" t="inlineStr">
        <is>
          <t>Crédito Directo</t>
        </is>
      </c>
      <c r="AU282" t="inlineStr">
        <is>
          <t>Scotiabank Perú</t>
        </is>
      </c>
      <c r="AV282" t="inlineStr">
        <is>
          <t>0004071419</t>
        </is>
      </c>
      <c r="AW282" t="inlineStr">
        <is>
          <t>TRANSFERENCIA BANCARIA</t>
        </is>
      </c>
      <c r="AY282" t="inlineStr">
        <is>
          <t>5529054</t>
        </is>
      </c>
      <c r="AZ282" t="inlineStr">
        <is>
          <t>No</t>
        </is>
      </c>
      <c r="BB282" t="n">
        <v>4</v>
      </c>
      <c r="BC282" t="inlineStr">
        <is>
          <t>CANCELADO</t>
        </is>
      </c>
      <c r="BN282" t="inlineStr">
        <is>
          <t>Si</t>
        </is>
      </c>
      <c r="BO282" s="117" t="n">
        <v>45898.34652777778</v>
      </c>
      <c r="BP282" t="inlineStr">
        <is>
          <t>Magaly Guevara Perez</t>
        </is>
      </c>
      <c r="BR282" t="n">
        <v>12</v>
      </c>
      <c r="BS282" t="inlineStr">
        <is>
          <t>24/05/2026 20:38</t>
        </is>
      </c>
      <c r="BT282" t="n">
        <v>0</v>
      </c>
      <c r="BX282" t="inlineStr">
        <is>
          <t>Cobranzas_2025.csv</t>
        </is>
      </c>
      <c r="BY282" t="n">
        <v>2025</v>
      </c>
      <c r="BZ282" t="inlineStr">
        <is>
          <t>01/01/2024</t>
        </is>
      </c>
      <c r="CA282" t="inlineStr">
        <is>
          <t>30/09/2031</t>
        </is>
      </c>
    </row>
    <row r="283">
      <c r="A283" t="inlineStr">
        <is>
          <t>RESIDENCIAL VENECIA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602</t>
        </is>
      </c>
      <c r="G283" s="39" t="n">
        <v>573000</v>
      </c>
      <c r="H283" s="39" t="n">
        <v>573000</v>
      </c>
      <c r="I283" t="inlineStr">
        <is>
          <t>Edificio</t>
        </is>
      </c>
      <c r="J283" t="inlineStr">
        <is>
          <t>A</t>
        </is>
      </c>
      <c r="K283" t="inlineStr">
        <is>
          <t>Estacionamiento</t>
        </is>
      </c>
      <c r="L283" t="inlineStr">
        <is>
          <t>E 24 - D 5</t>
        </is>
      </c>
      <c r="M283" s="39" t="n">
        <v>51000</v>
      </c>
      <c r="N283" s="39" t="n">
        <v>51000</v>
      </c>
      <c r="S283" s="39" t="n"/>
      <c r="T283" s="39" t="n"/>
      <c r="Y283" s="39" t="n"/>
      <c r="Z283" s="39" t="n"/>
      <c r="AA283" t="inlineStr">
        <is>
          <t>Rocio Chuquimango Valencia</t>
        </is>
      </c>
      <c r="AB283" t="inlineStr">
        <is>
          <t>26707781</t>
        </is>
      </c>
      <c r="AC283" t="inlineStr">
        <is>
          <t xml:space="preserve">AV.ATAHUALPA 337.INT 2 </t>
        </is>
      </c>
      <c r="AD283" t="n">
        <v>0</v>
      </c>
      <c r="AE283" t="inlineStr">
        <is>
          <t>976685767</t>
        </is>
      </c>
      <c r="AF283" t="inlineStr">
        <is>
          <t>rocio-0511@hotmail.com</t>
        </is>
      </c>
      <c r="AG283" t="inlineStr">
        <is>
          <t>CAJAMARCA</t>
        </is>
      </c>
      <c r="AH283" t="inlineStr">
        <is>
          <t>CAJAMARCA</t>
        </is>
      </c>
      <c r="AI283" s="116" t="n">
        <v>45898</v>
      </c>
      <c r="AJ283" s="116" t="n">
        <v>45898</v>
      </c>
      <c r="AK283" t="inlineStr">
        <is>
          <t>CUOTA INICIAL</t>
        </is>
      </c>
      <c r="AL283" t="n">
        <v>1</v>
      </c>
      <c r="AM283" t="n">
        <v>54300</v>
      </c>
      <c r="AN283" t="n">
        <v>0</v>
      </c>
      <c r="AO283" t="n">
        <v>0</v>
      </c>
      <c r="AP283" s="39" t="n">
        <v>54300</v>
      </c>
      <c r="AQ283" s="39" t="n">
        <v>54300</v>
      </c>
      <c r="AR283" s="39" t="n">
        <v>0</v>
      </c>
      <c r="AS283" t="n">
        <v>0</v>
      </c>
      <c r="AT283" t="inlineStr">
        <is>
          <t>Crédito Directo</t>
        </is>
      </c>
      <c r="AU283" t="inlineStr">
        <is>
          <t>Scotiabank Perú</t>
        </is>
      </c>
      <c r="AV283" t="inlineStr">
        <is>
          <t>0004071419</t>
        </is>
      </c>
      <c r="AW283" t="inlineStr">
        <is>
          <t>TRANSFERENCIA BANCARIA</t>
        </is>
      </c>
      <c r="AY283" t="inlineStr">
        <is>
          <t>29082025</t>
        </is>
      </c>
      <c r="AZ283" t="inlineStr">
        <is>
          <t>No</t>
        </is>
      </c>
      <c r="BB283" t="n">
        <v>4</v>
      </c>
      <c r="BC283" t="inlineStr">
        <is>
          <t>CANCELADO</t>
        </is>
      </c>
      <c r="BN283" t="inlineStr">
        <is>
          <t>Si</t>
        </is>
      </c>
      <c r="BO283" s="117" t="n">
        <v>45898.34652777778</v>
      </c>
      <c r="BP283" t="inlineStr">
        <is>
          <t>Magaly Guevara Perez</t>
        </is>
      </c>
      <c r="BR283" t="n">
        <v>12</v>
      </c>
      <c r="BS283" t="inlineStr">
        <is>
          <t>24/05/2026 20:40</t>
        </is>
      </c>
      <c r="BT283" t="n">
        <v>0</v>
      </c>
      <c r="BX283" t="inlineStr">
        <is>
          <t>Cobranzas_2025.csv</t>
        </is>
      </c>
      <c r="BY283" t="n">
        <v>2025</v>
      </c>
      <c r="BZ283" t="inlineStr">
        <is>
          <t>01/01/2024</t>
        </is>
      </c>
      <c r="CA283" t="inlineStr">
        <is>
          <t>30/09/2031</t>
        </is>
      </c>
    </row>
    <row r="284">
      <c r="A284" t="inlineStr">
        <is>
          <t>RESIDENCIAL VENECIA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602</t>
        </is>
      </c>
      <c r="G284" s="39" t="n">
        <v>573000</v>
      </c>
      <c r="H284" s="39" t="n">
        <v>573000</v>
      </c>
      <c r="I284" t="inlineStr">
        <is>
          <t>Edificio</t>
        </is>
      </c>
      <c r="J284" t="inlineStr">
        <is>
          <t>A</t>
        </is>
      </c>
      <c r="K284" t="inlineStr">
        <is>
          <t>Estacionamiento</t>
        </is>
      </c>
      <c r="L284" t="inlineStr">
        <is>
          <t>E 24 - D 5</t>
        </is>
      </c>
      <c r="M284" s="39" t="n">
        <v>51000</v>
      </c>
      <c r="N284" s="39" t="n">
        <v>51000</v>
      </c>
      <c r="S284" s="39" t="n"/>
      <c r="T284" s="39" t="n"/>
      <c r="Y284" s="39" t="n"/>
      <c r="Z284" s="39" t="n"/>
      <c r="AA284" t="inlineStr">
        <is>
          <t>Rocio Chuquimango Valencia</t>
        </is>
      </c>
      <c r="AB284" t="inlineStr">
        <is>
          <t>26707781</t>
        </is>
      </c>
      <c r="AC284" t="inlineStr">
        <is>
          <t xml:space="preserve">AV.ATAHUALPA 337.INT 2 </t>
        </is>
      </c>
      <c r="AD284" t="n">
        <v>0</v>
      </c>
      <c r="AE284" t="inlineStr">
        <is>
          <t>976685767</t>
        </is>
      </c>
      <c r="AF284" t="inlineStr">
        <is>
          <t>rocio-0511@hotmail.com</t>
        </is>
      </c>
      <c r="AG284" t="inlineStr">
        <is>
          <t>CAJAMARCA</t>
        </is>
      </c>
      <c r="AH284" t="inlineStr">
        <is>
          <t>CAJAMARCA</t>
        </is>
      </c>
      <c r="AI284" s="116" t="n">
        <v>45937</v>
      </c>
      <c r="AJ284" s="116" t="n">
        <v>45937</v>
      </c>
      <c r="AK284" t="inlineStr">
        <is>
          <t>CUOTA INICIAL</t>
        </is>
      </c>
      <c r="AL284" t="n">
        <v>2</v>
      </c>
      <c r="AM284" t="n">
        <v>10000</v>
      </c>
      <c r="AN284" t="n">
        <v>0</v>
      </c>
      <c r="AO284" t="n">
        <v>0</v>
      </c>
      <c r="AP284" s="39" t="n">
        <v>10000</v>
      </c>
      <c r="AQ284" s="39" t="n">
        <v>10000</v>
      </c>
      <c r="AR284" s="39" t="n">
        <v>0</v>
      </c>
      <c r="AS284" t="n">
        <v>0</v>
      </c>
      <c r="AT284" t="inlineStr">
        <is>
          <t>Crédito Directo</t>
        </is>
      </c>
      <c r="AU284" t="inlineStr">
        <is>
          <t>Scotiabank Perú</t>
        </is>
      </c>
      <c r="AV284" t="inlineStr">
        <is>
          <t>0004071419</t>
        </is>
      </c>
      <c r="AW284" t="inlineStr">
        <is>
          <t>TRANSFERENCIA BANCARIA</t>
        </is>
      </c>
      <c r="AY284" t="inlineStr">
        <is>
          <t>5521148</t>
        </is>
      </c>
      <c r="AZ284" t="inlineStr">
        <is>
          <t>No</t>
        </is>
      </c>
      <c r="BB284" t="n">
        <v>4</v>
      </c>
      <c r="BC284" t="inlineStr">
        <is>
          <t>CANCELADO</t>
        </is>
      </c>
      <c r="BN284" t="inlineStr">
        <is>
          <t>Si</t>
        </is>
      </c>
      <c r="BO284" s="117" t="n">
        <v>45898.34652777778</v>
      </c>
      <c r="BP284" t="inlineStr">
        <is>
          <t>Magaly Guevara Perez</t>
        </is>
      </c>
      <c r="BR284" t="n">
        <v>12</v>
      </c>
      <c r="BS284" t="inlineStr">
        <is>
          <t>24/05/2026 20:40</t>
        </is>
      </c>
      <c r="BT284" t="n">
        <v>0</v>
      </c>
      <c r="BX284" t="inlineStr">
        <is>
          <t>Cobranzas_2025.csv</t>
        </is>
      </c>
      <c r="BY284" t="n">
        <v>2025</v>
      </c>
      <c r="BZ284" t="inlineStr">
        <is>
          <t>01/01/2024</t>
        </is>
      </c>
      <c r="CA284" t="inlineStr">
        <is>
          <t>30/09/2031</t>
        </is>
      </c>
    </row>
    <row r="285">
      <c r="A285" t="inlineStr">
        <is>
          <t>RESIDENCIAL BEYOND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504</t>
        </is>
      </c>
      <c r="G285" s="39" t="n">
        <v>498000</v>
      </c>
      <c r="H285" s="39" t="n">
        <v>464400</v>
      </c>
      <c r="I285" t="inlineStr">
        <is>
          <t>Edificio</t>
        </is>
      </c>
      <c r="J285" t="inlineStr">
        <is>
          <t>A</t>
        </is>
      </c>
      <c r="K285" t="inlineStr">
        <is>
          <t>Estacionamiento</t>
        </is>
      </c>
      <c r="L285" t="inlineStr">
        <is>
          <t>E 07</t>
        </is>
      </c>
      <c r="M285" s="39" t="n">
        <v>45600</v>
      </c>
      <c r="N285" s="39" t="n">
        <v>45600</v>
      </c>
      <c r="S285" s="39" t="n"/>
      <c r="T285" s="39" t="n"/>
      <c r="Y285" s="39" t="n"/>
      <c r="Z285" s="39" t="n"/>
      <c r="AA285" t="inlineStr">
        <is>
          <t>Ronald José Claudio Ramírez</t>
        </is>
      </c>
      <c r="AB285" t="inlineStr">
        <is>
          <t>41129584</t>
        </is>
      </c>
      <c r="AC285" t="inlineStr">
        <is>
          <t>Av. Nicolas Allyon 7550 torre 2 dpto. 302</t>
        </is>
      </c>
      <c r="AD285" t="n">
        <v>0</v>
      </c>
      <c r="AE285" t="inlineStr">
        <is>
          <t>991470542</t>
        </is>
      </c>
      <c r="AF285" t="inlineStr">
        <is>
          <t>ronald.claudio@gmail.com</t>
        </is>
      </c>
      <c r="AG285" t="inlineStr">
        <is>
          <t>LIMA</t>
        </is>
      </c>
      <c r="AH285" t="inlineStr">
        <is>
          <t>ATE</t>
        </is>
      </c>
      <c r="AI285" s="116" t="n">
        <v>45999</v>
      </c>
      <c r="AJ285" s="116" t="n">
        <v>45999</v>
      </c>
      <c r="AK285" t="inlineStr">
        <is>
          <t>SEPARACION</t>
        </is>
      </c>
      <c r="AL285" t="n">
        <v>1</v>
      </c>
      <c r="AM285" t="n">
        <v>3000</v>
      </c>
      <c r="AN285" t="n">
        <v>0</v>
      </c>
      <c r="AO285" t="n">
        <v>0</v>
      </c>
      <c r="AP285" s="39" t="n">
        <v>3000</v>
      </c>
      <c r="AQ285" s="39" t="n">
        <v>3000</v>
      </c>
      <c r="AR285" s="39" t="n">
        <v>0</v>
      </c>
      <c r="AS285" t="n">
        <v>0</v>
      </c>
      <c r="AT285" t="inlineStr">
        <is>
          <t>Ahorro</t>
        </is>
      </c>
      <c r="AU285" t="inlineStr">
        <is>
          <t>Banco de Credito del Perú</t>
        </is>
      </c>
      <c r="AV285" t="inlineStr">
        <is>
          <t>194-7325779-0-65</t>
        </is>
      </c>
      <c r="AW285" t="inlineStr">
        <is>
          <t>TRANSFERENCIA BANCARIA</t>
        </is>
      </c>
      <c r="AY285" t="inlineStr">
        <is>
          <t>04546190</t>
        </is>
      </c>
      <c r="AZ285" t="inlineStr">
        <is>
          <t>No</t>
        </is>
      </c>
      <c r="BB285" t="n">
        <v>4</v>
      </c>
      <c r="BC285" t="inlineStr">
        <is>
          <t>CANCELADO</t>
        </is>
      </c>
      <c r="BN285" t="inlineStr">
        <is>
          <t>Si</t>
        </is>
      </c>
      <c r="BO285" s="117" t="n">
        <v>46071.40208333333</v>
      </c>
      <c r="BP285" t="inlineStr">
        <is>
          <t>Carla Michue M</t>
        </is>
      </c>
      <c r="BR285" t="n">
        <v>32</v>
      </c>
      <c r="BS285" t="inlineStr">
        <is>
          <t>01/05/2026 19:05</t>
        </is>
      </c>
      <c r="BT285" t="n">
        <v>0</v>
      </c>
      <c r="BX285" t="inlineStr">
        <is>
          <t>Cobranzas_2025.csv</t>
        </is>
      </c>
      <c r="BY285" t="n">
        <v>2025</v>
      </c>
      <c r="BZ285" t="inlineStr">
        <is>
          <t>01/01/2024</t>
        </is>
      </c>
      <c r="CA285" t="inlineStr">
        <is>
          <t>30/09/2031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705</t>
        </is>
      </c>
      <c r="G286" s="39" t="n">
        <v>496000</v>
      </c>
      <c r="H286" s="39" t="n">
        <v>496000</v>
      </c>
      <c r="M286" s="39" t="n"/>
      <c r="N286" s="39" t="n"/>
      <c r="S286" s="39" t="n"/>
      <c r="T286" s="39" t="n"/>
      <c r="Y286" s="39" t="n"/>
      <c r="Z286" s="39" t="n"/>
      <c r="AA286" t="inlineStr">
        <is>
          <t>Sthefany Carolina Rodriguez Huamán</t>
        </is>
      </c>
      <c r="AB286" t="inlineStr">
        <is>
          <t>70270427</t>
        </is>
      </c>
      <c r="AC286" t="inlineStr">
        <is>
          <t>-</t>
        </is>
      </c>
      <c r="AE286" t="inlineStr">
        <is>
          <t>989492681</t>
        </is>
      </c>
      <c r="AF286" t="inlineStr">
        <is>
          <t>sthefany.rodriguez2207@gmail.com</t>
        </is>
      </c>
      <c r="AG286" t="inlineStr">
        <is>
          <t>LIMA</t>
        </is>
      </c>
      <c r="AH286" t="inlineStr">
        <is>
          <t>CERCADO DE LIMA</t>
        </is>
      </c>
      <c r="AI286" s="116" t="n">
        <v>45721</v>
      </c>
      <c r="AJ286" s="116" t="n">
        <v>45721</v>
      </c>
      <c r="AK286" t="inlineStr">
        <is>
          <t>CUOTA INICIAL</t>
        </is>
      </c>
      <c r="AL286" t="n">
        <v>3</v>
      </c>
      <c r="AM286" t="n">
        <v>25000</v>
      </c>
      <c r="AN286" t="n">
        <v>0</v>
      </c>
      <c r="AO286" t="n">
        <v>0</v>
      </c>
      <c r="AP286" s="39" t="n">
        <v>25000</v>
      </c>
      <c r="AQ286" s="39" t="n">
        <v>25000</v>
      </c>
      <c r="AR286" s="39" t="n">
        <v>0</v>
      </c>
      <c r="AS286" t="n">
        <v>0</v>
      </c>
      <c r="AT286" t="inlineStr">
        <is>
          <t>Ahorro</t>
        </is>
      </c>
      <c r="AU286" t="inlineStr">
        <is>
          <t>Scotiabank Perú</t>
        </is>
      </c>
      <c r="AV286" t="inlineStr">
        <is>
          <t>000-2768484</t>
        </is>
      </c>
      <c r="AW286" t="inlineStr">
        <is>
          <t>DEPOSITO EN CUENTA</t>
        </is>
      </c>
      <c r="AX286" t="inlineStr">
        <is>
          <t>70270427</t>
        </is>
      </c>
      <c r="AY286" t="inlineStr">
        <is>
          <t>0500010135</t>
        </is>
      </c>
      <c r="AZ286" t="inlineStr">
        <is>
          <t>No</t>
        </is>
      </c>
      <c r="BA286" t="inlineStr">
        <is>
          <t>NO PRECISA</t>
        </is>
      </c>
      <c r="BB286" t="n">
        <v>1</v>
      </c>
      <c r="BC286" t="inlineStr">
        <is>
          <t>CANCELADO</t>
        </is>
      </c>
      <c r="BN286" t="inlineStr">
        <is>
          <t>Si</t>
        </is>
      </c>
      <c r="BO286" s="117" t="n">
        <v>45829.38958333333</v>
      </c>
      <c r="BP286" t="inlineStr">
        <is>
          <t>Carla Michue M</t>
        </is>
      </c>
      <c r="BR286" t="n">
        <v>2</v>
      </c>
      <c r="BS286" t="inlineStr">
        <is>
          <t>29/05/2026 12:20</t>
        </is>
      </c>
      <c r="BT286" t="n">
        <v>0</v>
      </c>
      <c r="BX286" t="inlineStr">
        <is>
          <t>Cobranzas_2025.csv</t>
        </is>
      </c>
      <c r="BY286" t="n">
        <v>2025</v>
      </c>
      <c r="BZ286" t="inlineStr">
        <is>
          <t>01/01/2024</t>
        </is>
      </c>
      <c r="CA286" t="inlineStr">
        <is>
          <t>30/09/2031</t>
        </is>
      </c>
    </row>
    <row r="287">
      <c r="A287" t="inlineStr">
        <is>
          <t>RESIDENCIAL PRADA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705</t>
        </is>
      </c>
      <c r="G287" s="39" t="n">
        <v>496000</v>
      </c>
      <c r="H287" s="39" t="n">
        <v>496000</v>
      </c>
      <c r="M287" s="39" t="n"/>
      <c r="N287" s="39" t="n"/>
      <c r="S287" s="39" t="n"/>
      <c r="T287" s="39" t="n"/>
      <c r="Y287" s="39" t="n"/>
      <c r="Z287" s="39" t="n"/>
      <c r="AA287" t="inlineStr">
        <is>
          <t>Sthefany Carolina Rodriguez Huamán</t>
        </is>
      </c>
      <c r="AB287" t="inlineStr">
        <is>
          <t>70270427</t>
        </is>
      </c>
      <c r="AC287" t="inlineStr">
        <is>
          <t>-</t>
        </is>
      </c>
      <c r="AE287" t="inlineStr">
        <is>
          <t>989492681</t>
        </is>
      </c>
      <c r="AF287" t="inlineStr">
        <is>
          <t>sthefany.rodriguez2207@gmail.com</t>
        </is>
      </c>
      <c r="AG287" t="inlineStr">
        <is>
          <t>LIMA</t>
        </is>
      </c>
      <c r="AH287" t="inlineStr">
        <is>
          <t>CERCADO DE LIMA</t>
        </is>
      </c>
      <c r="AI287" s="116" t="n">
        <v>45828</v>
      </c>
      <c r="AJ287" s="116" t="n">
        <v>45828</v>
      </c>
      <c r="AK287" t="inlineStr">
        <is>
          <t>CUOTA INICIAL</t>
        </is>
      </c>
      <c r="AL287" t="n">
        <v>4</v>
      </c>
      <c r="AM287" t="n">
        <v>7000</v>
      </c>
      <c r="AN287" t="n">
        <v>0</v>
      </c>
      <c r="AO287" t="n">
        <v>0</v>
      </c>
      <c r="AP287" s="39" t="n">
        <v>7000</v>
      </c>
      <c r="AQ287" s="39" t="n">
        <v>7000</v>
      </c>
      <c r="AR287" s="39" t="n">
        <v>0</v>
      </c>
      <c r="AS287" t="n">
        <v>0</v>
      </c>
      <c r="AT287" t="inlineStr">
        <is>
          <t>Ahorro</t>
        </is>
      </c>
      <c r="AU287" t="inlineStr">
        <is>
          <t>Scotiabank Perú</t>
        </is>
      </c>
      <c r="AV287" t="inlineStr">
        <is>
          <t>000-2768484</t>
        </is>
      </c>
      <c r="AW287" t="inlineStr">
        <is>
          <t>DEPOSITO EN CUENTA</t>
        </is>
      </c>
      <c r="AX287" t="inlineStr">
        <is>
          <t>70270427</t>
        </is>
      </c>
      <c r="AY287" t="inlineStr">
        <is>
          <t>0500010060</t>
        </is>
      </c>
      <c r="AZ287" t="inlineStr">
        <is>
          <t>No</t>
        </is>
      </c>
      <c r="BA287" t="inlineStr">
        <is>
          <t>NO PRECISA</t>
        </is>
      </c>
      <c r="BB287" t="n">
        <v>1</v>
      </c>
      <c r="BC287" t="inlineStr">
        <is>
          <t>CANCELADO</t>
        </is>
      </c>
      <c r="BN287" t="inlineStr">
        <is>
          <t>Si</t>
        </is>
      </c>
      <c r="BO287" s="117" t="n">
        <v>45829.38958333333</v>
      </c>
      <c r="BP287" t="inlineStr">
        <is>
          <t>Carla Michue M</t>
        </is>
      </c>
      <c r="BR287" t="n">
        <v>2</v>
      </c>
      <c r="BS287" t="inlineStr">
        <is>
          <t>29/05/2026 12:20</t>
        </is>
      </c>
      <c r="BT287" t="n">
        <v>0</v>
      </c>
      <c r="BX287" t="inlineStr">
        <is>
          <t>Cobranzas_2025.csv</t>
        </is>
      </c>
      <c r="BY287" t="n">
        <v>2025</v>
      </c>
      <c r="BZ287" t="inlineStr">
        <is>
          <t>01/01/2024</t>
        </is>
      </c>
      <c r="CA287" t="inlineStr">
        <is>
          <t>30/09/2031</t>
        </is>
      </c>
    </row>
    <row r="288">
      <c r="A288" t="inlineStr">
        <is>
          <t>RESIDENCIAL PRADA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705</t>
        </is>
      </c>
      <c r="G288" s="39" t="n">
        <v>496000</v>
      </c>
      <c r="H288" s="39" t="n">
        <v>496000</v>
      </c>
      <c r="M288" s="39" t="n"/>
      <c r="N288" s="39" t="n"/>
      <c r="S288" s="39" t="n"/>
      <c r="T288" s="39" t="n"/>
      <c r="Y288" s="39" t="n"/>
      <c r="Z288" s="39" t="n"/>
      <c r="AA288" t="inlineStr">
        <is>
          <t>Sthefany Carolina Rodriguez Huamán</t>
        </is>
      </c>
      <c r="AB288" t="inlineStr">
        <is>
          <t>70270427</t>
        </is>
      </c>
      <c r="AC288" t="inlineStr">
        <is>
          <t>-</t>
        </is>
      </c>
      <c r="AE288" t="inlineStr">
        <is>
          <t>989492681</t>
        </is>
      </c>
      <c r="AF288" t="inlineStr">
        <is>
          <t>sthefany.rodriguez2207@gmail.com</t>
        </is>
      </c>
      <c r="AG288" t="inlineStr">
        <is>
          <t>LIMA</t>
        </is>
      </c>
      <c r="AH288" t="inlineStr">
        <is>
          <t>CERCADO DE LIMA</t>
        </is>
      </c>
      <c r="AI288" s="116" t="n">
        <v>45829</v>
      </c>
      <c r="AJ288" s="116" t="n">
        <v>45829</v>
      </c>
      <c r="AK288" t="inlineStr">
        <is>
          <t>CUOTA INICIAL</t>
        </is>
      </c>
      <c r="AL288" t="n">
        <v>5</v>
      </c>
      <c r="AM288" t="n">
        <v>24800</v>
      </c>
      <c r="AN288" t="n">
        <v>0</v>
      </c>
      <c r="AO288" t="n">
        <v>0</v>
      </c>
      <c r="AP288" s="39" t="n">
        <v>24800</v>
      </c>
      <c r="AQ288" s="39" t="n">
        <v>24800</v>
      </c>
      <c r="AR288" s="39" t="n">
        <v>0</v>
      </c>
      <c r="AS288" t="n">
        <v>0</v>
      </c>
      <c r="AT288" t="inlineStr">
        <is>
          <t>Ahorro</t>
        </is>
      </c>
      <c r="AU288" t="inlineStr">
        <is>
          <t>Scotiabank Perú</t>
        </is>
      </c>
      <c r="AV288" t="inlineStr">
        <is>
          <t>000-2768484</t>
        </is>
      </c>
      <c r="AW288" t="inlineStr">
        <is>
          <t>TRANSFERENCIA BANCARIA</t>
        </is>
      </c>
      <c r="AX288" t="inlineStr">
        <is>
          <t>70270427</t>
        </is>
      </c>
      <c r="AY288" t="inlineStr">
        <is>
          <t>70270427</t>
        </is>
      </c>
      <c r="AZ288" t="inlineStr">
        <is>
          <t>No</t>
        </is>
      </c>
      <c r="BA288" t="inlineStr">
        <is>
          <t>NO PRECISA</t>
        </is>
      </c>
      <c r="BB288" t="n">
        <v>1</v>
      </c>
      <c r="BC288" t="inlineStr">
        <is>
          <t>CANCELADO</t>
        </is>
      </c>
      <c r="BN288" t="inlineStr">
        <is>
          <t>Si</t>
        </is>
      </c>
      <c r="BO288" s="117" t="n">
        <v>45829.38958333333</v>
      </c>
      <c r="BP288" t="inlineStr">
        <is>
          <t>Carla Michue M</t>
        </is>
      </c>
      <c r="BR288" t="n">
        <v>2</v>
      </c>
      <c r="BS288" t="inlineStr">
        <is>
          <t>29/05/2026 12:20</t>
        </is>
      </c>
      <c r="BT288" t="n">
        <v>0</v>
      </c>
      <c r="BX288" t="inlineStr">
        <is>
          <t>Cobranzas_2025.csv</t>
        </is>
      </c>
      <c r="BY288" t="n">
        <v>2025</v>
      </c>
      <c r="BZ288" t="inlineStr">
        <is>
          <t>01/01/2024</t>
        </is>
      </c>
      <c r="CA288" t="inlineStr">
        <is>
          <t>30/09/2031</t>
        </is>
      </c>
    </row>
    <row r="289">
      <c r="A289" t="inlineStr">
        <is>
          <t>RESIDENCIAL PRADA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705</t>
        </is>
      </c>
      <c r="G289" s="39" t="n">
        <v>496000</v>
      </c>
      <c r="H289" s="39" t="n">
        <v>496000</v>
      </c>
      <c r="M289" s="39" t="n"/>
      <c r="N289" s="39" t="n"/>
      <c r="S289" s="39" t="n"/>
      <c r="T289" s="39" t="n"/>
      <c r="Y289" s="39" t="n"/>
      <c r="Z289" s="39" t="n"/>
      <c r="AA289" t="inlineStr">
        <is>
          <t>Sthefany Carolina Rodriguez Huamán</t>
        </is>
      </c>
      <c r="AB289" t="inlineStr">
        <is>
          <t>70270427</t>
        </is>
      </c>
      <c r="AC289" t="inlineStr">
        <is>
          <t>-</t>
        </is>
      </c>
      <c r="AE289" t="inlineStr">
        <is>
          <t>989492681</t>
        </is>
      </c>
      <c r="AF289" t="inlineStr">
        <is>
          <t>sthefany.rodriguez2207@gmail.com</t>
        </is>
      </c>
      <c r="AG289" t="inlineStr">
        <is>
          <t>LIMA</t>
        </is>
      </c>
      <c r="AH289" t="inlineStr">
        <is>
          <t>CERCADO DE LIMA</t>
        </is>
      </c>
      <c r="AI289" s="116" t="n">
        <v>45869</v>
      </c>
      <c r="AJ289" s="116" t="n">
        <v>45854</v>
      </c>
      <c r="AK289" t="inlineStr">
        <is>
          <t>SALDO FINANCIAR</t>
        </is>
      </c>
      <c r="AL289" t="n">
        <v>6</v>
      </c>
      <c r="AM289" t="n">
        <v>436200</v>
      </c>
      <c r="AN289" t="n">
        <v>0</v>
      </c>
      <c r="AO289" t="n">
        <v>0</v>
      </c>
      <c r="AP289" s="39" t="n">
        <v>436200</v>
      </c>
      <c r="AQ289" s="39" t="n">
        <v>436200</v>
      </c>
      <c r="AR289" s="39" t="n">
        <v>0</v>
      </c>
      <c r="AS289" t="n">
        <v>0</v>
      </c>
      <c r="AT289" t="inlineStr">
        <is>
          <t>Ahorro</t>
        </is>
      </c>
      <c r="AU289" t="inlineStr">
        <is>
          <t>Scotiabank Perú</t>
        </is>
      </c>
      <c r="AV289" t="inlineStr">
        <is>
          <t>000-2768484</t>
        </is>
      </c>
      <c r="AW289" t="inlineStr">
        <is>
          <t>TRANSFERENCIA BANCARIA</t>
        </is>
      </c>
      <c r="AY289" t="inlineStr">
        <is>
          <t>0270800001</t>
        </is>
      </c>
      <c r="AZ289" t="inlineStr">
        <is>
          <t>No</t>
        </is>
      </c>
      <c r="BB289" t="n">
        <v>4</v>
      </c>
      <c r="BC289" t="inlineStr">
        <is>
          <t>CANCELADO</t>
        </is>
      </c>
      <c r="BN289" t="inlineStr">
        <is>
          <t>Si</t>
        </is>
      </c>
      <c r="BO289" s="117" t="n">
        <v>45829.38958333333</v>
      </c>
      <c r="BP289" t="inlineStr">
        <is>
          <t>Carla Michue M</t>
        </is>
      </c>
      <c r="BR289" t="n">
        <v>2</v>
      </c>
      <c r="BS289" t="inlineStr">
        <is>
          <t>14/07/2026 09:19</t>
        </is>
      </c>
      <c r="BT289" t="n">
        <v>0</v>
      </c>
      <c r="BX289" t="inlineStr">
        <is>
          <t>Cobranzas_2025.csv</t>
        </is>
      </c>
      <c r="BY289" t="n">
        <v>2025</v>
      </c>
      <c r="BZ289" t="inlineStr">
        <is>
          <t>01/01/2024</t>
        </is>
      </c>
      <c r="CA289" t="inlineStr">
        <is>
          <t>30/09/2031</t>
        </is>
      </c>
    </row>
    <row r="290">
      <c r="A290" t="inlineStr">
        <is>
          <t>RESIDENCIAL PRADA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805</t>
        </is>
      </c>
      <c r="G290" s="39" t="n">
        <v>470500</v>
      </c>
      <c r="H290" s="39" t="n">
        <v>470500</v>
      </c>
      <c r="M290" s="39" t="n"/>
      <c r="N290" s="39" t="n"/>
      <c r="S290" s="39" t="n"/>
      <c r="T290" s="39" t="n"/>
      <c r="Y290" s="39" t="n"/>
      <c r="Z290" s="39" t="n"/>
      <c r="AA290" t="inlineStr">
        <is>
          <t>Sussan Yassmine Rubin Domínguez</t>
        </is>
      </c>
      <c r="AB290" t="inlineStr">
        <is>
          <t>46963168</t>
        </is>
      </c>
      <c r="AC290" t="inlineStr">
        <is>
          <t xml:space="preserve">URB LOS PORTALES MZ E LT 21 </t>
        </is>
      </c>
      <c r="AD290" t="n">
        <v>0</v>
      </c>
      <c r="AE290" t="inlineStr">
        <is>
          <t>962099777</t>
        </is>
      </c>
      <c r="AF290" t="inlineStr">
        <is>
          <t>yassmine.rubin12@gmail.com</t>
        </is>
      </c>
      <c r="AG290" t="inlineStr">
        <is>
          <t>HUANUCO</t>
        </is>
      </c>
      <c r="AH290" t="inlineStr">
        <is>
          <t>AMARILIS</t>
        </is>
      </c>
      <c r="AI290" s="116" t="n">
        <v>45815</v>
      </c>
      <c r="AJ290" s="116" t="n">
        <v>45815</v>
      </c>
      <c r="AK290" t="inlineStr">
        <is>
          <t>SEPARACION</t>
        </is>
      </c>
      <c r="AL290" t="n">
        <v>1</v>
      </c>
      <c r="AM290" t="n">
        <v>3000</v>
      </c>
      <c r="AN290" t="n">
        <v>0</v>
      </c>
      <c r="AO290" t="n">
        <v>0</v>
      </c>
      <c r="AP290" s="39" t="n">
        <v>3000</v>
      </c>
      <c r="AQ290" s="39" t="n">
        <v>3000</v>
      </c>
      <c r="AR290" s="39" t="n">
        <v>0</v>
      </c>
      <c r="AS290" t="n">
        <v>0</v>
      </c>
      <c r="AT290" t="inlineStr">
        <is>
          <t>Ahorro</t>
        </is>
      </c>
      <c r="AU290" t="inlineStr">
        <is>
          <t>Scotiabank Perú</t>
        </is>
      </c>
      <c r="AV290" t="inlineStr">
        <is>
          <t>000-2768484</t>
        </is>
      </c>
      <c r="AW290" t="inlineStr">
        <is>
          <t>TRANSFERENCIA BANCARIA</t>
        </is>
      </c>
      <c r="AY290" t="inlineStr">
        <is>
          <t>000000025900000000260</t>
        </is>
      </c>
      <c r="AZ290" t="inlineStr">
        <is>
          <t>No</t>
        </is>
      </c>
      <c r="BB290" t="n">
        <v>4</v>
      </c>
      <c r="BC290" t="inlineStr">
        <is>
          <t>CANCELADO</t>
        </is>
      </c>
      <c r="BN290" t="inlineStr">
        <is>
          <t>Si</t>
        </is>
      </c>
      <c r="BO290" s="117" t="n">
        <v>45834.63611111111</v>
      </c>
      <c r="BP290" t="inlineStr">
        <is>
          <t>Magaly Guevara Perez</t>
        </is>
      </c>
      <c r="BR290" t="n">
        <v>50</v>
      </c>
      <c r="BS290" t="inlineStr">
        <is>
          <t>07/07/2026 15:13</t>
        </is>
      </c>
      <c r="BT290" t="n">
        <v>0</v>
      </c>
      <c r="BX290" t="inlineStr">
        <is>
          <t>Cobranzas_2025.csv</t>
        </is>
      </c>
      <c r="BY290" t="n">
        <v>2025</v>
      </c>
      <c r="BZ290" t="inlineStr">
        <is>
          <t>01/01/2024</t>
        </is>
      </c>
      <c r="CA290" t="inlineStr">
        <is>
          <t>30/09/2031</t>
        </is>
      </c>
    </row>
    <row r="291">
      <c r="A291" t="inlineStr">
        <is>
          <t>RESIDENCIAL PRADA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805</t>
        </is>
      </c>
      <c r="G291" s="39" t="n">
        <v>470500</v>
      </c>
      <c r="H291" s="39" t="n">
        <v>470500</v>
      </c>
      <c r="M291" s="39" t="n"/>
      <c r="N291" s="39" t="n"/>
      <c r="S291" s="39" t="n"/>
      <c r="T291" s="39" t="n"/>
      <c r="Y291" s="39" t="n"/>
      <c r="Z291" s="39" t="n"/>
      <c r="AA291" t="inlineStr">
        <is>
          <t>Sussan Yassmine Rubin Domínguez</t>
        </is>
      </c>
      <c r="AB291" t="inlineStr">
        <is>
          <t>46963168</t>
        </is>
      </c>
      <c r="AC291" t="inlineStr">
        <is>
          <t xml:space="preserve">URB LOS PORTALES MZ E LT 21 </t>
        </is>
      </c>
      <c r="AD291" t="n">
        <v>0</v>
      </c>
      <c r="AE291" t="inlineStr">
        <is>
          <t>962099777</t>
        </is>
      </c>
      <c r="AF291" t="inlineStr">
        <is>
          <t>yassmine.rubin12@gmail.com</t>
        </is>
      </c>
      <c r="AG291" t="inlineStr">
        <is>
          <t>HUANUCO</t>
        </is>
      </c>
      <c r="AH291" t="inlineStr">
        <is>
          <t>AMARILIS</t>
        </is>
      </c>
      <c r="AI291" s="116" t="n">
        <v>45834</v>
      </c>
      <c r="AJ291" s="116" t="n">
        <v>45834</v>
      </c>
      <c r="AK291" t="inlineStr">
        <is>
          <t>CUOTA INICIAL</t>
        </is>
      </c>
      <c r="AL291" t="n">
        <v>1</v>
      </c>
      <c r="AM291" t="n">
        <v>39000</v>
      </c>
      <c r="AN291" t="n">
        <v>0</v>
      </c>
      <c r="AO291" t="n">
        <v>0</v>
      </c>
      <c r="AP291" s="39" t="n">
        <v>39000</v>
      </c>
      <c r="AQ291" s="39" t="n">
        <v>39000</v>
      </c>
      <c r="AR291" s="39" t="n">
        <v>0</v>
      </c>
      <c r="AS291" t="n">
        <v>0</v>
      </c>
      <c r="AT291" t="inlineStr">
        <is>
          <t>Ahorro</t>
        </is>
      </c>
      <c r="AU291" t="inlineStr">
        <is>
          <t>Scotiabank Perú</t>
        </is>
      </c>
      <c r="AV291" t="inlineStr">
        <is>
          <t>000-2768484</t>
        </is>
      </c>
      <c r="AW291" t="inlineStr">
        <is>
          <t>TRANSFERENCIA BANCARIA</t>
        </is>
      </c>
      <c r="AY291" t="inlineStr">
        <is>
          <t>006211911</t>
        </is>
      </c>
      <c r="AZ291" t="inlineStr">
        <is>
          <t>No</t>
        </is>
      </c>
      <c r="BB291" t="n">
        <v>4</v>
      </c>
      <c r="BC291" t="inlineStr">
        <is>
          <t>CANCELADO</t>
        </is>
      </c>
      <c r="BN291" t="inlineStr">
        <is>
          <t>Si</t>
        </is>
      </c>
      <c r="BO291" s="117" t="n">
        <v>45834.63611111111</v>
      </c>
      <c r="BP291" t="inlineStr">
        <is>
          <t>Magaly Guevara Perez</t>
        </is>
      </c>
      <c r="BR291" t="n">
        <v>50</v>
      </c>
      <c r="BS291" t="inlineStr">
        <is>
          <t>07/07/2026 15:15</t>
        </is>
      </c>
      <c r="BT291" t="n">
        <v>0</v>
      </c>
      <c r="BX291" t="inlineStr">
        <is>
          <t>Cobranzas_2025.csv</t>
        </is>
      </c>
      <c r="BY291" t="n">
        <v>2025</v>
      </c>
      <c r="BZ291" t="inlineStr">
        <is>
          <t>01/01/2024</t>
        </is>
      </c>
      <c r="CA291" t="inlineStr">
        <is>
          <t>30/09/2031</t>
        </is>
      </c>
    </row>
    <row r="292">
      <c r="A292" t="inlineStr">
        <is>
          <t>RESIDENCIAL PRADA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805</t>
        </is>
      </c>
      <c r="G292" s="39" t="n">
        <v>470500</v>
      </c>
      <c r="H292" s="39" t="n">
        <v>470500</v>
      </c>
      <c r="M292" s="39" t="n"/>
      <c r="N292" s="39" t="n"/>
      <c r="S292" s="39" t="n"/>
      <c r="T292" s="39" t="n"/>
      <c r="Y292" s="39" t="n"/>
      <c r="Z292" s="39" t="n"/>
      <c r="AA292" t="inlineStr">
        <is>
          <t>Sussan Yassmine Rubin Domínguez</t>
        </is>
      </c>
      <c r="AB292" t="inlineStr">
        <is>
          <t>46963168</t>
        </is>
      </c>
      <c r="AC292" t="inlineStr">
        <is>
          <t xml:space="preserve">URB LOS PORTALES MZ E LT 21 </t>
        </is>
      </c>
      <c r="AD292" t="n">
        <v>0</v>
      </c>
      <c r="AE292" t="inlineStr">
        <is>
          <t>962099777</t>
        </is>
      </c>
      <c r="AF292" t="inlineStr">
        <is>
          <t>yassmine.rubin12@gmail.com</t>
        </is>
      </c>
      <c r="AG292" t="inlineStr">
        <is>
          <t>HUANUCO</t>
        </is>
      </c>
      <c r="AH292" t="inlineStr">
        <is>
          <t>AMARILIS</t>
        </is>
      </c>
      <c r="AI292" s="116" t="n">
        <v>45930</v>
      </c>
      <c r="AJ292" s="116" t="n"/>
      <c r="AK292" t="inlineStr">
        <is>
          <t>AHORRO CASA</t>
        </is>
      </c>
      <c r="AL292" t="n">
        <v>2</v>
      </c>
      <c r="AM292" t="n">
        <v>58000</v>
      </c>
      <c r="AN292" t="n">
        <v>0</v>
      </c>
      <c r="AO292" t="n">
        <v>0</v>
      </c>
      <c r="AP292" s="39" t="n">
        <v>58000</v>
      </c>
      <c r="AQ292" s="39" t="n">
        <v>0</v>
      </c>
      <c r="AR292" s="39" t="n">
        <v>58000</v>
      </c>
      <c r="AT292" t="inlineStr">
        <is>
          <t>Ahorro</t>
        </is>
      </c>
      <c r="AZ292" t="inlineStr">
        <is>
          <t>No</t>
        </is>
      </c>
      <c r="BC292" t="inlineStr">
        <is>
          <t>VENCIDO</t>
        </is>
      </c>
      <c r="BN292" t="inlineStr">
        <is>
          <t>No</t>
        </is>
      </c>
      <c r="BO292" s="117" t="n">
        <v>45834.63611111111</v>
      </c>
      <c r="BP292" t="inlineStr">
        <is>
          <t>Magaly Guevara Perez</t>
        </is>
      </c>
      <c r="BR292" t="n">
        <v>50</v>
      </c>
      <c r="BT292" t="n">
        <v>0</v>
      </c>
      <c r="BX292" t="inlineStr">
        <is>
          <t>Cobranzas_2025.csv</t>
        </is>
      </c>
      <c r="BY292" t="n">
        <v>2025</v>
      </c>
      <c r="BZ292" t="inlineStr">
        <is>
          <t>01/01/2024</t>
        </is>
      </c>
      <c r="CA292" t="inlineStr">
        <is>
          <t>30/09/2031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1001</t>
        </is>
      </c>
      <c r="G293" s="39" t="n">
        <v>531100</v>
      </c>
      <c r="H293" s="39" t="n">
        <v>518500</v>
      </c>
      <c r="M293" s="39" t="n"/>
      <c r="N293" s="39" t="n"/>
      <c r="S293" s="39" t="n"/>
      <c r="T293" s="39" t="n"/>
      <c r="Y293" s="39" t="n"/>
      <c r="Z293" s="39" t="n"/>
      <c r="AA293" t="inlineStr">
        <is>
          <t>Tania Jackeline Valladares Timana</t>
        </is>
      </c>
      <c r="AB293" t="inlineStr">
        <is>
          <t>43216992</t>
        </is>
      </c>
      <c r="AC293" t="inlineStr">
        <is>
          <t>Jr. Maria Antonieta 130 Dpto. 301</t>
        </is>
      </c>
      <c r="AD293" t="n">
        <v>0</v>
      </c>
      <c r="AE293" t="inlineStr">
        <is>
          <t>990000227</t>
        </is>
      </c>
      <c r="AF293" t="inlineStr">
        <is>
          <t>tania.valladarest@gmail.com</t>
        </is>
      </c>
      <c r="AG293" t="inlineStr">
        <is>
          <t>LIMA</t>
        </is>
      </c>
      <c r="AH293" t="inlineStr">
        <is>
          <t>SAN MARTIN DE PORRES</t>
        </is>
      </c>
      <c r="AI293" s="116" t="n">
        <v>45855</v>
      </c>
      <c r="AJ293" s="116" t="n">
        <v>45855</v>
      </c>
      <c r="AK293" t="inlineStr">
        <is>
          <t>SEPARACION</t>
        </is>
      </c>
      <c r="AL293" t="n">
        <v>1</v>
      </c>
      <c r="AM293" t="n">
        <v>3000</v>
      </c>
      <c r="AN293" t="n">
        <v>0</v>
      </c>
      <c r="AO293" t="n">
        <v>0</v>
      </c>
      <c r="AP293" s="39" t="n">
        <v>3000</v>
      </c>
      <c r="AQ293" s="39" t="n">
        <v>3000</v>
      </c>
      <c r="AR293" s="39" t="n">
        <v>0</v>
      </c>
      <c r="AS293" t="n">
        <v>0</v>
      </c>
      <c r="AT293" t="inlineStr">
        <is>
          <t>Ahorro</t>
        </is>
      </c>
      <c r="AU293" t="inlineStr">
        <is>
          <t>Banco de Credito del Perú</t>
        </is>
      </c>
      <c r="AV293" t="inlineStr">
        <is>
          <t>194-7325779-0-65</t>
        </is>
      </c>
      <c r="AW293" t="inlineStr">
        <is>
          <t>TRANSFERENCIA BANCARIA</t>
        </is>
      </c>
      <c r="AY293" t="inlineStr">
        <is>
          <t>02514905</t>
        </is>
      </c>
      <c r="AZ293" t="inlineStr">
        <is>
          <t>No</t>
        </is>
      </c>
      <c r="BB293" t="n">
        <v>4</v>
      </c>
      <c r="BC293" t="inlineStr">
        <is>
          <t>CANCELADO</t>
        </is>
      </c>
      <c r="BN293" t="inlineStr">
        <is>
          <t>Si</t>
        </is>
      </c>
      <c r="BO293" s="117" t="n">
        <v>45870.43402777778</v>
      </c>
      <c r="BP293" t="inlineStr">
        <is>
          <t>Carla Michue M</t>
        </is>
      </c>
      <c r="BR293" t="n">
        <v>16</v>
      </c>
      <c r="BS293" t="inlineStr">
        <is>
          <t>22/05/2026 12:10</t>
        </is>
      </c>
      <c r="BT293" t="n">
        <v>0</v>
      </c>
      <c r="BX293" t="inlineStr">
        <is>
          <t>Cobranzas_2025.csv</t>
        </is>
      </c>
      <c r="BY293" t="n">
        <v>2025</v>
      </c>
      <c r="BZ293" t="inlineStr">
        <is>
          <t>01/01/2024</t>
        </is>
      </c>
      <c r="CA293" t="inlineStr">
        <is>
          <t>30/09/2031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1001</t>
        </is>
      </c>
      <c r="G294" s="39" t="n">
        <v>531100</v>
      </c>
      <c r="H294" s="39" t="n">
        <v>518500</v>
      </c>
      <c r="M294" s="39" t="n"/>
      <c r="N294" s="39" t="n"/>
      <c r="S294" s="39" t="n"/>
      <c r="T294" s="39" t="n"/>
      <c r="Y294" s="39" t="n"/>
      <c r="Z294" s="39" t="n"/>
      <c r="AA294" t="inlineStr">
        <is>
          <t>Tania Jackeline Valladares Timana</t>
        </is>
      </c>
      <c r="AB294" t="inlineStr">
        <is>
          <t>43216992</t>
        </is>
      </c>
      <c r="AC294" t="inlineStr">
        <is>
          <t>Jr. Maria Antonieta 130 Dpto. 301</t>
        </is>
      </c>
      <c r="AD294" t="n">
        <v>0</v>
      </c>
      <c r="AE294" t="inlineStr">
        <is>
          <t>990000227</t>
        </is>
      </c>
      <c r="AF294" t="inlineStr">
        <is>
          <t>tania.valladarest@gmail.com</t>
        </is>
      </c>
      <c r="AG294" t="inlineStr">
        <is>
          <t>LIMA</t>
        </is>
      </c>
      <c r="AH294" t="inlineStr">
        <is>
          <t>SAN MARTIN DE PORRES</t>
        </is>
      </c>
      <c r="AI294" s="116" t="n">
        <v>45870</v>
      </c>
      <c r="AJ294" s="116" t="n">
        <v>45870</v>
      </c>
      <c r="AK294" t="inlineStr">
        <is>
          <t>CUOTA INICIAL</t>
        </is>
      </c>
      <c r="AL294" t="n">
        <v>1</v>
      </c>
      <c r="AM294" t="n">
        <v>22925</v>
      </c>
      <c r="AN294" t="n">
        <v>0</v>
      </c>
      <c r="AO294" t="n">
        <v>0</v>
      </c>
      <c r="AP294" s="39" t="n">
        <v>22925</v>
      </c>
      <c r="AQ294" s="39" t="n">
        <v>22925</v>
      </c>
      <c r="AR294" s="39" t="n">
        <v>0</v>
      </c>
      <c r="AS294" t="n">
        <v>0</v>
      </c>
      <c r="AT294" t="inlineStr">
        <is>
          <t>Ahorro</t>
        </is>
      </c>
      <c r="AU294" t="inlineStr">
        <is>
          <t>Banco de Credito del Perú</t>
        </is>
      </c>
      <c r="AV294" t="inlineStr">
        <is>
          <t>194-7325779-0-65</t>
        </is>
      </c>
      <c r="AW294" t="inlineStr">
        <is>
          <t>TRANSFERENCIA BANCARIA</t>
        </is>
      </c>
      <c r="AY294" t="inlineStr">
        <is>
          <t>03446386</t>
        </is>
      </c>
      <c r="AZ294" t="inlineStr">
        <is>
          <t>No</t>
        </is>
      </c>
      <c r="BB294" t="n">
        <v>4</v>
      </c>
      <c r="BC294" t="inlineStr">
        <is>
          <t>CANCELADO</t>
        </is>
      </c>
      <c r="BN294" t="inlineStr">
        <is>
          <t>Si</t>
        </is>
      </c>
      <c r="BO294" s="117" t="n">
        <v>45870.43402777778</v>
      </c>
      <c r="BP294" t="inlineStr">
        <is>
          <t>Carla Michue M</t>
        </is>
      </c>
      <c r="BR294" t="n">
        <v>16</v>
      </c>
      <c r="BS294" t="inlineStr">
        <is>
          <t>17/08/2026 14:36</t>
        </is>
      </c>
      <c r="BT294" t="n">
        <v>0</v>
      </c>
      <c r="BX294" t="inlineStr">
        <is>
          <t>Cobranzas_2025.csv</t>
        </is>
      </c>
      <c r="BY294" t="n">
        <v>2025</v>
      </c>
      <c r="BZ294" t="inlineStr">
        <is>
          <t>01/01/2024</t>
        </is>
      </c>
      <c r="CA294" t="inlineStr">
        <is>
          <t>30/09/2031</t>
        </is>
      </c>
    </row>
    <row r="295">
      <c r="A295" t="inlineStr">
        <is>
          <t>RESIDENCIAL BEYOND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1001</t>
        </is>
      </c>
      <c r="G295" s="39" t="n">
        <v>531100</v>
      </c>
      <c r="H295" s="39" t="n">
        <v>518500</v>
      </c>
      <c r="M295" s="39" t="n"/>
      <c r="N295" s="39" t="n"/>
      <c r="S295" s="39" t="n"/>
      <c r="T295" s="39" t="n"/>
      <c r="Y295" s="39" t="n"/>
      <c r="Z295" s="39" t="n"/>
      <c r="AA295" t="inlineStr">
        <is>
          <t>Tania Jackeline Valladares Timana</t>
        </is>
      </c>
      <c r="AB295" t="inlineStr">
        <is>
          <t>43216992</t>
        </is>
      </c>
      <c r="AC295" t="inlineStr">
        <is>
          <t>Jr. Maria Antonieta 130 Dpto. 301</t>
        </is>
      </c>
      <c r="AD295" t="n">
        <v>0</v>
      </c>
      <c r="AE295" t="inlineStr">
        <is>
          <t>990000227</t>
        </is>
      </c>
      <c r="AF295" t="inlineStr">
        <is>
          <t>tania.valladarest@gmail.com</t>
        </is>
      </c>
      <c r="AG295" t="inlineStr">
        <is>
          <t>LIMA</t>
        </is>
      </c>
      <c r="AH295" t="inlineStr">
        <is>
          <t>SAN MARTIN DE PORRES</t>
        </is>
      </c>
      <c r="AI295" s="116" t="n">
        <v>45991</v>
      </c>
      <c r="AJ295" s="116" t="n">
        <v>46108</v>
      </c>
      <c r="AK295" t="inlineStr">
        <is>
          <t>AHORRO CASA</t>
        </is>
      </c>
      <c r="AL295" t="n">
        <v>2</v>
      </c>
      <c r="AM295" t="n">
        <v>13800</v>
      </c>
      <c r="AN295" t="n">
        <v>0</v>
      </c>
      <c r="AO295" t="n">
        <v>0</v>
      </c>
      <c r="AP295" s="39" t="n">
        <v>13800</v>
      </c>
      <c r="AQ295" s="39" t="n">
        <v>13800</v>
      </c>
      <c r="AR295" s="39" t="n">
        <v>0</v>
      </c>
      <c r="AS295" t="n">
        <v>0</v>
      </c>
      <c r="AT295" t="inlineStr">
        <is>
          <t>Ahorro</t>
        </is>
      </c>
      <c r="AU295" t="inlineStr">
        <is>
          <t>Banco de Credito del Perú</t>
        </is>
      </c>
      <c r="AV295" t="inlineStr">
        <is>
          <t>194-7325779-0-65</t>
        </is>
      </c>
      <c r="AW295" t="inlineStr">
        <is>
          <t>TRANSFERENCIA BANCARIA</t>
        </is>
      </c>
      <c r="AY295" t="inlineStr">
        <is>
          <t>04482206</t>
        </is>
      </c>
      <c r="AZ295" t="inlineStr">
        <is>
          <t>No</t>
        </is>
      </c>
      <c r="BB295" t="n">
        <v>4</v>
      </c>
      <c r="BC295" t="inlineStr">
        <is>
          <t>CANCELADO</t>
        </is>
      </c>
      <c r="BN295" t="inlineStr">
        <is>
          <t>Si</t>
        </is>
      </c>
      <c r="BO295" s="117" t="n">
        <v>45870.43402777778</v>
      </c>
      <c r="BP295" t="inlineStr">
        <is>
          <t>Carla Michue M</t>
        </is>
      </c>
      <c r="BR295" t="n">
        <v>16</v>
      </c>
      <c r="BS295" t="inlineStr">
        <is>
          <t>17/08/2026 14:37</t>
        </is>
      </c>
      <c r="BT295" t="n">
        <v>0</v>
      </c>
      <c r="BX295" t="inlineStr">
        <is>
          <t>Cobranzas_2025.csv</t>
        </is>
      </c>
      <c r="BY295" t="n">
        <v>2025</v>
      </c>
      <c r="BZ295" t="inlineStr">
        <is>
          <t>01/01/2024</t>
        </is>
      </c>
      <c r="CA295" t="inlineStr">
        <is>
          <t>30/09/2031</t>
        </is>
      </c>
    </row>
    <row r="296">
      <c r="A296" t="inlineStr">
        <is>
          <t>RESIDENCIAL BEYOND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Estacionamiento</t>
        </is>
      </c>
      <c r="F296" t="inlineStr">
        <is>
          <t>E 15 - D 13</t>
        </is>
      </c>
      <c r="G296" s="39" t="n">
        <v>54000</v>
      </c>
      <c r="H296" s="39" t="n">
        <v>54000</v>
      </c>
      <c r="M296" s="39" t="n"/>
      <c r="N296" s="39" t="n"/>
      <c r="S296" s="39" t="n"/>
      <c r="T296" s="39" t="n"/>
      <c r="Y296" s="39" t="n"/>
      <c r="Z296" s="39" t="n"/>
      <c r="AA296" t="inlineStr">
        <is>
          <t>Tania Jackeline Valladares Timana</t>
        </is>
      </c>
      <c r="AB296" t="inlineStr">
        <is>
          <t>43216992</t>
        </is>
      </c>
      <c r="AC296" t="inlineStr">
        <is>
          <t>Jr. Maria Antonieta 130 Dpto. 301</t>
        </is>
      </c>
      <c r="AD296" t="n">
        <v>0</v>
      </c>
      <c r="AE296" t="inlineStr">
        <is>
          <t>990000227</t>
        </is>
      </c>
      <c r="AF296" t="inlineStr">
        <is>
          <t>tania.valladarest@gmail.com</t>
        </is>
      </c>
      <c r="AG296" t="inlineStr">
        <is>
          <t>LIMA</t>
        </is>
      </c>
      <c r="AH296" t="inlineStr">
        <is>
          <t>SAN MARTIN DE PORRES</t>
        </is>
      </c>
      <c r="AI296" s="116" t="n">
        <v>45933</v>
      </c>
      <c r="AJ296" s="116" t="n">
        <v>45933</v>
      </c>
      <c r="AK296" t="inlineStr">
        <is>
          <t>SALDO FINANCIAR</t>
        </is>
      </c>
      <c r="AL296" t="n">
        <v>1</v>
      </c>
      <c r="AM296" t="n">
        <v>1500</v>
      </c>
      <c r="AN296" t="n">
        <v>0</v>
      </c>
      <c r="AO296" t="n">
        <v>0</v>
      </c>
      <c r="AP296" s="39" t="n">
        <v>1500</v>
      </c>
      <c r="AQ296" s="39" t="n">
        <v>1500</v>
      </c>
      <c r="AR296" s="39" t="n">
        <v>0</v>
      </c>
      <c r="AS296" t="n">
        <v>0</v>
      </c>
      <c r="AT296" t="inlineStr">
        <is>
          <t>Crédito Directo</t>
        </is>
      </c>
      <c r="AU296" t="inlineStr">
        <is>
          <t>Banco de Credito del Perú</t>
        </is>
      </c>
      <c r="AV296" t="inlineStr">
        <is>
          <t>194-7325779-0-65</t>
        </is>
      </c>
      <c r="AW296" t="inlineStr">
        <is>
          <t>TRANSFERENCIA BANCARIA</t>
        </is>
      </c>
      <c r="AY296" t="inlineStr">
        <is>
          <t>00424295</t>
        </is>
      </c>
      <c r="AZ296" t="inlineStr">
        <is>
          <t>No</t>
        </is>
      </c>
      <c r="BB296" t="n">
        <v>4</v>
      </c>
      <c r="BC296" t="inlineStr">
        <is>
          <t>CANCELADO</t>
        </is>
      </c>
      <c r="BN296" t="inlineStr">
        <is>
          <t>Si</t>
        </is>
      </c>
      <c r="BO296" s="117" t="n">
        <v>45912.69236111111</v>
      </c>
      <c r="BP296" t="inlineStr">
        <is>
          <t>Magaly Guevara Perez</t>
        </is>
      </c>
      <c r="BR296" t="n">
        <v>58</v>
      </c>
      <c r="BS296" t="inlineStr">
        <is>
          <t>29/08/2026 16:43</t>
        </is>
      </c>
      <c r="BT296" t="n">
        <v>0</v>
      </c>
      <c r="BX296" t="inlineStr">
        <is>
          <t>Cobranzas_2025.csv</t>
        </is>
      </c>
      <c r="BY296" t="n">
        <v>2025</v>
      </c>
      <c r="BZ296" t="inlineStr">
        <is>
          <t>01/01/2024</t>
        </is>
      </c>
      <c r="CA296" t="inlineStr">
        <is>
          <t>30/09/2031</t>
        </is>
      </c>
    </row>
    <row r="297">
      <c r="A297" t="inlineStr">
        <is>
          <t>RESIDENCIAL BEYOND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Estacionamiento</t>
        </is>
      </c>
      <c r="F297" t="inlineStr">
        <is>
          <t>E 15 - D 13</t>
        </is>
      </c>
      <c r="G297" s="39" t="n">
        <v>54000</v>
      </c>
      <c r="H297" s="39" t="n">
        <v>54000</v>
      </c>
      <c r="M297" s="39" t="n"/>
      <c r="N297" s="39" t="n"/>
      <c r="S297" s="39" t="n"/>
      <c r="T297" s="39" t="n"/>
      <c r="Y297" s="39" t="n"/>
      <c r="Z297" s="39" t="n"/>
      <c r="AA297" t="inlineStr">
        <is>
          <t>Tania Jackeline Valladares Timana</t>
        </is>
      </c>
      <c r="AB297" t="inlineStr">
        <is>
          <t>43216992</t>
        </is>
      </c>
      <c r="AC297" t="inlineStr">
        <is>
          <t>Jr. Maria Antonieta 130 Dpto. 301</t>
        </is>
      </c>
      <c r="AD297" t="n">
        <v>0</v>
      </c>
      <c r="AE297" t="inlineStr">
        <is>
          <t>990000227</t>
        </is>
      </c>
      <c r="AF297" t="inlineStr">
        <is>
          <t>tania.valladarest@gmail.com</t>
        </is>
      </c>
      <c r="AG297" t="inlineStr">
        <is>
          <t>LIMA</t>
        </is>
      </c>
      <c r="AH297" t="inlineStr">
        <is>
          <t>SAN MARTIN DE PORRES</t>
        </is>
      </c>
      <c r="AI297" s="116" t="n">
        <v>45994</v>
      </c>
      <c r="AJ297" s="116" t="n"/>
      <c r="AK297" t="inlineStr">
        <is>
          <t>SALDO FINANCIAR</t>
        </is>
      </c>
      <c r="AL297" t="n">
        <v>3</v>
      </c>
      <c r="AM297" t="n">
        <v>800</v>
      </c>
      <c r="AN297" t="n">
        <v>0</v>
      </c>
      <c r="AO297" t="n">
        <v>0</v>
      </c>
      <c r="AP297" s="39" t="n">
        <v>800</v>
      </c>
      <c r="AQ297" s="39" t="n">
        <v>0</v>
      </c>
      <c r="AR297" s="39" t="n">
        <v>800</v>
      </c>
      <c r="AT297" t="inlineStr">
        <is>
          <t>Crédito Directo</t>
        </is>
      </c>
      <c r="AZ297" t="inlineStr">
        <is>
          <t>No</t>
        </is>
      </c>
      <c r="BC297" t="inlineStr">
        <is>
          <t>VENCIDO</t>
        </is>
      </c>
      <c r="BN297" t="inlineStr">
        <is>
          <t>No</t>
        </is>
      </c>
      <c r="BO297" s="117" t="n">
        <v>45912.69236111111</v>
      </c>
      <c r="BP297" t="inlineStr">
        <is>
          <t>Magaly Guevara Perez</t>
        </is>
      </c>
      <c r="BR297" t="n">
        <v>58</v>
      </c>
      <c r="BT297" t="n">
        <v>0</v>
      </c>
      <c r="BX297" t="inlineStr">
        <is>
          <t>Cobranzas_2025.csv</t>
        </is>
      </c>
      <c r="BY297" t="n">
        <v>2025</v>
      </c>
      <c r="BZ297" t="inlineStr">
        <is>
          <t>01/01/2024</t>
        </is>
      </c>
      <c r="CA297" t="inlineStr">
        <is>
          <t>30/09/2031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205</t>
        </is>
      </c>
      <c r="G298" s="39" t="n">
        <v>587000</v>
      </c>
      <c r="H298" s="39" t="n">
        <v>577000</v>
      </c>
      <c r="M298" s="39" t="n"/>
      <c r="N298" s="39" t="n"/>
      <c r="S298" s="39" t="n"/>
      <c r="T298" s="39" t="n"/>
      <c r="Y298" s="39" t="n"/>
      <c r="Z298" s="39" t="n"/>
      <c r="AA298" t="inlineStr">
        <is>
          <t>Tania Milagros Cotrina Vara</t>
        </is>
      </c>
      <c r="AB298" t="inlineStr">
        <is>
          <t>10140034</t>
        </is>
      </c>
      <c r="AC298" t="inlineStr">
        <is>
          <t>Av. Arnaldo Marquez 1526 Dpto. 26</t>
        </is>
      </c>
      <c r="AD298" t="n">
        <v>0</v>
      </c>
      <c r="AE298" t="inlineStr">
        <is>
          <t>941461159</t>
        </is>
      </c>
      <c r="AF298" t="inlineStr">
        <is>
          <t>tamicov@hotmail.com</t>
        </is>
      </c>
      <c r="AG298" t="inlineStr">
        <is>
          <t>LIMA</t>
        </is>
      </c>
      <c r="AH298" t="inlineStr">
        <is>
          <t>JESUS MARIA</t>
        </is>
      </c>
      <c r="AI298" s="116" t="n">
        <v>45918</v>
      </c>
      <c r="AJ298" s="116" t="n">
        <v>45918</v>
      </c>
      <c r="AK298" t="inlineStr">
        <is>
          <t>CUOTA INICIAL</t>
        </is>
      </c>
      <c r="AL298" t="n">
        <v>1</v>
      </c>
      <c r="AM298" t="n">
        <v>89400</v>
      </c>
      <c r="AN298" t="n">
        <v>0</v>
      </c>
      <c r="AO298" t="n">
        <v>0</v>
      </c>
      <c r="AP298" s="39" t="n">
        <v>89400</v>
      </c>
      <c r="AQ298" s="39" t="n">
        <v>89400</v>
      </c>
      <c r="AR298" s="39" t="n">
        <v>0</v>
      </c>
      <c r="AS298" t="n">
        <v>0</v>
      </c>
      <c r="AT298" t="inlineStr">
        <is>
          <t>Ahorro</t>
        </is>
      </c>
      <c r="AU298" t="inlineStr">
        <is>
          <t>Banco de Credito del Perú</t>
        </is>
      </c>
      <c r="AV298" t="inlineStr">
        <is>
          <t>194-7325779-0-65</t>
        </is>
      </c>
      <c r="AW298" t="inlineStr">
        <is>
          <t>TRANSFERENCIA BANCARIA</t>
        </is>
      </c>
      <c r="AX298" t="inlineStr">
        <is>
          <t>10140034</t>
        </is>
      </c>
      <c r="AY298" t="inlineStr">
        <is>
          <t>0999590</t>
        </is>
      </c>
      <c r="AZ298" t="inlineStr">
        <is>
          <t>Si</t>
        </is>
      </c>
      <c r="BA298" t="inlineStr">
        <is>
          <t>NO PRECISA</t>
        </is>
      </c>
      <c r="BB298" t="n">
        <v>4</v>
      </c>
      <c r="BC298" t="inlineStr">
        <is>
          <t>CANCELADO</t>
        </is>
      </c>
      <c r="BN298" t="inlineStr">
        <is>
          <t>Si</t>
        </is>
      </c>
      <c r="BO298" s="117" t="n">
        <v>45918.41597222222</v>
      </c>
      <c r="BP298" t="inlineStr">
        <is>
          <t>Magaly Guevara Perez</t>
        </is>
      </c>
      <c r="BR298" t="n">
        <v>4</v>
      </c>
      <c r="BS298" t="inlineStr">
        <is>
          <t>04/06/2026 10:43</t>
        </is>
      </c>
      <c r="BT298" t="n">
        <v>0</v>
      </c>
      <c r="BX298" t="inlineStr">
        <is>
          <t>Cobranzas_2025.csv</t>
        </is>
      </c>
      <c r="BY298" t="n">
        <v>2025</v>
      </c>
      <c r="BZ298" t="inlineStr">
        <is>
          <t>01/01/2024</t>
        </is>
      </c>
      <c r="CA298" t="inlineStr">
        <is>
          <t>30/09/2031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702</t>
        </is>
      </c>
      <c r="G299" s="39" t="n">
        <v>430000</v>
      </c>
      <c r="H299" s="39" t="n">
        <v>382000</v>
      </c>
      <c r="M299" s="39" t="n"/>
      <c r="N299" s="39" t="n"/>
      <c r="S299" s="39" t="n"/>
      <c r="T299" s="39" t="n"/>
      <c r="Y299" s="39" t="n"/>
      <c r="Z299" s="39" t="n"/>
      <c r="AA299" t="inlineStr">
        <is>
          <t>Víctor Daniel Chuquihuaccha Hernandez</t>
        </is>
      </c>
      <c r="AB299" t="inlineStr">
        <is>
          <t>73229140</t>
        </is>
      </c>
      <c r="AC299" t="inlineStr">
        <is>
          <t>Calle Los Licopodios 468</t>
        </is>
      </c>
      <c r="AD299" t="n">
        <v>999533600</v>
      </c>
      <c r="AE299" t="inlineStr">
        <is>
          <t>999533600</t>
        </is>
      </c>
      <c r="AF299" t="inlineStr">
        <is>
          <t>victor.d.ch.h@gmail.com</t>
        </is>
      </c>
      <c r="AG299" t="inlineStr">
        <is>
          <t>LIMA</t>
        </is>
      </c>
      <c r="AH299" t="inlineStr">
        <is>
          <t>SAN JUAN DE LURIGANCHO</t>
        </is>
      </c>
      <c r="AI299" s="116" t="n">
        <v>46011</v>
      </c>
      <c r="AJ299" s="116" t="n">
        <v>46011</v>
      </c>
      <c r="AK299" t="inlineStr">
        <is>
          <t>SEPARACION</t>
        </is>
      </c>
      <c r="AL299" t="n">
        <v>1</v>
      </c>
      <c r="AM299" t="n">
        <v>3000</v>
      </c>
      <c r="AN299" t="n">
        <v>0</v>
      </c>
      <c r="AO299" t="n">
        <v>0</v>
      </c>
      <c r="AP299" s="39" t="n">
        <v>3000</v>
      </c>
      <c r="AQ299" s="39" t="n">
        <v>3000</v>
      </c>
      <c r="AR299" s="39" t="n">
        <v>0</v>
      </c>
      <c r="AS299" t="n">
        <v>0</v>
      </c>
      <c r="AT299" t="inlineStr">
        <is>
          <t>Crédito Hipotecario</t>
        </is>
      </c>
      <c r="AU299" t="inlineStr">
        <is>
          <t>Banco de Credito del Perú</t>
        </is>
      </c>
      <c r="AV299" t="inlineStr">
        <is>
          <t>194-7325779-0-65</t>
        </is>
      </c>
      <c r="AW299" t="inlineStr">
        <is>
          <t>TRANSFERENCIA BANCARIA</t>
        </is>
      </c>
      <c r="AY299" t="inlineStr">
        <is>
          <t>04023883</t>
        </is>
      </c>
      <c r="AZ299" t="inlineStr">
        <is>
          <t>Si</t>
        </is>
      </c>
      <c r="BB299" t="n">
        <v>4</v>
      </c>
      <c r="BC299" t="inlineStr">
        <is>
          <t>CANCELADO</t>
        </is>
      </c>
      <c r="BN299" t="inlineStr">
        <is>
          <t>Si</t>
        </is>
      </c>
      <c r="BO299" s="117" t="n">
        <v>46031.40972222222</v>
      </c>
      <c r="BP299" t="inlineStr">
        <is>
          <t>Magaly Guevara Perez</t>
        </is>
      </c>
      <c r="BR299" t="n">
        <v>20</v>
      </c>
      <c r="BS299" t="inlineStr">
        <is>
          <t>12/05/2026 13:44</t>
        </is>
      </c>
      <c r="BT299" t="n">
        <v>0</v>
      </c>
      <c r="BX299" t="inlineStr">
        <is>
          <t>Cobranzas_2025.csv</t>
        </is>
      </c>
      <c r="BY299" t="n">
        <v>2025</v>
      </c>
      <c r="BZ299" t="inlineStr">
        <is>
          <t>01/01/2024</t>
        </is>
      </c>
      <c r="CA299" t="inlineStr">
        <is>
          <t>30/09/2031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301</t>
        </is>
      </c>
      <c r="G300" s="39" t="n">
        <v>531100</v>
      </c>
      <c r="H300" s="39" t="n">
        <v>475000</v>
      </c>
      <c r="M300" s="39" t="n"/>
      <c r="N300" s="39" t="n"/>
      <c r="S300" s="39" t="n"/>
      <c r="T300" s="39" t="n"/>
      <c r="Y300" s="39" t="n"/>
      <c r="Z300" s="39" t="n"/>
      <c r="AA300" t="inlineStr">
        <is>
          <t>Victor Hugo Quispe Cupe</t>
        </is>
      </c>
      <c r="AB300" t="inlineStr">
        <is>
          <t>09848317</t>
        </is>
      </c>
      <c r="AC300" t="inlineStr">
        <is>
          <t>Jr. Jose Arnaldo Marquez 1152 urb. Fundo Oyaque</t>
        </is>
      </c>
      <c r="AD300" t="n">
        <v>0</v>
      </c>
      <c r="AE300" t="inlineStr">
        <is>
          <t>998980237</t>
        </is>
      </c>
      <c r="AF300" t="inlineStr">
        <is>
          <t>vitolosc58@gmail.com</t>
        </is>
      </c>
      <c r="AG300" t="inlineStr">
        <is>
          <t>LIMA</t>
        </is>
      </c>
      <c r="AH300" t="inlineStr">
        <is>
          <t>JESUS MARIA</t>
        </is>
      </c>
      <c r="AI300" s="116" t="n">
        <v>45902</v>
      </c>
      <c r="AJ300" s="116" t="n">
        <v>45902</v>
      </c>
      <c r="AK300" t="inlineStr">
        <is>
          <t>SEPARACION</t>
        </is>
      </c>
      <c r="AL300" t="n">
        <v>1</v>
      </c>
      <c r="AM300" t="n">
        <v>3000</v>
      </c>
      <c r="AN300" t="n">
        <v>0</v>
      </c>
      <c r="AO300" t="n">
        <v>0</v>
      </c>
      <c r="AP300" s="39" t="n">
        <v>3000</v>
      </c>
      <c r="AQ300" s="39" t="n">
        <v>3000</v>
      </c>
      <c r="AR300" s="39" t="n">
        <v>0</v>
      </c>
      <c r="AS300" t="n">
        <v>0</v>
      </c>
      <c r="AT300" t="inlineStr">
        <is>
          <t>Crédito Directo</t>
        </is>
      </c>
      <c r="AU300" t="inlineStr">
        <is>
          <t>Banco de Credito del Perú</t>
        </is>
      </c>
      <c r="AV300" t="inlineStr">
        <is>
          <t>194-7325779-0-65</t>
        </is>
      </c>
      <c r="AW300" t="inlineStr">
        <is>
          <t>TRANSFERENCIA BANCARIA</t>
        </is>
      </c>
      <c r="AY300" t="inlineStr">
        <is>
          <t>02146739</t>
        </is>
      </c>
      <c r="AZ300" t="inlineStr">
        <is>
          <t>No</t>
        </is>
      </c>
      <c r="BB300" t="n">
        <v>4</v>
      </c>
      <c r="BC300" t="inlineStr">
        <is>
          <t>CANCELADO</t>
        </is>
      </c>
      <c r="BN300" t="inlineStr">
        <is>
          <t>Si</t>
        </is>
      </c>
      <c r="BO300" s="117" t="n">
        <v>46142.61944444444</v>
      </c>
      <c r="BP300" t="inlineStr">
        <is>
          <t>Magaly Guevara Perez</t>
        </is>
      </c>
      <c r="BR300" t="n">
        <v>50</v>
      </c>
      <c r="BS300" t="inlineStr">
        <is>
          <t>29/08/2026 17:23</t>
        </is>
      </c>
      <c r="BT300" t="n">
        <v>0</v>
      </c>
      <c r="BX300" t="inlineStr">
        <is>
          <t>Cobranzas_2025.csv</t>
        </is>
      </c>
      <c r="BY300" t="n">
        <v>2025</v>
      </c>
      <c r="BZ300" t="inlineStr">
        <is>
          <t>01/01/2024</t>
        </is>
      </c>
      <c r="CA300" t="inlineStr">
        <is>
          <t>30/09/2031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Estacionamiento</t>
        </is>
      </c>
      <c r="F301" t="inlineStr">
        <is>
          <t>E 04 - D 02</t>
        </is>
      </c>
      <c r="G301" s="39" t="n">
        <v>52500</v>
      </c>
      <c r="H301" s="39" t="n">
        <v>52500</v>
      </c>
      <c r="M301" s="39" t="n"/>
      <c r="N301" s="39" t="n"/>
      <c r="S301" s="39" t="n"/>
      <c r="T301" s="39" t="n"/>
      <c r="Y301" s="39" t="n"/>
      <c r="Z301" s="39" t="n"/>
      <c r="AA301" t="inlineStr">
        <is>
          <t>Victor Hugo Quispe Cupe</t>
        </is>
      </c>
      <c r="AB301" t="inlineStr">
        <is>
          <t>09848317</t>
        </is>
      </c>
      <c r="AC301" t="inlineStr">
        <is>
          <t>Jr. Jose Arnaldo Marquez 1152 urb. Fundo Oyaque</t>
        </is>
      </c>
      <c r="AD301" t="n">
        <v>0</v>
      </c>
      <c r="AE301" t="inlineStr">
        <is>
          <t>998980237</t>
        </is>
      </c>
      <c r="AF301" t="inlineStr">
        <is>
          <t>vitolosc58@gmail.com</t>
        </is>
      </c>
      <c r="AG301" t="inlineStr">
        <is>
          <t>LIMA</t>
        </is>
      </c>
      <c r="AH301" t="inlineStr">
        <is>
          <t>JESUS MARIA</t>
        </is>
      </c>
      <c r="AI301" s="116" t="n">
        <v>45906</v>
      </c>
      <c r="AJ301" s="116" t="n">
        <v>45906</v>
      </c>
      <c r="AK301" t="inlineStr">
        <is>
          <t>SEPARACION</t>
        </is>
      </c>
      <c r="AL301" t="n">
        <v>1</v>
      </c>
      <c r="AM301" t="n">
        <v>3000</v>
      </c>
      <c r="AN301" t="n">
        <v>0</v>
      </c>
      <c r="AO301" t="n">
        <v>0</v>
      </c>
      <c r="AP301" s="39" t="n">
        <v>3000</v>
      </c>
      <c r="AQ301" s="39" t="n">
        <v>3000</v>
      </c>
      <c r="AR301" s="39" t="n">
        <v>0</v>
      </c>
      <c r="AS301" t="n">
        <v>0</v>
      </c>
      <c r="AT301" t="inlineStr">
        <is>
          <t>Crédito Directo</t>
        </is>
      </c>
      <c r="AU301" t="inlineStr">
        <is>
          <t>Banco de Credito del Perú</t>
        </is>
      </c>
      <c r="AV301" t="inlineStr">
        <is>
          <t>002-19400732577906596</t>
        </is>
      </c>
      <c r="AW301" t="inlineStr">
        <is>
          <t>TRANSFERENCIA BANCARIA</t>
        </is>
      </c>
      <c r="AY301" t="inlineStr">
        <is>
          <t>01694756</t>
        </is>
      </c>
      <c r="AZ301" t="inlineStr">
        <is>
          <t>No</t>
        </is>
      </c>
      <c r="BB301" t="n">
        <v>4</v>
      </c>
      <c r="BC301" t="inlineStr">
        <is>
          <t>CANCELADO</t>
        </is>
      </c>
      <c r="BN301" t="inlineStr">
        <is>
          <t>Si</t>
        </is>
      </c>
      <c r="BO301" s="117" t="n">
        <v>45906.88125</v>
      </c>
      <c r="BP301" t="inlineStr">
        <is>
          <t>Magaly Guevara Perez</t>
        </is>
      </c>
      <c r="BR301" t="n">
        <v>56</v>
      </c>
      <c r="BS301" t="inlineStr">
        <is>
          <t>26/08/2026 21:09</t>
        </is>
      </c>
      <c r="BT301" t="n">
        <v>0</v>
      </c>
      <c r="BX301" t="inlineStr">
        <is>
          <t>Cobranzas_2025.csv</t>
        </is>
      </c>
      <c r="BY301" t="n">
        <v>2025</v>
      </c>
      <c r="BZ301" t="inlineStr">
        <is>
          <t>01/01/2024</t>
        </is>
      </c>
      <c r="CA301" t="inlineStr">
        <is>
          <t>30/09/2031</t>
        </is>
      </c>
    </row>
    <row r="302">
      <c r="A302" t="inlineStr">
        <is>
          <t>RESIDENCIAL PRADA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704</t>
        </is>
      </c>
      <c r="G302" s="39" t="n">
        <v>417700</v>
      </c>
      <c r="H302" s="39" t="n">
        <v>417700</v>
      </c>
      <c r="M302" s="39" t="n"/>
      <c r="N302" s="39" t="n"/>
      <c r="S302" s="39" t="n"/>
      <c r="T302" s="39" t="n"/>
      <c r="Y302" s="39" t="n"/>
      <c r="Z302" s="39" t="n"/>
      <c r="AA302" t="inlineStr">
        <is>
          <t>wendy carolina junes Gonzáles Junes Gonzáles</t>
        </is>
      </c>
      <c r="AB302" t="inlineStr">
        <is>
          <t>45871126</t>
        </is>
      </c>
      <c r="AC302" t="inlineStr">
        <is>
          <t>Jr.Huiracocha 1430 Dpto 407</t>
        </is>
      </c>
      <c r="AD302" t="n">
        <v>951990414</v>
      </c>
      <c r="AE302" t="inlineStr">
        <is>
          <t>951990410</t>
        </is>
      </c>
      <c r="AF302" t="inlineStr">
        <is>
          <t>jg_wendy-14@hotmail.com</t>
        </is>
      </c>
      <c r="AG302" t="inlineStr">
        <is>
          <t>LIMA</t>
        </is>
      </c>
      <c r="AH302" t="inlineStr">
        <is>
          <t>JESUS MARIA</t>
        </is>
      </c>
      <c r="AI302" s="116" t="n">
        <v>45861</v>
      </c>
      <c r="AJ302" s="116" t="n">
        <v>45861</v>
      </c>
      <c r="AK302" t="inlineStr">
        <is>
          <t>SEPARACION</t>
        </is>
      </c>
      <c r="AL302" t="n">
        <v>1</v>
      </c>
      <c r="AM302" t="n">
        <v>3000</v>
      </c>
      <c r="AN302" t="n">
        <v>0</v>
      </c>
      <c r="AO302" t="n">
        <v>0</v>
      </c>
      <c r="AP302" s="39" t="n">
        <v>3000</v>
      </c>
      <c r="AQ302" s="39" t="n">
        <v>3000</v>
      </c>
      <c r="AR302" s="39" t="n">
        <v>0</v>
      </c>
      <c r="AS302" t="n">
        <v>0</v>
      </c>
      <c r="AT302" t="inlineStr">
        <is>
          <t>Crédito Hipotecario</t>
        </is>
      </c>
      <c r="AU302" t="inlineStr">
        <is>
          <t>Scotiabank Perú</t>
        </is>
      </c>
      <c r="AV302" t="inlineStr">
        <is>
          <t>000-2768484</t>
        </is>
      </c>
      <c r="AW302" t="inlineStr">
        <is>
          <t>TRANSFERENCIA BANCARIA</t>
        </is>
      </c>
      <c r="AX302" t="inlineStr">
        <is>
          <t>45871126</t>
        </is>
      </c>
      <c r="AY302" t="inlineStr">
        <is>
          <t>00992597</t>
        </is>
      </c>
      <c r="AZ302" t="inlineStr">
        <is>
          <t>No</t>
        </is>
      </c>
      <c r="BA302" t="inlineStr">
        <is>
          <t>NO PRECISA</t>
        </is>
      </c>
      <c r="BB302" t="n">
        <v>1</v>
      </c>
      <c r="BC302" t="inlineStr">
        <is>
          <t>CANCELADO</t>
        </is>
      </c>
      <c r="BN302" t="inlineStr">
        <is>
          <t>Si</t>
        </is>
      </c>
      <c r="BO302" s="117" t="n">
        <v>45887.70138888889</v>
      </c>
      <c r="BP302" t="inlineStr">
        <is>
          <t>Carla Michue M</t>
        </is>
      </c>
      <c r="BR302" t="n">
        <v>15</v>
      </c>
      <c r="BS302" t="inlineStr">
        <is>
          <t>29/05/2026 12:21</t>
        </is>
      </c>
      <c r="BT302" t="n">
        <v>0</v>
      </c>
      <c r="BX302" t="inlineStr">
        <is>
          <t>Cobranzas_2025.csv</t>
        </is>
      </c>
      <c r="BY302" t="n">
        <v>2025</v>
      </c>
      <c r="BZ302" t="inlineStr">
        <is>
          <t>01/01/2024</t>
        </is>
      </c>
      <c r="CA302" t="inlineStr">
        <is>
          <t>30/09/2031</t>
        </is>
      </c>
    </row>
    <row r="303">
      <c r="A303" t="inlineStr">
        <is>
          <t>RESIDENCIAL PRADA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704</t>
        </is>
      </c>
      <c r="G303" s="39" t="n">
        <v>417700</v>
      </c>
      <c r="H303" s="39" t="n">
        <v>417700</v>
      </c>
      <c r="M303" s="39" t="n"/>
      <c r="N303" s="39" t="n"/>
      <c r="S303" s="39" t="n"/>
      <c r="T303" s="39" t="n"/>
      <c r="Y303" s="39" t="n"/>
      <c r="Z303" s="39" t="n"/>
      <c r="AA303" t="inlineStr">
        <is>
          <t>wendy carolina junes Gonzáles Junes Gonzáles</t>
        </is>
      </c>
      <c r="AB303" t="inlineStr">
        <is>
          <t>45871126</t>
        </is>
      </c>
      <c r="AC303" t="inlineStr">
        <is>
          <t>Jr.Huiracocha 1430 Dpto 407</t>
        </is>
      </c>
      <c r="AD303" t="n">
        <v>951990414</v>
      </c>
      <c r="AE303" t="inlineStr">
        <is>
          <t>951990410</t>
        </is>
      </c>
      <c r="AF303" t="inlineStr">
        <is>
          <t>jg_wendy-14@hotmail.com</t>
        </is>
      </c>
      <c r="AG303" t="inlineStr">
        <is>
          <t>LIMA</t>
        </is>
      </c>
      <c r="AH303" t="inlineStr">
        <is>
          <t>JESUS MARIA</t>
        </is>
      </c>
      <c r="AI303" s="116" t="n">
        <v>45887</v>
      </c>
      <c r="AJ303" s="116" t="n">
        <v>45887</v>
      </c>
      <c r="AK303" t="inlineStr">
        <is>
          <t>CUOTA INICIAL</t>
        </is>
      </c>
      <c r="AL303" t="n">
        <v>1</v>
      </c>
      <c r="AM303" t="n">
        <v>47000</v>
      </c>
      <c r="AN303" t="n">
        <v>0</v>
      </c>
      <c r="AO303" t="n">
        <v>0</v>
      </c>
      <c r="AP303" s="39" t="n">
        <v>47000</v>
      </c>
      <c r="AQ303" s="39" t="n">
        <v>47000</v>
      </c>
      <c r="AR303" s="39" t="n">
        <v>0</v>
      </c>
      <c r="AS303" t="n">
        <v>0</v>
      </c>
      <c r="AT303" t="inlineStr">
        <is>
          <t>Crédito Hipotecario</t>
        </is>
      </c>
      <c r="AU303" t="inlineStr">
        <is>
          <t>Scotiabank Perú</t>
        </is>
      </c>
      <c r="AV303" t="inlineStr">
        <is>
          <t>000-2768484</t>
        </is>
      </c>
      <c r="AW303" t="inlineStr">
        <is>
          <t>TRANSFERENCIA BANCARIA</t>
        </is>
      </c>
      <c r="AY303" t="inlineStr">
        <is>
          <t>007626769</t>
        </is>
      </c>
      <c r="AZ303" t="inlineStr">
        <is>
          <t>No</t>
        </is>
      </c>
      <c r="BB303" t="n">
        <v>4</v>
      </c>
      <c r="BC303" t="inlineStr">
        <is>
          <t>CANCELADO</t>
        </is>
      </c>
      <c r="BN303" t="inlineStr">
        <is>
          <t>Si</t>
        </is>
      </c>
      <c r="BO303" s="117" t="n">
        <v>45887.70138888889</v>
      </c>
      <c r="BP303" t="inlineStr">
        <is>
          <t>Carla Michue M</t>
        </is>
      </c>
      <c r="BR303" t="n">
        <v>15</v>
      </c>
      <c r="BS303" t="inlineStr">
        <is>
          <t>07/07/2026 12:06</t>
        </is>
      </c>
      <c r="BT303" t="n">
        <v>0</v>
      </c>
      <c r="BX303" t="inlineStr">
        <is>
          <t>Cobranzas_2025.csv</t>
        </is>
      </c>
      <c r="BY303" t="n">
        <v>2025</v>
      </c>
      <c r="BZ303" t="inlineStr">
        <is>
          <t>01/01/2024</t>
        </is>
      </c>
      <c r="CA303" t="inlineStr">
        <is>
          <t>30/09/2031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Departamento</t>
        </is>
      </c>
      <c r="F304" t="inlineStr">
        <is>
          <t>704</t>
        </is>
      </c>
      <c r="G304" s="39" t="n">
        <v>417700</v>
      </c>
      <c r="H304" s="39" t="n">
        <v>417700</v>
      </c>
      <c r="M304" s="39" t="n"/>
      <c r="N304" s="39" t="n"/>
      <c r="S304" s="39" t="n"/>
      <c r="T304" s="39" t="n"/>
      <c r="Y304" s="39" t="n"/>
      <c r="Z304" s="39" t="n"/>
      <c r="AA304" t="inlineStr">
        <is>
          <t>wendy carolina junes Gonzáles Junes Gonzáles</t>
        </is>
      </c>
      <c r="AB304" t="inlineStr">
        <is>
          <t>45871126</t>
        </is>
      </c>
      <c r="AC304" t="inlineStr">
        <is>
          <t>Jr.Huiracocha 1430 Dpto 407</t>
        </is>
      </c>
      <c r="AD304" t="n">
        <v>951990414</v>
      </c>
      <c r="AE304" t="inlineStr">
        <is>
          <t>951990410</t>
        </is>
      </c>
      <c r="AF304" t="inlineStr">
        <is>
          <t>jg_wendy-14@hotmail.com</t>
        </is>
      </c>
      <c r="AG304" t="inlineStr">
        <is>
          <t>LIMA</t>
        </is>
      </c>
      <c r="AH304" t="inlineStr">
        <is>
          <t>JESUS MARIA</t>
        </is>
      </c>
      <c r="AI304" s="116" t="n">
        <v>45930</v>
      </c>
      <c r="AJ304" s="116" t="n">
        <v>45929</v>
      </c>
      <c r="AK304" t="inlineStr">
        <is>
          <t>SALDO FINANCIAR</t>
        </is>
      </c>
      <c r="AL304" t="n">
        <v>1</v>
      </c>
      <c r="AM304" t="n">
        <v>367700</v>
      </c>
      <c r="AN304" t="n">
        <v>0</v>
      </c>
      <c r="AO304" t="n">
        <v>0</v>
      </c>
      <c r="AP304" s="39" t="n">
        <v>367700</v>
      </c>
      <c r="AQ304" s="39" t="n">
        <v>367700</v>
      </c>
      <c r="AR304" s="39" t="n">
        <v>0</v>
      </c>
      <c r="AS304" t="n">
        <v>0</v>
      </c>
      <c r="AT304" t="inlineStr">
        <is>
          <t>Crédito Hipotecario</t>
        </is>
      </c>
      <c r="AU304" t="inlineStr">
        <is>
          <t>Scotiabank Perú</t>
        </is>
      </c>
      <c r="AV304" t="inlineStr">
        <is>
          <t>000-2768484</t>
        </is>
      </c>
      <c r="AW304" t="inlineStr">
        <is>
          <t>TRANSFERENCIA BANCARIA</t>
        </is>
      </c>
      <c r="AY304" t="inlineStr">
        <is>
          <t>02708000001</t>
        </is>
      </c>
      <c r="AZ304" t="inlineStr">
        <is>
          <t>No</t>
        </is>
      </c>
      <c r="BB304" t="n">
        <v>4</v>
      </c>
      <c r="BC304" t="inlineStr">
        <is>
          <t>CANCELADO</t>
        </is>
      </c>
      <c r="BN304" t="inlineStr">
        <is>
          <t>Si</t>
        </is>
      </c>
      <c r="BO304" s="117" t="n">
        <v>45887.70138888889</v>
      </c>
      <c r="BP304" t="inlineStr">
        <is>
          <t>Carla Michue M</t>
        </is>
      </c>
      <c r="BR304" t="n">
        <v>15</v>
      </c>
      <c r="BS304" t="inlineStr">
        <is>
          <t>07/07/2026 12:07</t>
        </is>
      </c>
      <c r="BT304" t="n">
        <v>0</v>
      </c>
      <c r="BX304" t="inlineStr">
        <is>
          <t>Cobranzas_2025.csv</t>
        </is>
      </c>
      <c r="BY304" t="n">
        <v>2025</v>
      </c>
      <c r="BZ304" t="inlineStr">
        <is>
          <t>01/01/2024</t>
        </is>
      </c>
      <c r="CA304" t="inlineStr">
        <is>
          <t>30/09/2031</t>
        </is>
      </c>
    </row>
    <row r="305">
      <c r="A305" t="inlineStr">
        <is>
          <t>RESIDENCIAL BEYOND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1705</t>
        </is>
      </c>
      <c r="G305" s="39" t="n">
        <v>482100</v>
      </c>
      <c r="H305" s="39" t="n">
        <v>482100</v>
      </c>
      <c r="I305" t="inlineStr">
        <is>
          <t>Edificio</t>
        </is>
      </c>
      <c r="J305" t="inlineStr">
        <is>
          <t>A</t>
        </is>
      </c>
      <c r="K305" t="inlineStr">
        <is>
          <t>Estacionamiento</t>
        </is>
      </c>
      <c r="L305" t="inlineStr">
        <is>
          <t>E 13 - D 11</t>
        </is>
      </c>
      <c r="M305" s="39" t="n">
        <v>54000</v>
      </c>
      <c r="N305" s="39" t="n">
        <v>54000</v>
      </c>
      <c r="S305" s="39" t="n"/>
      <c r="T305" s="39" t="n"/>
      <c r="Y305" s="39" t="n"/>
      <c r="Z305" s="39" t="n"/>
      <c r="AA305" t="inlineStr">
        <is>
          <t>Alejandro David Dianderas Leyzaquia</t>
        </is>
      </c>
      <c r="AB305" t="inlineStr">
        <is>
          <t>71802853</t>
        </is>
      </c>
      <c r="AC305" t="inlineStr">
        <is>
          <t>Av. Revolucion 530 - Urb. Collique Etapa 1</t>
        </is>
      </c>
      <c r="AD305" t="n">
        <v>0</v>
      </c>
      <c r="AE305" t="inlineStr">
        <is>
          <t>926428673</t>
        </is>
      </c>
      <c r="AF305" t="inlineStr">
        <is>
          <t>926428673@gmail.com</t>
        </is>
      </c>
      <c r="AG305" t="inlineStr">
        <is>
          <t>LIMA</t>
        </is>
      </c>
      <c r="AH305" t="inlineStr">
        <is>
          <t>COMAS</t>
        </is>
      </c>
      <c r="AI305" s="116" t="n">
        <v>46169</v>
      </c>
      <c r="AJ305" s="116" t="n">
        <v>46169</v>
      </c>
      <c r="AK305" t="inlineStr">
        <is>
          <t>SEPARACION</t>
        </is>
      </c>
      <c r="AL305" t="n">
        <v>1</v>
      </c>
      <c r="AM305" t="n">
        <v>3000</v>
      </c>
      <c r="AN305" t="n">
        <v>0</v>
      </c>
      <c r="AO305" t="n">
        <v>0</v>
      </c>
      <c r="AP305" s="39" t="n">
        <v>3000</v>
      </c>
      <c r="AQ305" s="39" t="n">
        <v>3000</v>
      </c>
      <c r="AR305" s="39" t="n">
        <v>0</v>
      </c>
      <c r="AS305" t="n">
        <v>0</v>
      </c>
      <c r="AT305" t="inlineStr">
        <is>
          <t>Ahorro</t>
        </is>
      </c>
      <c r="AU305" t="inlineStr">
        <is>
          <t>Banco de Credito del Perú</t>
        </is>
      </c>
      <c r="AV305" t="inlineStr">
        <is>
          <t>194-7325779-0-65</t>
        </is>
      </c>
      <c r="AW305" t="inlineStr">
        <is>
          <t>TRANSFERENCIA BANCARIA</t>
        </is>
      </c>
      <c r="AY305" t="inlineStr">
        <is>
          <t>03334230</t>
        </is>
      </c>
      <c r="AZ305" t="inlineStr">
        <is>
          <t>No</t>
        </is>
      </c>
      <c r="BB305" t="n">
        <v>4</v>
      </c>
      <c r="BC305" t="inlineStr">
        <is>
          <t>CANCELADO</t>
        </is>
      </c>
      <c r="BN305" t="inlineStr">
        <is>
          <t>Si</t>
        </is>
      </c>
      <c r="BO305" s="117" t="n">
        <v>46172.7375</v>
      </c>
      <c r="BP305" t="inlineStr">
        <is>
          <t>Magaly Guevara Perez</t>
        </is>
      </c>
      <c r="BR305" t="n">
        <v>41</v>
      </c>
      <c r="BS305" t="inlineStr">
        <is>
          <t>09/06/2026 17:38</t>
        </is>
      </c>
      <c r="BT305" t="n">
        <v>0</v>
      </c>
      <c r="BX305" t="inlineStr">
        <is>
          <t>Cobranzas_2026.csv</t>
        </is>
      </c>
      <c r="BY305" t="n">
        <v>2026</v>
      </c>
      <c r="BZ305" t="inlineStr">
        <is>
          <t>01/01/2024</t>
        </is>
      </c>
      <c r="CA305" t="inlineStr">
        <is>
          <t>30/09/2031</t>
        </is>
      </c>
    </row>
    <row r="306">
      <c r="A306" t="inlineStr">
        <is>
          <t>RESIDENCIAL BEYOND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1705</t>
        </is>
      </c>
      <c r="G306" s="39" t="n">
        <v>482100</v>
      </c>
      <c r="H306" s="39" t="n">
        <v>482100</v>
      </c>
      <c r="I306" t="inlineStr">
        <is>
          <t>Edificio</t>
        </is>
      </c>
      <c r="J306" t="inlineStr">
        <is>
          <t>A</t>
        </is>
      </c>
      <c r="K306" t="inlineStr">
        <is>
          <t>Estacionamiento</t>
        </is>
      </c>
      <c r="L306" t="inlineStr">
        <is>
          <t>E 13 - D 11</t>
        </is>
      </c>
      <c r="M306" s="39" t="n">
        <v>54000</v>
      </c>
      <c r="N306" s="39" t="n">
        <v>54000</v>
      </c>
      <c r="S306" s="39" t="n"/>
      <c r="T306" s="39" t="n"/>
      <c r="Y306" s="39" t="n"/>
      <c r="Z306" s="39" t="n"/>
      <c r="AA306" t="inlineStr">
        <is>
          <t>Alejandro David Dianderas Leyzaquia</t>
        </is>
      </c>
      <c r="AB306" t="inlineStr">
        <is>
          <t>71802853</t>
        </is>
      </c>
      <c r="AC306" t="inlineStr">
        <is>
          <t>Av. Revolucion 530 - Urb. Collique Etapa 1</t>
        </is>
      </c>
      <c r="AD306" t="n">
        <v>0</v>
      </c>
      <c r="AE306" t="inlineStr">
        <is>
          <t>926428673</t>
        </is>
      </c>
      <c r="AF306" t="inlineStr">
        <is>
          <t>926428673@gmail.com</t>
        </is>
      </c>
      <c r="AG306" t="inlineStr">
        <is>
          <t>LIMA</t>
        </is>
      </c>
      <c r="AH306" t="inlineStr">
        <is>
          <t>COMAS</t>
        </is>
      </c>
      <c r="AI306" s="116" t="n">
        <v>46172</v>
      </c>
      <c r="AJ306" s="116" t="n">
        <v>46172</v>
      </c>
      <c r="AK306" t="inlineStr">
        <is>
          <t>CUOTA INICIAL</t>
        </is>
      </c>
      <c r="AL306" t="n">
        <v>1</v>
      </c>
      <c r="AM306" t="n">
        <v>7000</v>
      </c>
      <c r="AN306" t="n">
        <v>0</v>
      </c>
      <c r="AO306" t="n">
        <v>0</v>
      </c>
      <c r="AP306" s="39" t="n">
        <v>7000</v>
      </c>
      <c r="AQ306" s="39" t="n">
        <v>7000</v>
      </c>
      <c r="AR306" s="39" t="n">
        <v>0</v>
      </c>
      <c r="AS306" t="n">
        <v>0</v>
      </c>
      <c r="AT306" t="inlineStr">
        <is>
          <t>Ahorro</t>
        </is>
      </c>
      <c r="AU306" t="inlineStr">
        <is>
          <t>Banco de Credito del Perú</t>
        </is>
      </c>
      <c r="AV306" t="inlineStr">
        <is>
          <t>194-7325779-0-65</t>
        </is>
      </c>
      <c r="AW306" t="inlineStr">
        <is>
          <t>TRANSFERENCIA BANCARIA</t>
        </is>
      </c>
      <c r="AY306" t="inlineStr">
        <is>
          <t>03947119</t>
        </is>
      </c>
      <c r="AZ306" t="inlineStr">
        <is>
          <t>No</t>
        </is>
      </c>
      <c r="BB306" t="n">
        <v>4</v>
      </c>
      <c r="BC306" t="inlineStr">
        <is>
          <t>CANCELADO</t>
        </is>
      </c>
      <c r="BN306" t="inlineStr">
        <is>
          <t>Si</t>
        </is>
      </c>
      <c r="BO306" s="117" t="n">
        <v>46172.7375</v>
      </c>
      <c r="BP306" t="inlineStr">
        <is>
          <t>Magaly Guevara Perez</t>
        </is>
      </c>
      <c r="BR306" t="n">
        <v>41</v>
      </c>
      <c r="BS306" t="inlineStr">
        <is>
          <t>09/06/2026 17:40</t>
        </is>
      </c>
      <c r="BT306" t="n">
        <v>0</v>
      </c>
      <c r="BX306" t="inlineStr">
        <is>
          <t>Cobranzas_2026.csv</t>
        </is>
      </c>
      <c r="BY306" t="n">
        <v>2026</v>
      </c>
      <c r="BZ306" t="inlineStr">
        <is>
          <t>01/01/2024</t>
        </is>
      </c>
      <c r="CA306" t="inlineStr">
        <is>
          <t>30/09/2031</t>
        </is>
      </c>
    </row>
    <row r="307">
      <c r="A307" t="inlineStr">
        <is>
          <t>RESIDENCIAL BEYOND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1705</t>
        </is>
      </c>
      <c r="G307" s="39" t="n">
        <v>482100</v>
      </c>
      <c r="H307" s="39" t="n">
        <v>482100</v>
      </c>
      <c r="I307" t="inlineStr">
        <is>
          <t>Edificio</t>
        </is>
      </c>
      <c r="J307" t="inlineStr">
        <is>
          <t>A</t>
        </is>
      </c>
      <c r="K307" t="inlineStr">
        <is>
          <t>Estacionamiento</t>
        </is>
      </c>
      <c r="L307" t="inlineStr">
        <is>
          <t>E 13 - D 11</t>
        </is>
      </c>
      <c r="M307" s="39" t="n">
        <v>54000</v>
      </c>
      <c r="N307" s="39" t="n">
        <v>54000</v>
      </c>
      <c r="S307" s="39" t="n"/>
      <c r="T307" s="39" t="n"/>
      <c r="Y307" s="39" t="n"/>
      <c r="Z307" s="39" t="n"/>
      <c r="AA307" t="inlineStr">
        <is>
          <t>Alejandro David Dianderas Leyzaquia</t>
        </is>
      </c>
      <c r="AB307" t="inlineStr">
        <is>
          <t>71802853</t>
        </is>
      </c>
      <c r="AC307" t="inlineStr">
        <is>
          <t>Av. Revolucion 530 - Urb. Collique Etapa 1</t>
        </is>
      </c>
      <c r="AD307" t="n">
        <v>0</v>
      </c>
      <c r="AE307" t="inlineStr">
        <is>
          <t>926428673</t>
        </is>
      </c>
      <c r="AF307" t="inlineStr">
        <is>
          <t>926428673@gmail.com</t>
        </is>
      </c>
      <c r="AG307" t="inlineStr">
        <is>
          <t>LIMA</t>
        </is>
      </c>
      <c r="AH307" t="inlineStr">
        <is>
          <t>COMAS</t>
        </is>
      </c>
      <c r="AI307" s="116" t="n">
        <v>46174</v>
      </c>
      <c r="AJ307" s="116" t="n">
        <v>46174</v>
      </c>
      <c r="AK307" t="inlineStr">
        <is>
          <t>CUOTA INICIAL</t>
        </is>
      </c>
      <c r="AL307" t="n">
        <v>2</v>
      </c>
      <c r="AM307" t="n">
        <v>70415</v>
      </c>
      <c r="AN307" t="n">
        <v>0</v>
      </c>
      <c r="AO307" t="n">
        <v>0</v>
      </c>
      <c r="AP307" s="39" t="n">
        <v>70415</v>
      </c>
      <c r="AQ307" s="39" t="n">
        <v>70415</v>
      </c>
      <c r="AR307" s="39" t="n">
        <v>0</v>
      </c>
      <c r="AS307" t="n">
        <v>0</v>
      </c>
      <c r="AT307" t="inlineStr">
        <is>
          <t>Ahorro</t>
        </is>
      </c>
      <c r="AU307" t="inlineStr">
        <is>
          <t>Banco de Credito del Perú</t>
        </is>
      </c>
      <c r="AV307" t="inlineStr">
        <is>
          <t>194-7325779-0-65</t>
        </is>
      </c>
      <c r="AW307" t="inlineStr">
        <is>
          <t>TRANSFERENCIA BANCARIA</t>
        </is>
      </c>
      <c r="AY307" t="inlineStr">
        <is>
          <t>0624782</t>
        </is>
      </c>
      <c r="AZ307" t="inlineStr">
        <is>
          <t>No</t>
        </is>
      </c>
      <c r="BB307" t="n">
        <v>4</v>
      </c>
      <c r="BC307" t="inlineStr">
        <is>
          <t>CANCELADO</t>
        </is>
      </c>
      <c r="BN307" t="inlineStr">
        <is>
          <t>Si</t>
        </is>
      </c>
      <c r="BO307" s="117" t="n">
        <v>46172.7375</v>
      </c>
      <c r="BP307" t="inlineStr">
        <is>
          <t>Magaly Guevara Perez</t>
        </is>
      </c>
      <c r="BR307" t="n">
        <v>41</v>
      </c>
      <c r="BS307" t="inlineStr">
        <is>
          <t>09/06/2026 17:40</t>
        </is>
      </c>
      <c r="BT307" t="n">
        <v>0</v>
      </c>
      <c r="BX307" t="inlineStr">
        <is>
          <t>Cobranzas_2026.csv</t>
        </is>
      </c>
      <c r="BY307" t="n">
        <v>2026</v>
      </c>
      <c r="BZ307" t="inlineStr">
        <is>
          <t>01/01/2024</t>
        </is>
      </c>
      <c r="CA307" t="inlineStr">
        <is>
          <t>30/09/2031</t>
        </is>
      </c>
    </row>
    <row r="308">
      <c r="A308" t="inlineStr">
        <is>
          <t>RESIDENCIAL BEYOND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1705</t>
        </is>
      </c>
      <c r="G308" s="39" t="n">
        <v>482100</v>
      </c>
      <c r="H308" s="39" t="n">
        <v>482100</v>
      </c>
      <c r="I308" t="inlineStr">
        <is>
          <t>Edificio</t>
        </is>
      </c>
      <c r="J308" t="inlineStr">
        <is>
          <t>A</t>
        </is>
      </c>
      <c r="K308" t="inlineStr">
        <is>
          <t>Estacionamiento</t>
        </is>
      </c>
      <c r="L308" t="inlineStr">
        <is>
          <t>E 13 - D 11</t>
        </is>
      </c>
      <c r="M308" s="39" t="n">
        <v>54000</v>
      </c>
      <c r="N308" s="39" t="n">
        <v>54000</v>
      </c>
      <c r="S308" s="39" t="n"/>
      <c r="T308" s="39" t="n"/>
      <c r="Y308" s="39" t="n"/>
      <c r="Z308" s="39" t="n"/>
      <c r="AA308" t="inlineStr">
        <is>
          <t>Alejandro David Dianderas Leyzaquia</t>
        </is>
      </c>
      <c r="AB308" t="inlineStr">
        <is>
          <t>71802853</t>
        </is>
      </c>
      <c r="AC308" t="inlineStr">
        <is>
          <t>Av. Revolucion 530 - Urb. Collique Etapa 1</t>
        </is>
      </c>
      <c r="AD308" t="n">
        <v>0</v>
      </c>
      <c r="AE308" t="inlineStr">
        <is>
          <t>926428673</t>
        </is>
      </c>
      <c r="AF308" t="inlineStr">
        <is>
          <t>926428673@gmail.com</t>
        </is>
      </c>
      <c r="AG308" t="inlineStr">
        <is>
          <t>LIMA</t>
        </is>
      </c>
      <c r="AH308" t="inlineStr">
        <is>
          <t>COMAS</t>
        </is>
      </c>
      <c r="AI308" s="116" t="n">
        <v>46386</v>
      </c>
      <c r="AJ308" s="116" t="n"/>
      <c r="AK308" t="inlineStr">
        <is>
          <t>AHORRO CASA</t>
        </is>
      </c>
      <c r="AL308" t="n">
        <v>3</v>
      </c>
      <c r="AM308" t="n">
        <v>26805</v>
      </c>
      <c r="AN308" t="n">
        <v>0</v>
      </c>
      <c r="AO308" t="n">
        <v>0</v>
      </c>
      <c r="AP308" s="39" t="n">
        <v>26805</v>
      </c>
      <c r="AQ308" s="39" t="n">
        <v>0</v>
      </c>
      <c r="AR308" s="39" t="n">
        <v>26805</v>
      </c>
      <c r="AT308" t="inlineStr">
        <is>
          <t>Ahorro</t>
        </is>
      </c>
      <c r="AZ308" t="inlineStr">
        <is>
          <t>No</t>
        </is>
      </c>
      <c r="BC308" t="inlineStr">
        <is>
          <t>PENDIENTE</t>
        </is>
      </c>
      <c r="BN308" t="inlineStr">
        <is>
          <t>No</t>
        </is>
      </c>
      <c r="BO308" s="117" t="n">
        <v>46172.7375</v>
      </c>
      <c r="BP308" t="inlineStr">
        <is>
          <t>Magaly Guevara Perez</t>
        </is>
      </c>
      <c r="BR308" t="n">
        <v>41</v>
      </c>
      <c r="BT308" t="n">
        <v>0</v>
      </c>
      <c r="BX308" t="inlineStr">
        <is>
          <t>Cobranzas_2026.csv</t>
        </is>
      </c>
      <c r="BY308" t="n">
        <v>2026</v>
      </c>
      <c r="BZ308" t="inlineStr">
        <is>
          <t>01/01/2024</t>
        </is>
      </c>
      <c r="CA308" t="inlineStr">
        <is>
          <t>30/09/2031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Estacionamiento</t>
        </is>
      </c>
      <c r="F309" t="inlineStr">
        <is>
          <t>E 23 - D 17</t>
        </is>
      </c>
      <c r="G309" s="39" t="n">
        <v>52000</v>
      </c>
      <c r="H309" s="39" t="n">
        <v>52000</v>
      </c>
      <c r="M309" s="39" t="n"/>
      <c r="N309" s="39" t="n"/>
      <c r="S309" s="39" t="n"/>
      <c r="T309" s="39" t="n"/>
      <c r="Y309" s="39" t="n"/>
      <c r="Z309" s="39" t="n"/>
      <c r="AA309" t="inlineStr">
        <is>
          <t>Alejandro Jose Navarrete Maldonado</t>
        </is>
      </c>
      <c r="AB309" t="inlineStr">
        <is>
          <t>46304395</t>
        </is>
      </c>
      <c r="AC309" t="inlineStr">
        <is>
          <t xml:space="preserve">Calle Jose Mariano Arce 139 – Dpto. 202 </t>
        </is>
      </c>
      <c r="AD309" t="n">
        <v>0</v>
      </c>
      <c r="AE309" t="inlineStr">
        <is>
          <t>956466496</t>
        </is>
      </c>
      <c r="AF309" t="inlineStr">
        <is>
          <t>anavarrete@nmabogados.com.pe</t>
        </is>
      </c>
      <c r="AG309" t="inlineStr">
        <is>
          <t>LIMA</t>
        </is>
      </c>
      <c r="AH309" t="inlineStr">
        <is>
          <t>PUEBLO LIBRE</t>
        </is>
      </c>
      <c r="AI309" s="116" t="n">
        <v>46112</v>
      </c>
      <c r="AJ309" s="116" t="n">
        <v>46112</v>
      </c>
      <c r="AK309" t="inlineStr">
        <is>
          <t>SALDO FINANCIAR</t>
        </is>
      </c>
      <c r="AL309" t="n">
        <v>3</v>
      </c>
      <c r="AM309" t="n">
        <v>14000</v>
      </c>
      <c r="AN309" t="n">
        <v>0</v>
      </c>
      <c r="AO309" t="n">
        <v>0</v>
      </c>
      <c r="AP309" s="39" t="n">
        <v>14000</v>
      </c>
      <c r="AQ309" s="39" t="n">
        <v>14000</v>
      </c>
      <c r="AR309" s="39" t="n">
        <v>0</v>
      </c>
      <c r="AS309" t="n">
        <v>0</v>
      </c>
      <c r="AT309" t="inlineStr">
        <is>
          <t>Crédito Directo</t>
        </is>
      </c>
      <c r="AU309" t="inlineStr">
        <is>
          <t>Scotiabank Perú</t>
        </is>
      </c>
      <c r="AV309" t="inlineStr">
        <is>
          <t>000-2768484</t>
        </is>
      </c>
      <c r="AW309" t="inlineStr">
        <is>
          <t>TRANSFERENCIA BANCARIA</t>
        </is>
      </c>
      <c r="AY309" t="inlineStr">
        <is>
          <t>00000404300004045</t>
        </is>
      </c>
      <c r="AZ309" t="inlineStr">
        <is>
          <t>No</t>
        </is>
      </c>
      <c r="BB309" t="n">
        <v>4</v>
      </c>
      <c r="BC309" t="inlineStr">
        <is>
          <t>CANCELADO</t>
        </is>
      </c>
      <c r="BN309" t="inlineStr">
        <is>
          <t>Si</t>
        </is>
      </c>
      <c r="BO309" s="117" t="n">
        <v>45961.43263888889</v>
      </c>
      <c r="BP309" t="inlineStr">
        <is>
          <t>Magaly Guevara Perez</t>
        </is>
      </c>
      <c r="BR309" t="n">
        <v>54</v>
      </c>
      <c r="BS309" t="inlineStr">
        <is>
          <t>03/07/2026 11:19</t>
        </is>
      </c>
      <c r="BT309" t="n">
        <v>0</v>
      </c>
      <c r="BX309" t="inlineStr">
        <is>
          <t>Cobranzas_2026.csv</t>
        </is>
      </c>
      <c r="BY309" t="n">
        <v>2026</v>
      </c>
      <c r="BZ309" t="inlineStr">
        <is>
          <t>01/01/2024</t>
        </is>
      </c>
      <c r="CA309" t="inlineStr">
        <is>
          <t>30/09/2031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Departamento</t>
        </is>
      </c>
      <c r="F310" t="inlineStr">
        <is>
          <t>504</t>
        </is>
      </c>
      <c r="G310" s="39" t="n">
        <v>417700</v>
      </c>
      <c r="H310" s="39" t="n">
        <v>417700</v>
      </c>
      <c r="M310" s="39" t="n"/>
      <c r="N310" s="39" t="n"/>
      <c r="S310" s="39" t="n"/>
      <c r="T310" s="39" t="n"/>
      <c r="Y310" s="39" t="n"/>
      <c r="Z310" s="39" t="n"/>
      <c r="AA310" t="inlineStr">
        <is>
          <t>Alvaro Geanfranco Mendoza Jump</t>
        </is>
      </c>
      <c r="AB310" t="inlineStr">
        <is>
          <t>72112648</t>
        </is>
      </c>
      <c r="AC310" t="inlineStr">
        <is>
          <t>Urb. San Francisco Mz. B Lt. 11 Departamento de Huanuco, Provincia de Huanuco, Dsitrito Amarilis</t>
        </is>
      </c>
      <c r="AD310" t="n">
        <v>938217737</v>
      </c>
      <c r="AE310" t="inlineStr">
        <is>
          <t>938217737</t>
        </is>
      </c>
      <c r="AF310" t="inlineStr">
        <is>
          <t>alvaromej17@gmail.com</t>
        </is>
      </c>
      <c r="AG310" t="inlineStr">
        <is>
          <t>HUANUCO</t>
        </is>
      </c>
      <c r="AH310" t="inlineStr">
        <is>
          <t>AMARILIS</t>
        </is>
      </c>
      <c r="AI310" s="116" t="n">
        <v>46142</v>
      </c>
      <c r="AJ310" s="116" t="n">
        <v>46146</v>
      </c>
      <c r="AK310" t="inlineStr">
        <is>
          <t>CUOTA INICIAL</t>
        </is>
      </c>
      <c r="AL310" t="n">
        <v>2</v>
      </c>
      <c r="AM310" t="n">
        <v>0</v>
      </c>
      <c r="AN310" t="n">
        <v>0</v>
      </c>
      <c r="AO310" t="n">
        <v>0</v>
      </c>
      <c r="AP310" s="39" t="n">
        <v>31000</v>
      </c>
      <c r="AQ310" s="39" t="n">
        <v>12000</v>
      </c>
      <c r="AR310" s="39" t="n">
        <v>0</v>
      </c>
      <c r="AS310" t="n">
        <v>0</v>
      </c>
      <c r="AT310" t="inlineStr">
        <is>
          <t>Ahorro</t>
        </is>
      </c>
      <c r="AU310" t="inlineStr">
        <is>
          <t>Scotiabank Perú</t>
        </is>
      </c>
      <c r="AV310" t="inlineStr">
        <is>
          <t>000-2768484</t>
        </is>
      </c>
      <c r="AW310" t="inlineStr">
        <is>
          <t>TRANSFERENCIA BANCARIA</t>
        </is>
      </c>
      <c r="AY310" t="inlineStr">
        <is>
          <t>02222650</t>
        </is>
      </c>
      <c r="AZ310" t="inlineStr">
        <is>
          <t>No</t>
        </is>
      </c>
      <c r="BB310" t="n">
        <v>4</v>
      </c>
      <c r="BC310" t="inlineStr">
        <is>
          <t>CANCELADO</t>
        </is>
      </c>
      <c r="BN310" t="inlineStr">
        <is>
          <t>Si</t>
        </is>
      </c>
      <c r="BO310" s="117" t="n">
        <v>45919.61597222222</v>
      </c>
      <c r="BP310" t="inlineStr">
        <is>
          <t>Kenny Salazar S</t>
        </is>
      </c>
      <c r="BR310" t="n">
        <v>36</v>
      </c>
      <c r="BS310" t="inlineStr">
        <is>
          <t>23/06/2026 16:01</t>
        </is>
      </c>
      <c r="BT310" t="n">
        <v>0</v>
      </c>
      <c r="BX310" t="inlineStr">
        <is>
          <t>Cobranzas_2026.csv</t>
        </is>
      </c>
      <c r="BY310" t="n">
        <v>2026</v>
      </c>
      <c r="BZ310" t="inlineStr">
        <is>
          <t>01/01/2024</t>
        </is>
      </c>
      <c r="CA310" t="inlineStr">
        <is>
          <t>30/09/2031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Departamento</t>
        </is>
      </c>
      <c r="F311" t="inlineStr">
        <is>
          <t>504</t>
        </is>
      </c>
      <c r="G311" s="39" t="n">
        <v>417700</v>
      </c>
      <c r="H311" s="39" t="n">
        <v>417700</v>
      </c>
      <c r="M311" s="39" t="n"/>
      <c r="N311" s="39" t="n"/>
      <c r="S311" s="39" t="n"/>
      <c r="T311" s="39" t="n"/>
      <c r="Y311" s="39" t="n"/>
      <c r="Z311" s="39" t="n"/>
      <c r="AA311" t="inlineStr">
        <is>
          <t>Alvaro Geanfranco Mendoza Jump</t>
        </is>
      </c>
      <c r="AB311" t="inlineStr">
        <is>
          <t>72112648</t>
        </is>
      </c>
      <c r="AC311" t="inlineStr">
        <is>
          <t>Urb. San Francisco Mz. B Lt. 11 Departamento de Huanuco, Provincia de Huanuco, Dsitrito Amarilis</t>
        </is>
      </c>
      <c r="AD311" t="n">
        <v>938217737</v>
      </c>
      <c r="AE311" t="inlineStr">
        <is>
          <t>938217737</t>
        </is>
      </c>
      <c r="AF311" t="inlineStr">
        <is>
          <t>alvaromej17@gmail.com</t>
        </is>
      </c>
      <c r="AG311" t="inlineStr">
        <is>
          <t>HUANUCO</t>
        </is>
      </c>
      <c r="AH311" t="inlineStr">
        <is>
          <t>AMARILIS</t>
        </is>
      </c>
      <c r="AI311" s="116" t="n">
        <v>46142</v>
      </c>
      <c r="AJ311" s="116" t="n">
        <v>46144</v>
      </c>
      <c r="AK311" t="inlineStr">
        <is>
          <t>CUOTA INICIAL</t>
        </is>
      </c>
      <c r="AL311" t="n">
        <v>2</v>
      </c>
      <c r="AM311" t="n">
        <v>0</v>
      </c>
      <c r="AN311" t="n">
        <v>0</v>
      </c>
      <c r="AO311" t="n">
        <v>0</v>
      </c>
      <c r="AP311" s="39" t="n">
        <v>0</v>
      </c>
      <c r="AQ311" s="39" t="n">
        <v>12000</v>
      </c>
      <c r="AR311" s="39" t="n">
        <v>0</v>
      </c>
      <c r="AS311" t="n">
        <v>0</v>
      </c>
      <c r="AT311" t="inlineStr">
        <is>
          <t>Ahorro</t>
        </is>
      </c>
      <c r="AU311" t="inlineStr">
        <is>
          <t>Scotiabank Perú</t>
        </is>
      </c>
      <c r="AV311" t="inlineStr">
        <is>
          <t>000-2768484</t>
        </is>
      </c>
      <c r="AW311" t="inlineStr">
        <is>
          <t>TRANSFERENCIA BANCARIA</t>
        </is>
      </c>
      <c r="AY311" t="inlineStr">
        <is>
          <t>5561540</t>
        </is>
      </c>
      <c r="AZ311" t="inlineStr">
        <is>
          <t>No</t>
        </is>
      </c>
      <c r="BB311" t="n">
        <v>4</v>
      </c>
      <c r="BC311" t="inlineStr">
        <is>
          <t>CANCELADO</t>
        </is>
      </c>
      <c r="BN311" t="inlineStr">
        <is>
          <t>Si</t>
        </is>
      </c>
      <c r="BO311" s="117" t="n">
        <v>45919.61597222222</v>
      </c>
      <c r="BP311" t="inlineStr">
        <is>
          <t>Kenny Salazar S</t>
        </is>
      </c>
      <c r="BR311" t="n">
        <v>36</v>
      </c>
      <c r="BS311" t="inlineStr">
        <is>
          <t>23/06/2026 16:02</t>
        </is>
      </c>
      <c r="BT311" t="n">
        <v>0</v>
      </c>
      <c r="BX311" t="inlineStr">
        <is>
          <t>Cobranzas_2026.csv</t>
        </is>
      </c>
      <c r="BY311" t="n">
        <v>2026</v>
      </c>
      <c r="BZ311" t="inlineStr">
        <is>
          <t>01/01/2024</t>
        </is>
      </c>
      <c r="CA311" t="inlineStr">
        <is>
          <t>30/09/2031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Departamento</t>
        </is>
      </c>
      <c r="F312" t="inlineStr">
        <is>
          <t>504</t>
        </is>
      </c>
      <c r="G312" s="39" t="n">
        <v>417700</v>
      </c>
      <c r="H312" s="39" t="n">
        <v>417700</v>
      </c>
      <c r="M312" s="39" t="n"/>
      <c r="N312" s="39" t="n"/>
      <c r="S312" s="39" t="n"/>
      <c r="T312" s="39" t="n"/>
      <c r="Y312" s="39" t="n"/>
      <c r="Z312" s="39" t="n"/>
      <c r="AA312" t="inlineStr">
        <is>
          <t>Alvaro Geanfranco Mendoza Jump</t>
        </is>
      </c>
      <c r="AB312" t="inlineStr">
        <is>
          <t>72112648</t>
        </is>
      </c>
      <c r="AC312" t="inlineStr">
        <is>
          <t>Urb. San Francisco Mz. B Lt. 11 Departamento de Huanuco, Provincia de Huanuco, Dsitrito Amarilis</t>
        </is>
      </c>
      <c r="AD312" t="n">
        <v>938217737</v>
      </c>
      <c r="AE312" t="inlineStr">
        <is>
          <t>938217737</t>
        </is>
      </c>
      <c r="AF312" t="inlineStr">
        <is>
          <t>alvaromej17@gmail.com</t>
        </is>
      </c>
      <c r="AG312" t="inlineStr">
        <is>
          <t>HUANUCO</t>
        </is>
      </c>
      <c r="AH312" t="inlineStr">
        <is>
          <t>AMARILIS</t>
        </is>
      </c>
      <c r="AI312" s="116" t="n">
        <v>46142</v>
      </c>
      <c r="AJ312" s="116" t="n">
        <v>46144</v>
      </c>
      <c r="AK312" t="inlineStr">
        <is>
          <t>CUOTA INICIAL</t>
        </is>
      </c>
      <c r="AL312" t="n">
        <v>2</v>
      </c>
      <c r="AM312" t="n">
        <v>31000</v>
      </c>
      <c r="AN312" t="n">
        <v>0</v>
      </c>
      <c r="AO312" t="n">
        <v>0</v>
      </c>
      <c r="AP312" s="39" t="n">
        <v>0</v>
      </c>
      <c r="AQ312" s="39" t="n">
        <v>7000</v>
      </c>
      <c r="AR312" s="39" t="n">
        <v>0</v>
      </c>
      <c r="AS312" t="n">
        <v>0</v>
      </c>
      <c r="AT312" t="inlineStr">
        <is>
          <t>Ahorro</t>
        </is>
      </c>
      <c r="AU312" t="inlineStr">
        <is>
          <t>Scotiabank Perú</t>
        </is>
      </c>
      <c r="AV312" t="inlineStr">
        <is>
          <t>000-2768484</t>
        </is>
      </c>
      <c r="AW312" t="inlineStr">
        <is>
          <t>TRANSFERENCIA BANCARIA</t>
        </is>
      </c>
      <c r="AY312" t="inlineStr">
        <is>
          <t>U100751</t>
        </is>
      </c>
      <c r="AZ312" t="inlineStr">
        <is>
          <t>No</t>
        </is>
      </c>
      <c r="BB312" t="n">
        <v>4</v>
      </c>
      <c r="BC312" t="inlineStr">
        <is>
          <t>CANCELADO</t>
        </is>
      </c>
      <c r="BN312" t="inlineStr">
        <is>
          <t>Si</t>
        </is>
      </c>
      <c r="BO312" s="117" t="n">
        <v>45919.61597222222</v>
      </c>
      <c r="BP312" t="inlineStr">
        <is>
          <t>Kenny Salazar S</t>
        </is>
      </c>
      <c r="BR312" t="n">
        <v>36</v>
      </c>
      <c r="BS312" t="inlineStr">
        <is>
          <t>23/06/2026 16:06</t>
        </is>
      </c>
      <c r="BT312" t="n">
        <v>0</v>
      </c>
      <c r="BX312" t="inlineStr">
        <is>
          <t>Cobranzas_2026.csv</t>
        </is>
      </c>
      <c r="BY312" t="n">
        <v>2026</v>
      </c>
      <c r="BZ312" t="inlineStr">
        <is>
          <t>01/01/2024</t>
        </is>
      </c>
      <c r="CA312" t="inlineStr">
        <is>
          <t>30/09/2031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Departamento</t>
        </is>
      </c>
      <c r="F313" t="inlineStr">
        <is>
          <t>504</t>
        </is>
      </c>
      <c r="G313" s="39" t="n">
        <v>417700</v>
      </c>
      <c r="H313" s="39" t="n">
        <v>417700</v>
      </c>
      <c r="M313" s="39" t="n"/>
      <c r="N313" s="39" t="n"/>
      <c r="S313" s="39" t="n"/>
      <c r="T313" s="39" t="n"/>
      <c r="Y313" s="39" t="n"/>
      <c r="Z313" s="39" t="n"/>
      <c r="AA313" t="inlineStr">
        <is>
          <t>Alvaro Geanfranco Mendoza Jump</t>
        </is>
      </c>
      <c r="AB313" t="inlineStr">
        <is>
          <t>72112648</t>
        </is>
      </c>
      <c r="AC313" t="inlineStr">
        <is>
          <t>Urb. San Francisco Mz. B Lt. 11 Departamento de Huanuco, Provincia de Huanuco, Dsitrito Amarilis</t>
        </is>
      </c>
      <c r="AD313" t="n">
        <v>938217737</v>
      </c>
      <c r="AE313" t="inlineStr">
        <is>
          <t>938217737</t>
        </is>
      </c>
      <c r="AF313" t="inlineStr">
        <is>
          <t>alvaromej17@gmail.com</t>
        </is>
      </c>
      <c r="AG313" t="inlineStr">
        <is>
          <t>HUANUCO</t>
        </is>
      </c>
      <c r="AH313" t="inlineStr">
        <is>
          <t>AMARILIS</t>
        </is>
      </c>
      <c r="AI313" s="116" t="n">
        <v>46081</v>
      </c>
      <c r="AJ313" s="116" t="n">
        <v>46144</v>
      </c>
      <c r="AK313" t="inlineStr">
        <is>
          <t>CUOTA INICIAL</t>
        </is>
      </c>
      <c r="AL313" t="n">
        <v>3</v>
      </c>
      <c r="AM313" t="n">
        <v>21000</v>
      </c>
      <c r="AN313" t="n">
        <v>0</v>
      </c>
      <c r="AO313" t="n">
        <v>0</v>
      </c>
      <c r="AP313" s="39" t="n">
        <v>21000</v>
      </c>
      <c r="AQ313" s="39" t="n">
        <v>21000</v>
      </c>
      <c r="AR313" s="39" t="n">
        <v>0</v>
      </c>
      <c r="AS313" t="n">
        <v>0</v>
      </c>
      <c r="AT313" t="inlineStr">
        <is>
          <t>Ahorro</t>
        </is>
      </c>
      <c r="AU313" t="inlineStr">
        <is>
          <t>Scotiabank Perú</t>
        </is>
      </c>
      <c r="AV313" t="inlineStr">
        <is>
          <t>000-2768484</t>
        </is>
      </c>
      <c r="AW313" t="inlineStr">
        <is>
          <t>TRANSFERENCIA BANCARIA</t>
        </is>
      </c>
      <c r="AY313" t="inlineStr">
        <is>
          <t>U100751</t>
        </is>
      </c>
      <c r="AZ313" t="inlineStr">
        <is>
          <t>No</t>
        </is>
      </c>
      <c r="BB313" t="n">
        <v>4</v>
      </c>
      <c r="BC313" t="inlineStr">
        <is>
          <t>CANCELADO</t>
        </is>
      </c>
      <c r="BN313" t="inlineStr">
        <is>
          <t>Si</t>
        </is>
      </c>
      <c r="BO313" s="117" t="n">
        <v>45919.61597222222</v>
      </c>
      <c r="BP313" t="inlineStr">
        <is>
          <t>Kenny Salazar S</t>
        </is>
      </c>
      <c r="BR313" t="n">
        <v>36</v>
      </c>
      <c r="BS313" t="inlineStr">
        <is>
          <t>23/06/2026 16:06</t>
        </is>
      </c>
      <c r="BT313" t="n">
        <v>0</v>
      </c>
      <c r="BX313" t="inlineStr">
        <is>
          <t>Cobranzas_2026.csv</t>
        </is>
      </c>
      <c r="BY313" t="n">
        <v>2026</v>
      </c>
      <c r="BZ313" t="inlineStr">
        <is>
          <t>01/01/2024</t>
        </is>
      </c>
      <c r="CA313" t="inlineStr">
        <is>
          <t>30/09/2031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Departamento</t>
        </is>
      </c>
      <c r="F314" t="inlineStr">
        <is>
          <t>504</t>
        </is>
      </c>
      <c r="G314" s="39" t="n">
        <v>417700</v>
      </c>
      <c r="H314" s="39" t="n">
        <v>417700</v>
      </c>
      <c r="M314" s="39" t="n"/>
      <c r="N314" s="39" t="n"/>
      <c r="S314" s="39" t="n"/>
      <c r="T314" s="39" t="n"/>
      <c r="Y314" s="39" t="n"/>
      <c r="Z314" s="39" t="n"/>
      <c r="AA314" t="inlineStr">
        <is>
          <t>Alvaro Geanfranco Mendoza Jump</t>
        </is>
      </c>
      <c r="AB314" t="inlineStr">
        <is>
          <t>72112648</t>
        </is>
      </c>
      <c r="AC314" t="inlineStr">
        <is>
          <t>Urb. San Francisco Mz. B Lt. 11 Departamento de Huanuco, Provincia de Huanuco, Dsitrito Amarilis</t>
        </is>
      </c>
      <c r="AD314" t="n">
        <v>938217737</v>
      </c>
      <c r="AE314" t="inlineStr">
        <is>
          <t>938217737</t>
        </is>
      </c>
      <c r="AF314" t="inlineStr">
        <is>
          <t>alvaromej17@gmail.com</t>
        </is>
      </c>
      <c r="AG314" t="inlineStr">
        <is>
          <t>HUANUCO</t>
        </is>
      </c>
      <c r="AH314" t="inlineStr">
        <is>
          <t>AMARILIS</t>
        </is>
      </c>
      <c r="AI314" s="116" t="n">
        <v>46203</v>
      </c>
      <c r="AJ314" s="116" t="n">
        <v>46172</v>
      </c>
      <c r="AK314" t="inlineStr">
        <is>
          <t>SALDO FINANCIAR</t>
        </is>
      </c>
      <c r="AL314" t="n">
        <v>1</v>
      </c>
      <c r="AM314" t="n">
        <v>352700</v>
      </c>
      <c r="AN314" t="n">
        <v>0</v>
      </c>
      <c r="AO314" t="n">
        <v>0</v>
      </c>
      <c r="AP314" s="39" t="n">
        <v>352700</v>
      </c>
      <c r="AQ314" s="39" t="n">
        <v>352700</v>
      </c>
      <c r="AR314" s="39" t="n">
        <v>0</v>
      </c>
      <c r="AS314" t="n">
        <v>0</v>
      </c>
      <c r="AT314" t="inlineStr">
        <is>
          <t>Ahorro</t>
        </is>
      </c>
      <c r="AU314" t="inlineStr">
        <is>
          <t>Scotiabank Perú</t>
        </is>
      </c>
      <c r="AV314" t="inlineStr">
        <is>
          <t>000-2768484</t>
        </is>
      </c>
      <c r="AW314" t="inlineStr">
        <is>
          <t>TRANSFERENCIA BANCARIA</t>
        </is>
      </c>
      <c r="AY314" t="inlineStr">
        <is>
          <t>02700800069</t>
        </is>
      </c>
      <c r="AZ314" t="inlineStr">
        <is>
          <t>No</t>
        </is>
      </c>
      <c r="BB314" t="n">
        <v>4</v>
      </c>
      <c r="BC314" t="inlineStr">
        <is>
          <t>CANCELADO</t>
        </is>
      </c>
      <c r="BN314" t="inlineStr">
        <is>
          <t>Si</t>
        </is>
      </c>
      <c r="BO314" s="117" t="n">
        <v>45919.61597222222</v>
      </c>
      <c r="BP314" t="inlineStr">
        <is>
          <t>Kenny Salazar S</t>
        </is>
      </c>
      <c r="BR314" t="n">
        <v>36</v>
      </c>
      <c r="BS314" t="inlineStr">
        <is>
          <t>23/06/2026 16:08</t>
        </is>
      </c>
      <c r="BT314" t="n">
        <v>0</v>
      </c>
      <c r="BX314" t="inlineStr">
        <is>
          <t>Cobranzas_2026.csv</t>
        </is>
      </c>
      <c r="BY314" t="n">
        <v>2026</v>
      </c>
      <c r="BZ314" t="inlineStr">
        <is>
          <t>01/01/2024</t>
        </is>
      </c>
      <c r="CA314" t="inlineStr">
        <is>
          <t>30/09/2031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39" t="n">
        <v>50500</v>
      </c>
      <c r="H315" s="39" t="n">
        <v>50500</v>
      </c>
      <c r="M315" s="39" t="n"/>
      <c r="N315" s="39" t="n"/>
      <c r="S315" s="39" t="n"/>
      <c r="T315" s="39" t="n"/>
      <c r="Y315" s="39" t="n"/>
      <c r="Z315" s="39" t="n"/>
      <c r="AA315" t="inlineStr">
        <is>
          <t>Ana Fabiola Alvarez Elias</t>
        </is>
      </c>
      <c r="AB315" t="inlineStr">
        <is>
          <t>06789211</t>
        </is>
      </c>
      <c r="AC315" t="inlineStr">
        <is>
          <t>Jr. Caraveli 968 Interior 103</t>
        </is>
      </c>
      <c r="AD315" t="n">
        <v>0</v>
      </c>
      <c r="AE315" t="inlineStr">
        <is>
          <t>986642025</t>
        </is>
      </c>
      <c r="AF315" t="inlineStr">
        <is>
          <t>anafabiola1@hotmail.com</t>
        </is>
      </c>
      <c r="AG315" t="inlineStr">
        <is>
          <t>LIMA</t>
        </is>
      </c>
      <c r="AH315" t="inlineStr">
        <is>
          <t>BREÑA</t>
        </is>
      </c>
      <c r="AI315" s="116" t="n">
        <v>46052</v>
      </c>
      <c r="AJ315" s="116" t="n">
        <v>46052</v>
      </c>
      <c r="AK315" t="inlineStr">
        <is>
          <t>SALDO FINANCIAR</t>
        </is>
      </c>
      <c r="AL315" t="n">
        <v>7</v>
      </c>
      <c r="AM315" t="n">
        <v>3000</v>
      </c>
      <c r="AN315" t="n">
        <v>0</v>
      </c>
      <c r="AO315" t="n">
        <v>0</v>
      </c>
      <c r="AP315" s="39" t="n">
        <v>3000</v>
      </c>
      <c r="AQ315" s="39" t="n">
        <v>3000</v>
      </c>
      <c r="AR315" s="39" t="n">
        <v>0</v>
      </c>
      <c r="AS315" t="n">
        <v>0</v>
      </c>
      <c r="AT315" t="inlineStr">
        <is>
          <t>Crédito Directo</t>
        </is>
      </c>
      <c r="AU315" t="inlineStr">
        <is>
          <t>Scotiabank Perú</t>
        </is>
      </c>
      <c r="AV315" t="inlineStr">
        <is>
          <t>0004071419</t>
        </is>
      </c>
      <c r="AW315" t="inlineStr">
        <is>
          <t>TRANSFERENCIA BANCARIA</t>
        </is>
      </c>
      <c r="AY315" t="inlineStr">
        <is>
          <t>7844655572337</t>
        </is>
      </c>
      <c r="AZ315" t="inlineStr">
        <is>
          <t>No</t>
        </is>
      </c>
      <c r="BB315" t="n">
        <v>4</v>
      </c>
      <c r="BC315" t="inlineStr">
        <is>
          <t>CANCELADO</t>
        </is>
      </c>
      <c r="BN315" t="inlineStr">
        <is>
          <t>Si</t>
        </is>
      </c>
      <c r="BO315" s="117" t="n">
        <v>45868.49166666667</v>
      </c>
      <c r="BP315" t="inlineStr">
        <is>
          <t>Magaly Guevara Perez</t>
        </is>
      </c>
      <c r="BR315" t="n">
        <v>62</v>
      </c>
      <c r="BS315" t="inlineStr">
        <is>
          <t>18/08/2026 11:38</t>
        </is>
      </c>
      <c r="BT315" t="n">
        <v>0</v>
      </c>
      <c r="BX315" t="inlineStr">
        <is>
          <t>Cobranzas_2026.csv</t>
        </is>
      </c>
      <c r="BY315" t="n">
        <v>2026</v>
      </c>
      <c r="BZ315" t="inlineStr">
        <is>
          <t>01/01/2024</t>
        </is>
      </c>
      <c r="CA315" t="inlineStr">
        <is>
          <t>30/09/2031</t>
        </is>
      </c>
    </row>
    <row r="316">
      <c r="A316" t="inlineStr">
        <is>
          <t>RESIDENCIAL PRADA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Estacionamiento</t>
        </is>
      </c>
      <c r="F316" t="inlineStr">
        <is>
          <t>E 15</t>
        </is>
      </c>
      <c r="G316" s="39" t="n">
        <v>50500</v>
      </c>
      <c r="H316" s="39" t="n">
        <v>50500</v>
      </c>
      <c r="M316" s="39" t="n"/>
      <c r="N316" s="39" t="n"/>
      <c r="S316" s="39" t="n"/>
      <c r="T316" s="39" t="n"/>
      <c r="Y316" s="39" t="n"/>
      <c r="Z316" s="39" t="n"/>
      <c r="AA316" t="inlineStr">
        <is>
          <t>Ana Fabiola Alvarez Elias</t>
        </is>
      </c>
      <c r="AB316" t="inlineStr">
        <is>
          <t>06789211</t>
        </is>
      </c>
      <c r="AC316" t="inlineStr">
        <is>
          <t>Jr. Caraveli 968 Interior 103</t>
        </is>
      </c>
      <c r="AD316" t="n">
        <v>0</v>
      </c>
      <c r="AE316" t="inlineStr">
        <is>
          <t>986642025</t>
        </is>
      </c>
      <c r="AF316" t="inlineStr">
        <is>
          <t>anafabiola1@hotmail.com</t>
        </is>
      </c>
      <c r="AG316" t="inlineStr">
        <is>
          <t>LIMA</t>
        </is>
      </c>
      <c r="AH316" t="inlineStr">
        <is>
          <t>BREÑA</t>
        </is>
      </c>
      <c r="AI316" s="116" t="n">
        <v>46080</v>
      </c>
      <c r="AJ316" s="116" t="n">
        <v>46080</v>
      </c>
      <c r="AK316" t="inlineStr">
        <is>
          <t>SALDO FINANCIAR</t>
        </is>
      </c>
      <c r="AL316" t="n">
        <v>8</v>
      </c>
      <c r="AM316" t="n">
        <v>3000</v>
      </c>
      <c r="AN316" t="n">
        <v>0</v>
      </c>
      <c r="AO316" t="n">
        <v>0</v>
      </c>
      <c r="AP316" s="39" t="n">
        <v>3000</v>
      </c>
      <c r="AQ316" s="39" t="n">
        <v>3000</v>
      </c>
      <c r="AR316" s="39" t="n">
        <v>0</v>
      </c>
      <c r="AS316" t="n">
        <v>0</v>
      </c>
      <c r="AT316" t="inlineStr">
        <is>
          <t>Crédito Directo</t>
        </is>
      </c>
      <c r="AU316" t="inlineStr">
        <is>
          <t>Scotiabank Perú</t>
        </is>
      </c>
      <c r="AV316" t="inlineStr">
        <is>
          <t>0004071419</t>
        </is>
      </c>
      <c r="AW316" t="inlineStr">
        <is>
          <t>TRANSFERENCIA BANCARIA</t>
        </is>
      </c>
      <c r="AY316" t="inlineStr">
        <is>
          <t>u100751</t>
        </is>
      </c>
      <c r="AZ316" t="inlineStr">
        <is>
          <t>No</t>
        </is>
      </c>
      <c r="BB316" t="n">
        <v>4</v>
      </c>
      <c r="BC316" t="inlineStr">
        <is>
          <t>CANCELADO</t>
        </is>
      </c>
      <c r="BN316" t="inlineStr">
        <is>
          <t>Si</t>
        </is>
      </c>
      <c r="BO316" s="117" t="n">
        <v>45868.49166666667</v>
      </c>
      <c r="BP316" t="inlineStr">
        <is>
          <t>Magaly Guevara Perez</t>
        </is>
      </c>
      <c r="BR316" t="n">
        <v>62</v>
      </c>
      <c r="BS316" t="inlineStr">
        <is>
          <t>18/08/2026 11:39</t>
        </is>
      </c>
      <c r="BT316" t="n">
        <v>0</v>
      </c>
      <c r="BX316" t="inlineStr">
        <is>
          <t>Cobranzas_2026.csv</t>
        </is>
      </c>
      <c r="BY316" t="n">
        <v>2026</v>
      </c>
      <c r="BZ316" t="inlineStr">
        <is>
          <t>01/01/2024</t>
        </is>
      </c>
      <c r="CA316" t="inlineStr">
        <is>
          <t>30/09/2031</t>
        </is>
      </c>
    </row>
    <row r="317">
      <c r="A317" t="inlineStr">
        <is>
          <t>RESIDENCIAL PRADA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Estacionamiento</t>
        </is>
      </c>
      <c r="F317" t="inlineStr">
        <is>
          <t>E 15</t>
        </is>
      </c>
      <c r="G317" s="39" t="n">
        <v>50500</v>
      </c>
      <c r="H317" s="39" t="n">
        <v>50500</v>
      </c>
      <c r="M317" s="39" t="n"/>
      <c r="N317" s="39" t="n"/>
      <c r="S317" s="39" t="n"/>
      <c r="T317" s="39" t="n"/>
      <c r="Y317" s="39" t="n"/>
      <c r="Z317" s="39" t="n"/>
      <c r="AA317" t="inlineStr">
        <is>
          <t>Ana Fabiola Alvarez Elias</t>
        </is>
      </c>
      <c r="AB317" t="inlineStr">
        <is>
          <t>06789211</t>
        </is>
      </c>
      <c r="AC317" t="inlineStr">
        <is>
          <t>Jr. Caraveli 968 Interior 103</t>
        </is>
      </c>
      <c r="AD317" t="n">
        <v>0</v>
      </c>
      <c r="AE317" t="inlineStr">
        <is>
          <t>986642025</t>
        </is>
      </c>
      <c r="AF317" t="inlineStr">
        <is>
          <t>anafabiola1@hotmail.com</t>
        </is>
      </c>
      <c r="AG317" t="inlineStr">
        <is>
          <t>LIMA</t>
        </is>
      </c>
      <c r="AH317" t="inlineStr">
        <is>
          <t>BREÑA</t>
        </is>
      </c>
      <c r="AI317" s="116" t="n">
        <v>46112</v>
      </c>
      <c r="AJ317" s="116" t="n">
        <v>46112</v>
      </c>
      <c r="AK317" t="inlineStr">
        <is>
          <t>SALDO FINANCIAR</t>
        </is>
      </c>
      <c r="AL317" t="n">
        <v>9</v>
      </c>
      <c r="AM317" t="n">
        <v>3000</v>
      </c>
      <c r="AN317" t="n">
        <v>0</v>
      </c>
      <c r="AO317" t="n">
        <v>0</v>
      </c>
      <c r="AP317" s="39" t="n">
        <v>3000</v>
      </c>
      <c r="AQ317" s="39" t="n">
        <v>3000</v>
      </c>
      <c r="AR317" s="39" t="n">
        <v>0</v>
      </c>
      <c r="AS317" t="n">
        <v>0</v>
      </c>
      <c r="AT317" t="inlineStr">
        <is>
          <t>Crédito Directo</t>
        </is>
      </c>
      <c r="AU317" t="inlineStr">
        <is>
          <t>Scotiabank Perú</t>
        </is>
      </c>
      <c r="AV317" t="inlineStr">
        <is>
          <t>0004071419</t>
        </is>
      </c>
      <c r="AW317" t="inlineStr">
        <is>
          <t>TRANSFERENCIA BANCARIA</t>
        </is>
      </c>
      <c r="AY317" t="inlineStr">
        <is>
          <t>7844655536372</t>
        </is>
      </c>
      <c r="AZ317" t="inlineStr">
        <is>
          <t>No</t>
        </is>
      </c>
      <c r="BB317" t="n">
        <v>4</v>
      </c>
      <c r="BC317" t="inlineStr">
        <is>
          <t>CANCELADO</t>
        </is>
      </c>
      <c r="BN317" t="inlineStr">
        <is>
          <t>Si</t>
        </is>
      </c>
      <c r="BO317" s="117" t="n">
        <v>45868.49166666667</v>
      </c>
      <c r="BP317" t="inlineStr">
        <is>
          <t>Magaly Guevara Perez</t>
        </is>
      </c>
      <c r="BR317" t="n">
        <v>62</v>
      </c>
      <c r="BS317" t="inlineStr">
        <is>
          <t>18/08/2026 11:40</t>
        </is>
      </c>
      <c r="BT317" t="n">
        <v>0</v>
      </c>
      <c r="BX317" t="inlineStr">
        <is>
          <t>Cobranzas_2026.csv</t>
        </is>
      </c>
      <c r="BY317" t="n">
        <v>2026</v>
      </c>
      <c r="BZ317" t="inlineStr">
        <is>
          <t>01/01/2024</t>
        </is>
      </c>
      <c r="CA317" t="inlineStr">
        <is>
          <t>30/09/2031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Estacionamiento</t>
        </is>
      </c>
      <c r="F318" t="inlineStr">
        <is>
          <t>E 15</t>
        </is>
      </c>
      <c r="G318" s="39" t="n">
        <v>50500</v>
      </c>
      <c r="H318" s="39" t="n">
        <v>50500</v>
      </c>
      <c r="M318" s="39" t="n"/>
      <c r="N318" s="39" t="n"/>
      <c r="S318" s="39" t="n"/>
      <c r="T318" s="39" t="n"/>
      <c r="Y318" s="39" t="n"/>
      <c r="Z318" s="39" t="n"/>
      <c r="AA318" t="inlineStr">
        <is>
          <t>Ana Fabiola Alvarez Elias</t>
        </is>
      </c>
      <c r="AB318" t="inlineStr">
        <is>
          <t>06789211</t>
        </is>
      </c>
      <c r="AC318" t="inlineStr">
        <is>
          <t>Jr. Caraveli 968 Interior 103</t>
        </is>
      </c>
      <c r="AD318" t="n">
        <v>0</v>
      </c>
      <c r="AE318" t="inlineStr">
        <is>
          <t>986642025</t>
        </is>
      </c>
      <c r="AF318" t="inlineStr">
        <is>
          <t>anafabiola1@hotmail.com</t>
        </is>
      </c>
      <c r="AG318" t="inlineStr">
        <is>
          <t>LIMA</t>
        </is>
      </c>
      <c r="AH318" t="inlineStr">
        <is>
          <t>BREÑA</t>
        </is>
      </c>
      <c r="AI318" s="116" t="n">
        <v>46144</v>
      </c>
      <c r="AJ318" s="116" t="n">
        <v>46144</v>
      </c>
      <c r="AK318" t="inlineStr">
        <is>
          <t>SALDO FINANCIAR</t>
        </is>
      </c>
      <c r="AL318" t="n">
        <v>10</v>
      </c>
      <c r="AM318" t="n">
        <v>3000</v>
      </c>
      <c r="AN318" t="n">
        <v>0</v>
      </c>
      <c r="AO318" t="n">
        <v>0</v>
      </c>
      <c r="AP318" s="39" t="n">
        <v>3000</v>
      </c>
      <c r="AQ318" s="39" t="n">
        <v>3000</v>
      </c>
      <c r="AR318" s="39" t="n">
        <v>0</v>
      </c>
      <c r="AS318" t="n">
        <v>0</v>
      </c>
      <c r="AT318" t="inlineStr">
        <is>
          <t>Crédito Directo</t>
        </is>
      </c>
      <c r="AU318" t="inlineStr">
        <is>
          <t>Scotiabank Perú</t>
        </is>
      </c>
      <c r="AV318" t="inlineStr">
        <is>
          <t>0004071419</t>
        </is>
      </c>
      <c r="AW318" t="inlineStr">
        <is>
          <t>TRANSFERENCIA BANCARIA</t>
        </is>
      </c>
      <c r="AY318" t="inlineStr">
        <is>
          <t>U101167</t>
        </is>
      </c>
      <c r="AZ318" t="inlineStr">
        <is>
          <t>No</t>
        </is>
      </c>
      <c r="BB318" t="n">
        <v>4</v>
      </c>
      <c r="BC318" t="inlineStr">
        <is>
          <t>CANCELADO</t>
        </is>
      </c>
      <c r="BN318" t="inlineStr">
        <is>
          <t>Si</t>
        </is>
      </c>
      <c r="BO318" s="117" t="n">
        <v>45868.49166666667</v>
      </c>
      <c r="BP318" t="inlineStr">
        <is>
          <t>Magaly Guevara Perez</t>
        </is>
      </c>
      <c r="BR318" t="n">
        <v>62</v>
      </c>
      <c r="BS318" t="inlineStr">
        <is>
          <t>18/08/2026 11:41</t>
        </is>
      </c>
      <c r="BT318" t="n">
        <v>0</v>
      </c>
      <c r="BX318" t="inlineStr">
        <is>
          <t>Cobranzas_2026.csv</t>
        </is>
      </c>
      <c r="BY318" t="n">
        <v>2026</v>
      </c>
      <c r="BZ318" t="inlineStr">
        <is>
          <t>01/01/2024</t>
        </is>
      </c>
      <c r="CA318" t="inlineStr">
        <is>
          <t>30/09/2031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Estacionamiento</t>
        </is>
      </c>
      <c r="F319" t="inlineStr">
        <is>
          <t>E 15</t>
        </is>
      </c>
      <c r="G319" s="39" t="n">
        <v>50500</v>
      </c>
      <c r="H319" s="39" t="n">
        <v>50500</v>
      </c>
      <c r="M319" s="39" t="n"/>
      <c r="N319" s="39" t="n"/>
      <c r="S319" s="39" t="n"/>
      <c r="T319" s="39" t="n"/>
      <c r="Y319" s="39" t="n"/>
      <c r="Z319" s="39" t="n"/>
      <c r="AA319" t="inlineStr">
        <is>
          <t>Ana Fabiola Alvarez Elias</t>
        </is>
      </c>
      <c r="AB319" t="inlineStr">
        <is>
          <t>06789211</t>
        </is>
      </c>
      <c r="AC319" t="inlineStr">
        <is>
          <t>Jr. Caraveli 968 Interior 103</t>
        </is>
      </c>
      <c r="AD319" t="n">
        <v>0</v>
      </c>
      <c r="AE319" t="inlineStr">
        <is>
          <t>986642025</t>
        </is>
      </c>
      <c r="AF319" t="inlineStr">
        <is>
          <t>anafabiola1@hotmail.com</t>
        </is>
      </c>
      <c r="AG319" t="inlineStr">
        <is>
          <t>LIMA</t>
        </is>
      </c>
      <c r="AH319" t="inlineStr">
        <is>
          <t>BREÑA</t>
        </is>
      </c>
      <c r="AI319" s="116" t="n">
        <v>46175</v>
      </c>
      <c r="AJ319" s="116" t="n">
        <v>46175</v>
      </c>
      <c r="AK319" t="inlineStr">
        <is>
          <t>SALDO FINANCIAR</t>
        </is>
      </c>
      <c r="AL319" t="n">
        <v>11</v>
      </c>
      <c r="AM319" t="n">
        <v>3000</v>
      </c>
      <c r="AN319" t="n">
        <v>0</v>
      </c>
      <c r="AO319" t="n">
        <v>0</v>
      </c>
      <c r="AP319" s="39" t="n">
        <v>3000</v>
      </c>
      <c r="AQ319" s="39" t="n">
        <v>3000</v>
      </c>
      <c r="AR319" s="39" t="n">
        <v>0</v>
      </c>
      <c r="AS319" t="n">
        <v>0</v>
      </c>
      <c r="AT319" t="inlineStr">
        <is>
          <t>Crédito Directo</t>
        </is>
      </c>
      <c r="AU319" t="inlineStr">
        <is>
          <t>Scotiabank Perú</t>
        </is>
      </c>
      <c r="AV319" t="inlineStr">
        <is>
          <t>0004071419</t>
        </is>
      </c>
      <c r="AW319" t="inlineStr">
        <is>
          <t>TRANSFERENCIA BANCARIA</t>
        </is>
      </c>
      <c r="AY319" t="inlineStr">
        <is>
          <t>u24436</t>
        </is>
      </c>
      <c r="AZ319" t="inlineStr">
        <is>
          <t>No</t>
        </is>
      </c>
      <c r="BB319" t="n">
        <v>4</v>
      </c>
      <c r="BC319" t="inlineStr">
        <is>
          <t>CANCELADO</t>
        </is>
      </c>
      <c r="BN319" t="inlineStr">
        <is>
          <t>Si</t>
        </is>
      </c>
      <c r="BO319" s="117" t="n">
        <v>45868.49166666667</v>
      </c>
      <c r="BP319" t="inlineStr">
        <is>
          <t>Magaly Guevara Perez</t>
        </is>
      </c>
      <c r="BR319" t="n">
        <v>62</v>
      </c>
      <c r="BS319" t="inlineStr">
        <is>
          <t>18/08/2026 11:42</t>
        </is>
      </c>
      <c r="BT319" t="n">
        <v>0</v>
      </c>
      <c r="BX319" t="inlineStr">
        <is>
          <t>Cobranzas_2026.csv</t>
        </is>
      </c>
      <c r="BY319" t="n">
        <v>2026</v>
      </c>
      <c r="BZ319" t="inlineStr">
        <is>
          <t>01/01/2024</t>
        </is>
      </c>
      <c r="CA319" t="inlineStr">
        <is>
          <t>30/09/2031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Estacionamiento</t>
        </is>
      </c>
      <c r="F320" t="inlineStr">
        <is>
          <t>E 15</t>
        </is>
      </c>
      <c r="G320" s="39" t="n">
        <v>50500</v>
      </c>
      <c r="H320" s="39" t="n">
        <v>50500</v>
      </c>
      <c r="M320" s="39" t="n"/>
      <c r="N320" s="39" t="n"/>
      <c r="S320" s="39" t="n"/>
      <c r="T320" s="39" t="n"/>
      <c r="Y320" s="39" t="n"/>
      <c r="Z320" s="39" t="n"/>
      <c r="AA320" t="inlineStr">
        <is>
          <t>Ana Fabiola Alvarez Elias</t>
        </is>
      </c>
      <c r="AB320" t="inlineStr">
        <is>
          <t>06789211</t>
        </is>
      </c>
      <c r="AC320" t="inlineStr">
        <is>
          <t>Jr. Caraveli 968 Interior 103</t>
        </is>
      </c>
      <c r="AD320" t="n">
        <v>0</v>
      </c>
      <c r="AE320" t="inlineStr">
        <is>
          <t>986642025</t>
        </is>
      </c>
      <c r="AF320" t="inlineStr">
        <is>
          <t>anafabiola1@hotmail.com</t>
        </is>
      </c>
      <c r="AG320" t="inlineStr">
        <is>
          <t>LIMA</t>
        </is>
      </c>
      <c r="AH320" t="inlineStr">
        <is>
          <t>BREÑA</t>
        </is>
      </c>
      <c r="AI320" s="116" t="n">
        <v>46204</v>
      </c>
      <c r="AJ320" s="116" t="n">
        <v>46230</v>
      </c>
      <c r="AK320" t="inlineStr">
        <is>
          <t>SALDO FINANCIAR</t>
        </is>
      </c>
      <c r="AL320" t="n">
        <v>12</v>
      </c>
      <c r="AM320" t="n">
        <v>7500</v>
      </c>
      <c r="AN320" t="n">
        <v>0</v>
      </c>
      <c r="AO320" t="n">
        <v>0</v>
      </c>
      <c r="AP320" s="39" t="n">
        <v>7500</v>
      </c>
      <c r="AQ320" s="39" t="n">
        <v>7500</v>
      </c>
      <c r="AR320" s="39" t="n">
        <v>0</v>
      </c>
      <c r="AS320" t="n">
        <v>0</v>
      </c>
      <c r="AT320" t="inlineStr">
        <is>
          <t>Crédito Directo</t>
        </is>
      </c>
      <c r="AU320" t="inlineStr">
        <is>
          <t>Scotiabank Perú</t>
        </is>
      </c>
      <c r="AV320" t="inlineStr">
        <is>
          <t>0004071419</t>
        </is>
      </c>
      <c r="AW320" t="inlineStr">
        <is>
          <t>TRANSFERENCIA BANCARIA</t>
        </is>
      </c>
      <c r="AY320" t="inlineStr">
        <is>
          <t>7844655569258</t>
        </is>
      </c>
      <c r="AZ320" t="inlineStr">
        <is>
          <t>No</t>
        </is>
      </c>
      <c r="BB320" t="n">
        <v>4</v>
      </c>
      <c r="BC320" t="inlineStr">
        <is>
          <t>CANCELADO</t>
        </is>
      </c>
      <c r="BN320" t="inlineStr">
        <is>
          <t>Si</t>
        </is>
      </c>
      <c r="BO320" s="117" t="n">
        <v>45868.49166666667</v>
      </c>
      <c r="BP320" t="inlineStr">
        <is>
          <t>Magaly Guevara Perez</t>
        </is>
      </c>
      <c r="BR320" t="n">
        <v>62</v>
      </c>
      <c r="BS320" t="inlineStr">
        <is>
          <t>18/08/2026 11:42</t>
        </is>
      </c>
      <c r="BT320" t="n">
        <v>0</v>
      </c>
      <c r="BX320" t="inlineStr">
        <is>
          <t>Cobranzas_2026.csv</t>
        </is>
      </c>
      <c r="BY320" t="n">
        <v>2026</v>
      </c>
      <c r="BZ320" t="inlineStr">
        <is>
          <t>01/01/2024</t>
        </is>
      </c>
      <c r="CA320" t="inlineStr">
        <is>
          <t>30/09/2031</t>
        </is>
      </c>
    </row>
    <row r="321">
      <c r="A321" t="inlineStr">
        <is>
          <t>RESIDENCIAL VENECIA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704</t>
        </is>
      </c>
      <c r="G321" s="39" t="n">
        <v>438000</v>
      </c>
      <c r="H321" s="39" t="n">
        <v>438000</v>
      </c>
      <c r="M321" s="39" t="n"/>
      <c r="N321" s="39" t="n"/>
      <c r="S321" s="39" t="n"/>
      <c r="T321" s="39" t="n"/>
      <c r="Y321" s="39" t="n"/>
      <c r="Z321" s="39" t="n"/>
      <c r="AA321" t="inlineStr">
        <is>
          <t>ANAMELVA JULIETA AQUISE TIZNADO</t>
        </is>
      </c>
      <c r="AB321" t="inlineStr">
        <is>
          <t>40917666</t>
        </is>
      </c>
      <c r="AC321" t="inlineStr">
        <is>
          <t>Urb. Aziruni Ciudad Jardin Mz. G2 Lt 04</t>
        </is>
      </c>
      <c r="AD321" t="n">
        <v>0</v>
      </c>
      <c r="AE321" t="inlineStr">
        <is>
          <t>987249596</t>
        </is>
      </c>
      <c r="AF321" t="inlineStr">
        <is>
          <t>anamelvaaquise@gmail.com</t>
        </is>
      </c>
      <c r="AG321" t="inlineStr">
        <is>
          <t>PUNO</t>
        </is>
      </c>
      <c r="AH321" t="inlineStr">
        <is>
          <t>PUNO</t>
        </is>
      </c>
      <c r="AI321" s="116" t="n">
        <v>46112</v>
      </c>
      <c r="AJ321" s="116" t="n">
        <v>46112</v>
      </c>
      <c r="AK321" t="inlineStr">
        <is>
          <t>CUOTA INICIAL</t>
        </is>
      </c>
      <c r="AL321" t="n">
        <v>2</v>
      </c>
      <c r="AM321" t="n">
        <v>20800</v>
      </c>
      <c r="AN321" t="n">
        <v>0</v>
      </c>
      <c r="AO321" t="n">
        <v>0</v>
      </c>
      <c r="AP321" s="39" t="n">
        <v>20800</v>
      </c>
      <c r="AQ321" s="39" t="n">
        <v>20800</v>
      </c>
      <c r="AR321" s="39" t="n">
        <v>0</v>
      </c>
      <c r="AS321" t="n">
        <v>0</v>
      </c>
      <c r="AT321" t="inlineStr">
        <is>
          <t>Crédito Hipotecario</t>
        </is>
      </c>
      <c r="AU321" t="inlineStr">
        <is>
          <t>Scotiabank Perú</t>
        </is>
      </c>
      <c r="AV321" t="inlineStr">
        <is>
          <t>0004071419</t>
        </is>
      </c>
      <c r="AW321" t="inlineStr">
        <is>
          <t>CHEQUE DE GERENCIA</t>
        </is>
      </c>
      <c r="AX321" t="inlineStr">
        <is>
          <t>40917666</t>
        </is>
      </c>
      <c r="AY321" t="inlineStr">
        <is>
          <t>16944610</t>
        </is>
      </c>
      <c r="AZ321" t="inlineStr">
        <is>
          <t>No</t>
        </is>
      </c>
      <c r="BA321" t="inlineStr">
        <is>
          <t>NO PRECISA</t>
        </is>
      </c>
      <c r="BB321" t="n">
        <v>4</v>
      </c>
      <c r="BC321" t="inlineStr">
        <is>
          <t>CANCELADO</t>
        </is>
      </c>
      <c r="BN321" t="inlineStr">
        <is>
          <t>Si</t>
        </is>
      </c>
      <c r="BO321" s="117" t="n">
        <v>46178.35069444445</v>
      </c>
      <c r="BP321" t="inlineStr">
        <is>
          <t>Magaly Guevara Perez</t>
        </is>
      </c>
      <c r="BR321" t="n">
        <v>14</v>
      </c>
      <c r="BS321" t="inlineStr">
        <is>
          <t>04/06/2026 09:50</t>
        </is>
      </c>
      <c r="BT321" t="n">
        <v>0</v>
      </c>
      <c r="BX321" t="inlineStr">
        <is>
          <t>Cobranzas_2026.csv</t>
        </is>
      </c>
      <c r="BY321" t="n">
        <v>2026</v>
      </c>
      <c r="BZ321" t="inlineStr">
        <is>
          <t>01/01/2024</t>
        </is>
      </c>
      <c r="CA321" t="inlineStr">
        <is>
          <t>30/09/2031</t>
        </is>
      </c>
    </row>
    <row r="322">
      <c r="A322" t="inlineStr">
        <is>
          <t>RESIDENCIAL VENECIA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704</t>
        </is>
      </c>
      <c r="G322" s="39" t="n">
        <v>438000</v>
      </c>
      <c r="H322" s="39" t="n">
        <v>438000</v>
      </c>
      <c r="M322" s="39" t="n"/>
      <c r="N322" s="39" t="n"/>
      <c r="S322" s="39" t="n"/>
      <c r="T322" s="39" t="n"/>
      <c r="Y322" s="39" t="n"/>
      <c r="Z322" s="39" t="n"/>
      <c r="AA322" t="inlineStr">
        <is>
          <t>ANAMELVA JULIETA AQUISE TIZNADO</t>
        </is>
      </c>
      <c r="AB322" t="inlineStr">
        <is>
          <t>40917666</t>
        </is>
      </c>
      <c r="AC322" t="inlineStr">
        <is>
          <t>Urb. Aziruni Ciudad Jardin Mz. G2 Lt 04</t>
        </is>
      </c>
      <c r="AD322" t="n">
        <v>0</v>
      </c>
      <c r="AE322" t="inlineStr">
        <is>
          <t>987249596</t>
        </is>
      </c>
      <c r="AF322" t="inlineStr">
        <is>
          <t>anamelvaaquise@gmail.com</t>
        </is>
      </c>
      <c r="AG322" t="inlineStr">
        <is>
          <t>PUNO</t>
        </is>
      </c>
      <c r="AH322" t="inlineStr">
        <is>
          <t>PUNO</t>
        </is>
      </c>
      <c r="AI322" s="116" t="n">
        <v>46203</v>
      </c>
      <c r="AJ322" s="116" t="n">
        <v>46172</v>
      </c>
      <c r="AK322" t="inlineStr">
        <is>
          <t>SALDO FINANCIAR</t>
        </is>
      </c>
      <c r="AL322" t="n">
        <v>1</v>
      </c>
      <c r="AM322" t="n">
        <v>394200</v>
      </c>
      <c r="AN322" t="n">
        <v>0</v>
      </c>
      <c r="AO322" t="n">
        <v>0</v>
      </c>
      <c r="AP322" s="39" t="n">
        <v>394200</v>
      </c>
      <c r="AQ322" s="39" t="n">
        <v>394200</v>
      </c>
      <c r="AR322" s="39" t="n">
        <v>0</v>
      </c>
      <c r="AS322" t="n">
        <v>0</v>
      </c>
      <c r="AT322" t="inlineStr">
        <is>
          <t>Crédito Hipotecario</t>
        </is>
      </c>
      <c r="AU322" t="inlineStr">
        <is>
          <t>Scotiabank Perú</t>
        </is>
      </c>
      <c r="AV322" t="inlineStr">
        <is>
          <t>0004071419</t>
        </is>
      </c>
      <c r="AW322" t="inlineStr">
        <is>
          <t>TRANSFERENCIA BANCARIA</t>
        </is>
      </c>
      <c r="AZ322" t="inlineStr">
        <is>
          <t>No</t>
        </is>
      </c>
      <c r="BB322" t="n">
        <v>4</v>
      </c>
      <c r="BC322" t="inlineStr">
        <is>
          <t>CANCELADO</t>
        </is>
      </c>
      <c r="BN322" t="inlineStr">
        <is>
          <t>Si</t>
        </is>
      </c>
      <c r="BO322" s="117" t="n">
        <v>46178.35069444445</v>
      </c>
      <c r="BP322" t="inlineStr">
        <is>
          <t>Magaly Guevara Perez</t>
        </is>
      </c>
      <c r="BR322" t="n">
        <v>14</v>
      </c>
      <c r="BS322" t="inlineStr">
        <is>
          <t>19/08/2026 11:06</t>
        </is>
      </c>
      <c r="BT322" t="n">
        <v>0</v>
      </c>
      <c r="BX322" t="inlineStr">
        <is>
          <t>Cobranzas_2026.csv</t>
        </is>
      </c>
      <c r="BY322" t="n">
        <v>2026</v>
      </c>
      <c r="BZ322" t="inlineStr">
        <is>
          <t>01/01/2024</t>
        </is>
      </c>
      <c r="CA322" t="inlineStr">
        <is>
          <t>30/09/2031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39" t="n">
        <v>675000</v>
      </c>
      <c r="H323" s="39" t="n">
        <v>675000</v>
      </c>
      <c r="I323" t="inlineStr">
        <is>
          <t>Edificio</t>
        </is>
      </c>
      <c r="J323" t="inlineStr">
        <is>
          <t>A</t>
        </is>
      </c>
      <c r="K323" t="inlineStr">
        <is>
          <t>Estacionamiento</t>
        </is>
      </c>
      <c r="L323" t="inlineStr">
        <is>
          <t>E 11 - D 08</t>
        </is>
      </c>
      <c r="M323" s="39" t="n">
        <v>60400</v>
      </c>
      <c r="N323" s="39" t="n">
        <v>60400</v>
      </c>
      <c r="S323" s="39" t="n"/>
      <c r="T323" s="39" t="n"/>
      <c r="Y323" s="39" t="n"/>
      <c r="Z323" s="39" t="n"/>
      <c r="AA323" t="inlineStr">
        <is>
          <t>ANDEAN AYNI TRAVEL AGENCIA DE VIAJES Y TRANSPORTE EIRL</t>
        </is>
      </c>
      <c r="AB323" t="inlineStr">
        <is>
          <t>20610697403</t>
        </is>
      </c>
      <c r="AC323" t="inlineStr">
        <is>
          <t>JR. DANTE NAVA NRO. 310 BAR. NUEVA UNVERSIDAD</t>
        </is>
      </c>
      <c r="AD323" t="n">
        <v>0</v>
      </c>
      <c r="AE323" t="inlineStr">
        <is>
          <t>951923088</t>
        </is>
      </c>
      <c r="AF323" t="inlineStr">
        <is>
          <t>operacionesjudith@gmail.com</t>
        </is>
      </c>
      <c r="AG323" t="inlineStr">
        <is>
          <t>PUNO</t>
        </is>
      </c>
      <c r="AH323" t="inlineStr">
        <is>
          <t>PUNO</t>
        </is>
      </c>
      <c r="AI323" s="116" t="n">
        <v>46039</v>
      </c>
      <c r="AJ323" s="116" t="n">
        <v>46010</v>
      </c>
      <c r="AK323" t="inlineStr">
        <is>
          <t>SALDO FINANCIAR</t>
        </is>
      </c>
      <c r="AL323" t="n">
        <v>2</v>
      </c>
      <c r="AM323" t="n">
        <v>66057.14</v>
      </c>
      <c r="AN323" t="n">
        <v>0</v>
      </c>
      <c r="AO323" t="n">
        <v>0</v>
      </c>
      <c r="AP323" s="39" t="n">
        <v>66057.14</v>
      </c>
      <c r="AQ323" s="39" t="n">
        <v>66057.14</v>
      </c>
      <c r="AR323" s="39" t="n">
        <v>0</v>
      </c>
      <c r="AS323" t="n">
        <v>0</v>
      </c>
      <c r="AT323" t="inlineStr">
        <is>
          <t>Crédito Directo</t>
        </is>
      </c>
      <c r="AU323" t="inlineStr">
        <is>
          <t>Scotiabank Perú</t>
        </is>
      </c>
      <c r="AV323" t="inlineStr">
        <is>
          <t>000-2768484</t>
        </is>
      </c>
      <c r="AW323" t="inlineStr">
        <is>
          <t>TRANSFERENCIA BANCARIA</t>
        </is>
      </c>
      <c r="AY323" t="inlineStr">
        <is>
          <t>0780435</t>
        </is>
      </c>
      <c r="AZ323" t="inlineStr">
        <is>
          <t>Si</t>
        </is>
      </c>
      <c r="BB323" t="n">
        <v>3.38</v>
      </c>
      <c r="BC323" t="inlineStr">
        <is>
          <t>CANCELADO</t>
        </is>
      </c>
      <c r="BN323" t="inlineStr">
        <is>
          <t>Si</t>
        </is>
      </c>
      <c r="BO323" s="117" t="n">
        <v>45985.73819444444</v>
      </c>
      <c r="BP323" t="inlineStr">
        <is>
          <t>Magaly Guevara Perez</t>
        </is>
      </c>
      <c r="BR323" t="n">
        <v>28</v>
      </c>
      <c r="BS323" t="inlineStr">
        <is>
          <t>09/06/2026 09:47</t>
        </is>
      </c>
      <c r="BT323" t="n">
        <v>0</v>
      </c>
      <c r="BX323" t="inlineStr">
        <is>
          <t>Cobranzas_2026.csv</t>
        </is>
      </c>
      <c r="BY323" t="n">
        <v>2026</v>
      </c>
      <c r="BZ323" t="inlineStr">
        <is>
          <t>01/01/2024</t>
        </is>
      </c>
      <c r="CA323" t="inlineStr">
        <is>
          <t>30/09/2031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Departamento</t>
        </is>
      </c>
      <c r="F324" t="inlineStr">
        <is>
          <t>1003</t>
        </is>
      </c>
      <c r="G324" s="39" t="n">
        <v>675000</v>
      </c>
      <c r="H324" s="39" t="n">
        <v>675000</v>
      </c>
      <c r="I324" t="inlineStr">
        <is>
          <t>Edificio</t>
        </is>
      </c>
      <c r="J324" t="inlineStr">
        <is>
          <t>A</t>
        </is>
      </c>
      <c r="K324" t="inlineStr">
        <is>
          <t>Estacionamiento</t>
        </is>
      </c>
      <c r="L324" t="inlineStr">
        <is>
          <t>E 11 - D 08</t>
        </is>
      </c>
      <c r="M324" s="39" t="n">
        <v>60400</v>
      </c>
      <c r="N324" s="39" t="n">
        <v>60400</v>
      </c>
      <c r="S324" s="39" t="n"/>
      <c r="T324" s="39" t="n"/>
      <c r="Y324" s="39" t="n"/>
      <c r="Z324" s="39" t="n"/>
      <c r="AA324" t="inlineStr">
        <is>
          <t>ANDEAN AYNI TRAVEL AGENCIA DE VIAJES Y TRANSPORTE EIRL</t>
        </is>
      </c>
      <c r="AB324" t="inlineStr">
        <is>
          <t>20610697403</t>
        </is>
      </c>
      <c r="AC324" t="inlineStr">
        <is>
          <t>JR. DANTE NAVA NRO. 310 BAR. NUEVA UNVERSIDAD</t>
        </is>
      </c>
      <c r="AD324" t="n">
        <v>0</v>
      </c>
      <c r="AE324" t="inlineStr">
        <is>
          <t>951923088</t>
        </is>
      </c>
      <c r="AF324" t="inlineStr">
        <is>
          <t>operacionesjudith@gmail.com</t>
        </is>
      </c>
      <c r="AG324" t="inlineStr">
        <is>
          <t>PUNO</t>
        </is>
      </c>
      <c r="AH324" t="inlineStr">
        <is>
          <t>PUNO</t>
        </is>
      </c>
      <c r="AI324" s="116" t="n">
        <v>46070</v>
      </c>
      <c r="AJ324" s="116" t="n">
        <v>46065</v>
      </c>
      <c r="AK324" t="inlineStr">
        <is>
          <t>SALDO FINANCIAR</t>
        </is>
      </c>
      <c r="AL324" t="n">
        <v>3</v>
      </c>
      <c r="AM324" t="n">
        <v>66057.14</v>
      </c>
      <c r="AN324" t="n">
        <v>0</v>
      </c>
      <c r="AO324" t="n">
        <v>0</v>
      </c>
      <c r="AP324" s="39" t="n">
        <v>66057.14</v>
      </c>
      <c r="AQ324" s="39" t="n">
        <v>66057.14</v>
      </c>
      <c r="AR324" s="39" t="n">
        <v>0</v>
      </c>
      <c r="AS324" t="n">
        <v>0</v>
      </c>
      <c r="AT324" t="inlineStr">
        <is>
          <t>Crédito Directo</t>
        </is>
      </c>
      <c r="AU324" t="inlineStr">
        <is>
          <t>Scotiabank Perú</t>
        </is>
      </c>
      <c r="AV324" t="inlineStr">
        <is>
          <t>000-2768484</t>
        </is>
      </c>
      <c r="AW324" t="inlineStr">
        <is>
          <t>TRANSFERENCIA BANCARIA</t>
        </is>
      </c>
      <c r="AY324" t="inlineStr">
        <is>
          <t>0623921</t>
        </is>
      </c>
      <c r="AZ324" t="inlineStr">
        <is>
          <t>Si</t>
        </is>
      </c>
      <c r="BB324" t="n">
        <v>3.38</v>
      </c>
      <c r="BC324" t="inlineStr">
        <is>
          <t>CANCELADO</t>
        </is>
      </c>
      <c r="BN324" t="inlineStr">
        <is>
          <t>Si</t>
        </is>
      </c>
      <c r="BO324" s="117" t="n">
        <v>45985.73819444444</v>
      </c>
      <c r="BP324" t="inlineStr">
        <is>
          <t>Magaly Guevara Perez</t>
        </is>
      </c>
      <c r="BR324" t="n">
        <v>28</v>
      </c>
      <c r="BS324" t="inlineStr">
        <is>
          <t>09/06/2026 09:48</t>
        </is>
      </c>
      <c r="BT324" t="n">
        <v>0</v>
      </c>
      <c r="BX324" t="inlineStr">
        <is>
          <t>Cobranzas_2026.csv</t>
        </is>
      </c>
      <c r="BY324" t="n">
        <v>2026</v>
      </c>
      <c r="BZ324" t="inlineStr">
        <is>
          <t>01/01/2024</t>
        </is>
      </c>
      <c r="CA324" t="inlineStr">
        <is>
          <t>30/09/2031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Departamento</t>
        </is>
      </c>
      <c r="F325" t="inlineStr">
        <is>
          <t>1003</t>
        </is>
      </c>
      <c r="G325" s="39" t="n">
        <v>675000</v>
      </c>
      <c r="H325" s="39" t="n">
        <v>675000</v>
      </c>
      <c r="I325" t="inlineStr">
        <is>
          <t>Edificio</t>
        </is>
      </c>
      <c r="J325" t="inlineStr">
        <is>
          <t>A</t>
        </is>
      </c>
      <c r="K325" t="inlineStr">
        <is>
          <t>Estacionamiento</t>
        </is>
      </c>
      <c r="L325" t="inlineStr">
        <is>
          <t>E 11 - D 08</t>
        </is>
      </c>
      <c r="M325" s="39" t="n">
        <v>60400</v>
      </c>
      <c r="N325" s="39" t="n">
        <v>60400</v>
      </c>
      <c r="S325" s="39" t="n"/>
      <c r="T325" s="39" t="n"/>
      <c r="Y325" s="39" t="n"/>
      <c r="Z325" s="39" t="n"/>
      <c r="AA325" t="inlineStr">
        <is>
          <t>ANDEAN AYNI TRAVEL AGENCIA DE VIAJES Y TRANSPORTE EIRL</t>
        </is>
      </c>
      <c r="AB325" t="inlineStr">
        <is>
          <t>20610697403</t>
        </is>
      </c>
      <c r="AC325" t="inlineStr">
        <is>
          <t>JR. DANTE NAVA NRO. 310 BAR. NUEVA UNVERSIDAD</t>
        </is>
      </c>
      <c r="AD325" t="n">
        <v>0</v>
      </c>
      <c r="AE325" t="inlineStr">
        <is>
          <t>951923088</t>
        </is>
      </c>
      <c r="AF325" t="inlineStr">
        <is>
          <t>operacionesjudith@gmail.com</t>
        </is>
      </c>
      <c r="AG325" t="inlineStr">
        <is>
          <t>PUNO</t>
        </is>
      </c>
      <c r="AH325" t="inlineStr">
        <is>
          <t>PUNO</t>
        </is>
      </c>
      <c r="AI325" s="116" t="n">
        <v>46098</v>
      </c>
      <c r="AJ325" s="116" t="n">
        <v>46065</v>
      </c>
      <c r="AK325" t="inlineStr">
        <is>
          <t>SALDO FINANCIAR</t>
        </is>
      </c>
      <c r="AL325" t="n">
        <v>4</v>
      </c>
      <c r="AM325" t="n">
        <v>66057.14</v>
      </c>
      <c r="AN325" t="n">
        <v>0</v>
      </c>
      <c r="AO325" t="n">
        <v>0</v>
      </c>
      <c r="AP325" s="39" t="n">
        <v>66057.14</v>
      </c>
      <c r="AQ325" s="39" t="n">
        <v>66057.14</v>
      </c>
      <c r="AR325" s="39" t="n">
        <v>0</v>
      </c>
      <c r="AS325" t="n">
        <v>0</v>
      </c>
      <c r="AT325" t="inlineStr">
        <is>
          <t>Crédito Directo</t>
        </is>
      </c>
      <c r="AU325" t="inlineStr">
        <is>
          <t>Scotiabank Perú</t>
        </is>
      </c>
      <c r="AV325" t="inlineStr">
        <is>
          <t>000-2768484</t>
        </is>
      </c>
      <c r="AW325" t="inlineStr">
        <is>
          <t>TRANSFERENCIA BANCARIA</t>
        </is>
      </c>
      <c r="AY325" t="inlineStr">
        <is>
          <t>0623921</t>
        </is>
      </c>
      <c r="AZ325" t="inlineStr">
        <is>
          <t>Si</t>
        </is>
      </c>
      <c r="BB325" t="n">
        <v>3.38</v>
      </c>
      <c r="BC325" t="inlineStr">
        <is>
          <t>CANCELADO</t>
        </is>
      </c>
      <c r="BN325" t="inlineStr">
        <is>
          <t>Si</t>
        </is>
      </c>
      <c r="BO325" s="117" t="n">
        <v>45985.73819444444</v>
      </c>
      <c r="BP325" t="inlineStr">
        <is>
          <t>Magaly Guevara Perez</t>
        </is>
      </c>
      <c r="BR325" t="n">
        <v>28</v>
      </c>
      <c r="BS325" t="inlineStr">
        <is>
          <t>09/06/2026 09:48</t>
        </is>
      </c>
      <c r="BT325" t="n">
        <v>0</v>
      </c>
      <c r="BX325" t="inlineStr">
        <is>
          <t>Cobranzas_2026.csv</t>
        </is>
      </c>
      <c r="BY325" t="n">
        <v>2026</v>
      </c>
      <c r="BZ325" t="inlineStr">
        <is>
          <t>01/01/2024</t>
        </is>
      </c>
      <c r="CA325" t="inlineStr">
        <is>
          <t>30/09/2031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Departamento</t>
        </is>
      </c>
      <c r="F326" t="inlineStr">
        <is>
          <t>1003</t>
        </is>
      </c>
      <c r="G326" s="39" t="n">
        <v>675000</v>
      </c>
      <c r="H326" s="39" t="n">
        <v>675000</v>
      </c>
      <c r="I326" t="inlineStr">
        <is>
          <t>Edificio</t>
        </is>
      </c>
      <c r="J326" t="inlineStr">
        <is>
          <t>A</t>
        </is>
      </c>
      <c r="K326" t="inlineStr">
        <is>
          <t>Estacionamiento</t>
        </is>
      </c>
      <c r="L326" t="inlineStr">
        <is>
          <t>E 11 - D 08</t>
        </is>
      </c>
      <c r="M326" s="39" t="n">
        <v>60400</v>
      </c>
      <c r="N326" s="39" t="n">
        <v>60400</v>
      </c>
      <c r="S326" s="39" t="n"/>
      <c r="T326" s="39" t="n"/>
      <c r="Y326" s="39" t="n"/>
      <c r="Z326" s="39" t="n"/>
      <c r="AA326" t="inlineStr">
        <is>
          <t>ANDEAN AYNI TRAVEL AGENCIA DE VIAJES Y TRANSPORTE EIRL</t>
        </is>
      </c>
      <c r="AB326" t="inlineStr">
        <is>
          <t>20610697403</t>
        </is>
      </c>
      <c r="AC326" t="inlineStr">
        <is>
          <t>JR. DANTE NAVA NRO. 310 BAR. NUEVA UNVERSIDAD</t>
        </is>
      </c>
      <c r="AD326" t="n">
        <v>0</v>
      </c>
      <c r="AE326" t="inlineStr">
        <is>
          <t>951923088</t>
        </is>
      </c>
      <c r="AF326" t="inlineStr">
        <is>
          <t>operacionesjudith@gmail.com</t>
        </is>
      </c>
      <c r="AG326" t="inlineStr">
        <is>
          <t>PUNO</t>
        </is>
      </c>
      <c r="AH326" t="inlineStr">
        <is>
          <t>PUNO</t>
        </is>
      </c>
      <c r="AI326" s="116" t="n">
        <v>46129</v>
      </c>
      <c r="AJ326" s="116" t="n">
        <v>46171</v>
      </c>
      <c r="AK326" t="inlineStr">
        <is>
          <t>SALDO FINANCIAR</t>
        </is>
      </c>
      <c r="AL326" t="n">
        <v>5</v>
      </c>
      <c r="AM326" t="n">
        <v>66057.14</v>
      </c>
      <c r="AN326" t="n">
        <v>0</v>
      </c>
      <c r="AO326" t="n">
        <v>0</v>
      </c>
      <c r="AP326" s="39" t="n">
        <v>66057.14</v>
      </c>
      <c r="AQ326" s="39" t="n">
        <v>66057.14</v>
      </c>
      <c r="AR326" s="39" t="n">
        <v>0</v>
      </c>
      <c r="AS326" t="n">
        <v>0</v>
      </c>
      <c r="AT326" t="inlineStr">
        <is>
          <t>Crédito Directo</t>
        </is>
      </c>
      <c r="AU326" t="inlineStr">
        <is>
          <t>Scotiabank Perú</t>
        </is>
      </c>
      <c r="AV326" t="inlineStr">
        <is>
          <t>000-2768484</t>
        </is>
      </c>
      <c r="AW326" t="inlineStr">
        <is>
          <t>TRANSFERENCIA BANCARIA</t>
        </is>
      </c>
      <c r="AY326" t="inlineStr">
        <is>
          <t>0756802</t>
        </is>
      </c>
      <c r="AZ326" t="inlineStr">
        <is>
          <t>Si</t>
        </is>
      </c>
      <c r="BB326" t="n">
        <v>3.38</v>
      </c>
      <c r="BC326" t="inlineStr">
        <is>
          <t>CANCELADO</t>
        </is>
      </c>
      <c r="BN326" t="inlineStr">
        <is>
          <t>Si</t>
        </is>
      </c>
      <c r="BO326" s="117" t="n">
        <v>45985.73819444444</v>
      </c>
      <c r="BP326" t="inlineStr">
        <is>
          <t>Magaly Guevara Perez</t>
        </is>
      </c>
      <c r="BR326" t="n">
        <v>28</v>
      </c>
      <c r="BS326" t="inlineStr">
        <is>
          <t>09/06/2026 09:51</t>
        </is>
      </c>
      <c r="BT326" t="n">
        <v>0</v>
      </c>
      <c r="BX326" t="inlineStr">
        <is>
          <t>Cobranzas_2026.csv</t>
        </is>
      </c>
      <c r="BY326" t="n">
        <v>2026</v>
      </c>
      <c r="BZ326" t="inlineStr">
        <is>
          <t>01/01/2024</t>
        </is>
      </c>
      <c r="CA326" t="inlineStr">
        <is>
          <t>30/09/2031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1003</t>
        </is>
      </c>
      <c r="G327" s="39" t="n">
        <v>675000</v>
      </c>
      <c r="H327" s="39" t="n">
        <v>675000</v>
      </c>
      <c r="I327" t="inlineStr">
        <is>
          <t>Edificio</t>
        </is>
      </c>
      <c r="J327" t="inlineStr">
        <is>
          <t>A</t>
        </is>
      </c>
      <c r="K327" t="inlineStr">
        <is>
          <t>Estacionamiento</t>
        </is>
      </c>
      <c r="L327" t="inlineStr">
        <is>
          <t>E 11 - D 08</t>
        </is>
      </c>
      <c r="M327" s="39" t="n">
        <v>60400</v>
      </c>
      <c r="N327" s="39" t="n">
        <v>60400</v>
      </c>
      <c r="S327" s="39" t="n"/>
      <c r="T327" s="39" t="n"/>
      <c r="Y327" s="39" t="n"/>
      <c r="Z327" s="39" t="n"/>
      <c r="AA327" t="inlineStr">
        <is>
          <t>ANDEAN AYNI TRAVEL AGENCIA DE VIAJES Y TRANSPORTE EIRL</t>
        </is>
      </c>
      <c r="AB327" t="inlineStr">
        <is>
          <t>20610697403</t>
        </is>
      </c>
      <c r="AC327" t="inlineStr">
        <is>
          <t>JR. DANTE NAVA NRO. 310 BAR. NUEVA UNVERSIDAD</t>
        </is>
      </c>
      <c r="AD327" t="n">
        <v>0</v>
      </c>
      <c r="AE327" t="inlineStr">
        <is>
          <t>951923088</t>
        </is>
      </c>
      <c r="AF327" t="inlineStr">
        <is>
          <t>operacionesjudith@gmail.com</t>
        </is>
      </c>
      <c r="AG327" t="inlineStr">
        <is>
          <t>PUNO</t>
        </is>
      </c>
      <c r="AH327" t="inlineStr">
        <is>
          <t>PUNO</t>
        </is>
      </c>
      <c r="AI327" s="116" t="n">
        <v>46159</v>
      </c>
      <c r="AJ327" s="116" t="n">
        <v>46171</v>
      </c>
      <c r="AK327" t="inlineStr">
        <is>
          <t>SALDO FINANCIAR</t>
        </is>
      </c>
      <c r="AL327" t="n">
        <v>6</v>
      </c>
      <c r="AM327" t="n">
        <v>66057.14</v>
      </c>
      <c r="AN327" t="n">
        <v>0</v>
      </c>
      <c r="AO327" t="n">
        <v>0</v>
      </c>
      <c r="AP327" s="39" t="n">
        <v>66057.14</v>
      </c>
      <c r="AQ327" s="39" t="n">
        <v>66057.14</v>
      </c>
      <c r="AR327" s="39" t="n">
        <v>0</v>
      </c>
      <c r="AS327" t="n">
        <v>0</v>
      </c>
      <c r="AT327" t="inlineStr">
        <is>
          <t>Crédito Directo</t>
        </is>
      </c>
      <c r="AU327" t="inlineStr">
        <is>
          <t>Scotiabank Perú</t>
        </is>
      </c>
      <c r="AV327" t="inlineStr">
        <is>
          <t>000-2768484</t>
        </is>
      </c>
      <c r="AW327" t="inlineStr">
        <is>
          <t>TRANSFERENCIA BANCARIA</t>
        </is>
      </c>
      <c r="AY327" t="inlineStr">
        <is>
          <t>0756802</t>
        </is>
      </c>
      <c r="AZ327" t="inlineStr">
        <is>
          <t>Si</t>
        </is>
      </c>
      <c r="BB327" t="n">
        <v>3.38</v>
      </c>
      <c r="BC327" t="inlineStr">
        <is>
          <t>CANCELADO</t>
        </is>
      </c>
      <c r="BN327" t="inlineStr">
        <is>
          <t>Si</t>
        </is>
      </c>
      <c r="BO327" s="117" t="n">
        <v>45985.73819444444</v>
      </c>
      <c r="BP327" t="inlineStr">
        <is>
          <t>Magaly Guevara Perez</t>
        </is>
      </c>
      <c r="BR327" t="n">
        <v>28</v>
      </c>
      <c r="BS327" t="inlineStr">
        <is>
          <t>09/06/2026 09:51</t>
        </is>
      </c>
      <c r="BT327" t="n">
        <v>0</v>
      </c>
      <c r="BX327" t="inlineStr">
        <is>
          <t>Cobranzas_2026.csv</t>
        </is>
      </c>
      <c r="BY327" t="n">
        <v>2026</v>
      </c>
      <c r="BZ327" t="inlineStr">
        <is>
          <t>01/01/2024</t>
        </is>
      </c>
      <c r="CA327" t="inlineStr">
        <is>
          <t>30/09/2031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1003</t>
        </is>
      </c>
      <c r="G328" s="39" t="n">
        <v>675000</v>
      </c>
      <c r="H328" s="39" t="n">
        <v>675000</v>
      </c>
      <c r="I328" t="inlineStr">
        <is>
          <t>Edificio</t>
        </is>
      </c>
      <c r="J328" t="inlineStr">
        <is>
          <t>A</t>
        </is>
      </c>
      <c r="K328" t="inlineStr">
        <is>
          <t>Estacionamiento</t>
        </is>
      </c>
      <c r="L328" t="inlineStr">
        <is>
          <t>E 11 - D 08</t>
        </is>
      </c>
      <c r="M328" s="39" t="n">
        <v>60400</v>
      </c>
      <c r="N328" s="39" t="n">
        <v>60400</v>
      </c>
      <c r="S328" s="39" t="n"/>
      <c r="T328" s="39" t="n"/>
      <c r="Y328" s="39" t="n"/>
      <c r="Z328" s="39" t="n"/>
      <c r="AA328" t="inlineStr">
        <is>
          <t>ANDEAN AYNI TRAVEL AGENCIA DE VIAJES Y TRANSPORTE EIRL</t>
        </is>
      </c>
      <c r="AB328" t="inlineStr">
        <is>
          <t>20610697403</t>
        </is>
      </c>
      <c r="AC328" t="inlineStr">
        <is>
          <t>JR. DANTE NAVA NRO. 310 BAR. NUEVA UNVERSIDAD</t>
        </is>
      </c>
      <c r="AD328" t="n">
        <v>0</v>
      </c>
      <c r="AE328" t="inlineStr">
        <is>
          <t>951923088</t>
        </is>
      </c>
      <c r="AF328" t="inlineStr">
        <is>
          <t>operacionesjudith@gmail.com</t>
        </is>
      </c>
      <c r="AG328" t="inlineStr">
        <is>
          <t>PUNO</t>
        </is>
      </c>
      <c r="AH328" t="inlineStr">
        <is>
          <t>PUNO</t>
        </is>
      </c>
      <c r="AI328" s="116" t="n">
        <v>46190</v>
      </c>
      <c r="AJ328" s="116" t="n">
        <v>46171</v>
      </c>
      <c r="AK328" t="inlineStr">
        <is>
          <t>SALDO FINANCIAR</t>
        </is>
      </c>
      <c r="AL328" t="n">
        <v>7</v>
      </c>
      <c r="AM328" t="n">
        <v>66057.16</v>
      </c>
      <c r="AN328" t="n">
        <v>0</v>
      </c>
      <c r="AO328" t="n">
        <v>0</v>
      </c>
      <c r="AP328" s="39" t="n">
        <v>66057.16</v>
      </c>
      <c r="AQ328" s="39" t="n">
        <v>66057.14</v>
      </c>
      <c r="AR328" s="39" t="n">
        <v>0</v>
      </c>
      <c r="AS328" t="n">
        <v>0</v>
      </c>
      <c r="AT328" t="inlineStr">
        <is>
          <t>Crédito Directo</t>
        </is>
      </c>
      <c r="AU328" t="inlineStr">
        <is>
          <t>Scotiabank Perú</t>
        </is>
      </c>
      <c r="AV328" t="inlineStr">
        <is>
          <t>000-2768484</t>
        </is>
      </c>
      <c r="AW328" t="inlineStr">
        <is>
          <t>TRANSFERENCIA BANCARIA</t>
        </is>
      </c>
      <c r="AY328" t="inlineStr">
        <is>
          <t>0756802</t>
        </is>
      </c>
      <c r="AZ328" t="inlineStr">
        <is>
          <t>Si</t>
        </is>
      </c>
      <c r="BB328" t="n">
        <v>3.38</v>
      </c>
      <c r="BC328" t="inlineStr">
        <is>
          <t>CANCELADO</t>
        </is>
      </c>
      <c r="BN328" t="inlineStr">
        <is>
          <t>Si</t>
        </is>
      </c>
      <c r="BO328" s="117" t="n">
        <v>45985.73819444444</v>
      </c>
      <c r="BP328" t="inlineStr">
        <is>
          <t>Magaly Guevara Perez</t>
        </is>
      </c>
      <c r="BR328" t="n">
        <v>28</v>
      </c>
      <c r="BS328" t="inlineStr">
        <is>
          <t>09/06/2026 09:51</t>
        </is>
      </c>
      <c r="BT328" t="n">
        <v>0</v>
      </c>
      <c r="BX328" t="inlineStr">
        <is>
          <t>Cobranzas_2026.csv</t>
        </is>
      </c>
      <c r="BY328" t="n">
        <v>2026</v>
      </c>
      <c r="BZ328" t="inlineStr">
        <is>
          <t>01/01/2024</t>
        </is>
      </c>
      <c r="CA328" t="inlineStr">
        <is>
          <t>30/09/2031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Estacionamiento</t>
        </is>
      </c>
      <c r="F329" t="inlineStr">
        <is>
          <t>E 14 - D 11</t>
        </is>
      </c>
      <c r="G329" s="39" t="n">
        <v>56300</v>
      </c>
      <c r="H329" s="39" t="n">
        <v>56300</v>
      </c>
      <c r="M329" s="39" t="n"/>
      <c r="N329" s="39" t="n"/>
      <c r="S329" s="39" t="n"/>
      <c r="T329" s="39" t="n"/>
      <c r="Y329" s="39" t="n"/>
      <c r="Z329" s="39" t="n"/>
      <c r="AA329" t="inlineStr">
        <is>
          <t>Ayleen Katia Messarina Rios</t>
        </is>
      </c>
      <c r="AB329" t="inlineStr">
        <is>
          <t>70512701</t>
        </is>
      </c>
      <c r="AC329" t="inlineStr">
        <is>
          <t>Departamento 101 Urbanización Santa Rosa de Surco etapa 2 Mz D Lt 23</t>
        </is>
      </c>
      <c r="AD329" t="n">
        <v>978722675</v>
      </c>
      <c r="AE329" t="inlineStr">
        <is>
          <t>978722675</t>
        </is>
      </c>
      <c r="AF329" t="inlineStr">
        <is>
          <t>ayleen30mr@gmail.com</t>
        </is>
      </c>
      <c r="AG329" t="inlineStr">
        <is>
          <t>LIMA</t>
        </is>
      </c>
      <c r="AH329" t="inlineStr">
        <is>
          <t>SANTIAGO DE SURCO</t>
        </is>
      </c>
      <c r="AI329" s="116" t="n">
        <v>46023</v>
      </c>
      <c r="AJ329" s="116" t="n">
        <v>46084</v>
      </c>
      <c r="AK329" t="inlineStr">
        <is>
          <t>SALDO FINANCIAR</t>
        </is>
      </c>
      <c r="AL329" t="n">
        <v>10</v>
      </c>
      <c r="AM329" t="n">
        <v>3800</v>
      </c>
      <c r="AN329" t="n">
        <v>0</v>
      </c>
      <c r="AO329" t="n">
        <v>0</v>
      </c>
      <c r="AP329" s="39" t="n">
        <v>3800</v>
      </c>
      <c r="AQ329" s="39" t="n">
        <v>3800</v>
      </c>
      <c r="AR329" s="39" t="n">
        <v>0</v>
      </c>
      <c r="AS329" t="n">
        <v>0</v>
      </c>
      <c r="AT329" t="inlineStr">
        <is>
          <t>Crédito Directo</t>
        </is>
      </c>
      <c r="AU329" t="inlineStr">
        <is>
          <t>Scotiabank Perú</t>
        </is>
      </c>
      <c r="AV329" t="inlineStr">
        <is>
          <t>000-2768484</t>
        </is>
      </c>
      <c r="AW329" t="inlineStr">
        <is>
          <t>TRANSFERENCIA BANCARIA</t>
        </is>
      </c>
      <c r="AY329" t="inlineStr">
        <is>
          <t>00262072</t>
        </is>
      </c>
      <c r="AZ329" t="inlineStr">
        <is>
          <t>Si</t>
        </is>
      </c>
      <c r="BB329" t="n">
        <v>4</v>
      </c>
      <c r="BC329" t="inlineStr">
        <is>
          <t>CANCELADO</t>
        </is>
      </c>
      <c r="BN329" t="inlineStr">
        <is>
          <t>Si</t>
        </is>
      </c>
      <c r="BO329" s="117" t="n">
        <v>45748.62986111111</v>
      </c>
      <c r="BP329" t="inlineStr">
        <is>
          <t>Magaly Guevara Perez</t>
        </is>
      </c>
      <c r="BR329" t="n">
        <v>56</v>
      </c>
      <c r="BS329" t="inlineStr">
        <is>
          <t>28/06/2026 21:34</t>
        </is>
      </c>
      <c r="BT329" t="n">
        <v>0</v>
      </c>
      <c r="BX329" t="inlineStr">
        <is>
          <t>Cobranzas_2026.csv</t>
        </is>
      </c>
      <c r="BY329" t="n">
        <v>2026</v>
      </c>
      <c r="BZ329" t="inlineStr">
        <is>
          <t>01/01/2024</t>
        </is>
      </c>
      <c r="CA329" t="inlineStr">
        <is>
          <t>30/09/2031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Estacionamiento</t>
        </is>
      </c>
      <c r="F330" t="inlineStr">
        <is>
          <t>E 14 - D 11</t>
        </is>
      </c>
      <c r="G330" s="39" t="n">
        <v>56300</v>
      </c>
      <c r="H330" s="39" t="n">
        <v>56300</v>
      </c>
      <c r="M330" s="39" t="n"/>
      <c r="N330" s="39" t="n"/>
      <c r="S330" s="39" t="n"/>
      <c r="T330" s="39" t="n"/>
      <c r="Y330" s="39" t="n"/>
      <c r="Z330" s="39" t="n"/>
      <c r="AA330" t="inlineStr">
        <is>
          <t>Ayleen Katia Messarina Rios</t>
        </is>
      </c>
      <c r="AB330" t="inlineStr">
        <is>
          <t>70512701</t>
        </is>
      </c>
      <c r="AC330" t="inlineStr">
        <is>
          <t>Departamento 101 Urbanización Santa Rosa de Surco etapa 2 Mz D Lt 23</t>
        </is>
      </c>
      <c r="AD330" t="n">
        <v>978722675</v>
      </c>
      <c r="AE330" t="inlineStr">
        <is>
          <t>978722675</t>
        </is>
      </c>
      <c r="AF330" t="inlineStr">
        <is>
          <t>ayleen30mr@gmail.com</t>
        </is>
      </c>
      <c r="AG330" t="inlineStr">
        <is>
          <t>LIMA</t>
        </is>
      </c>
      <c r="AH330" t="inlineStr">
        <is>
          <t>SANTIAGO DE SURCO</t>
        </is>
      </c>
      <c r="AI330" s="116" t="n">
        <v>46054</v>
      </c>
      <c r="AJ330" s="116" t="n">
        <v>46174</v>
      </c>
      <c r="AK330" t="inlineStr">
        <is>
          <t>SALDO FINANCIAR</t>
        </is>
      </c>
      <c r="AL330" t="n">
        <v>11</v>
      </c>
      <c r="AM330" t="n">
        <v>3800</v>
      </c>
      <c r="AN330" t="n">
        <v>0</v>
      </c>
      <c r="AO330" t="n">
        <v>0</v>
      </c>
      <c r="AP330" s="39" t="n">
        <v>3800</v>
      </c>
      <c r="AQ330" s="39" t="n">
        <v>3800</v>
      </c>
      <c r="AR330" s="39" t="n">
        <v>0</v>
      </c>
      <c r="AS330" t="n">
        <v>0</v>
      </c>
      <c r="AT330" t="inlineStr">
        <is>
          <t>Crédito Directo</t>
        </is>
      </c>
      <c r="AU330" t="inlineStr">
        <is>
          <t>Scotiabank Perú</t>
        </is>
      </c>
      <c r="AV330" t="inlineStr">
        <is>
          <t>000-2768484</t>
        </is>
      </c>
      <c r="AW330" t="inlineStr">
        <is>
          <t>TRANSFERENCIA BANCARIA</t>
        </is>
      </c>
      <c r="AY330" t="inlineStr">
        <is>
          <t>02227091</t>
        </is>
      </c>
      <c r="AZ330" t="inlineStr">
        <is>
          <t>Si</t>
        </is>
      </c>
      <c r="BB330" t="n">
        <v>4</v>
      </c>
      <c r="BC330" t="inlineStr">
        <is>
          <t>CANCELADO</t>
        </is>
      </c>
      <c r="BN330" t="inlineStr">
        <is>
          <t>Si</t>
        </is>
      </c>
      <c r="BO330" s="117" t="n">
        <v>45748.62986111111</v>
      </c>
      <c r="BP330" t="inlineStr">
        <is>
          <t>Magaly Guevara Perez</t>
        </is>
      </c>
      <c r="BR330" t="n">
        <v>56</v>
      </c>
      <c r="BS330" t="inlineStr">
        <is>
          <t>28/06/2026 21:35</t>
        </is>
      </c>
      <c r="BT330" t="n">
        <v>0</v>
      </c>
      <c r="BX330" t="inlineStr">
        <is>
          <t>Cobranzas_2026.csv</t>
        </is>
      </c>
      <c r="BY330" t="n">
        <v>2026</v>
      </c>
      <c r="BZ330" t="inlineStr">
        <is>
          <t>01/01/2024</t>
        </is>
      </c>
      <c r="CA330" t="inlineStr">
        <is>
          <t>30/09/2031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14 - D 11</t>
        </is>
      </c>
      <c r="G331" s="39" t="n">
        <v>56300</v>
      </c>
      <c r="H331" s="39" t="n">
        <v>56300</v>
      </c>
      <c r="M331" s="39" t="n"/>
      <c r="N331" s="39" t="n"/>
      <c r="S331" s="39" t="n"/>
      <c r="T331" s="39" t="n"/>
      <c r="Y331" s="39" t="n"/>
      <c r="Z331" s="39" t="n"/>
      <c r="AA331" t="inlineStr">
        <is>
          <t>Ayleen Katia Messarina Rios</t>
        </is>
      </c>
      <c r="AB331" t="inlineStr">
        <is>
          <t>70512701</t>
        </is>
      </c>
      <c r="AC331" t="inlineStr">
        <is>
          <t>Departamento 101 Urbanización Santa Rosa de Surco etapa 2 Mz D Lt 23</t>
        </is>
      </c>
      <c r="AD331" t="n">
        <v>978722675</v>
      </c>
      <c r="AE331" t="inlineStr">
        <is>
          <t>978722675</t>
        </is>
      </c>
      <c r="AF331" t="inlineStr">
        <is>
          <t>ayleen30mr@gmail.com</t>
        </is>
      </c>
      <c r="AG331" t="inlineStr">
        <is>
          <t>LIMA</t>
        </is>
      </c>
      <c r="AH331" t="inlineStr">
        <is>
          <t>SANTIAGO DE SURCO</t>
        </is>
      </c>
      <c r="AI331" s="116" t="n">
        <v>46233</v>
      </c>
      <c r="AJ331" s="116" t="n">
        <v>46283</v>
      </c>
      <c r="AK331" t="inlineStr">
        <is>
          <t>SALDO FINANCIAR</t>
        </is>
      </c>
      <c r="AL331" t="n">
        <v>12</v>
      </c>
      <c r="AM331" t="n">
        <v>4500</v>
      </c>
      <c r="AN331" t="n">
        <v>0</v>
      </c>
      <c r="AO331" t="n">
        <v>0</v>
      </c>
      <c r="AP331" s="39" t="n">
        <v>4500</v>
      </c>
      <c r="AQ331" s="39" t="n">
        <v>4500</v>
      </c>
      <c r="AR331" s="39" t="n">
        <v>0</v>
      </c>
      <c r="AS331" t="n">
        <v>0</v>
      </c>
      <c r="AT331" t="inlineStr">
        <is>
          <t>Crédito Directo</t>
        </is>
      </c>
      <c r="AU331" t="inlineStr">
        <is>
          <t>Scotiabank Perú</t>
        </is>
      </c>
      <c r="AV331" t="inlineStr">
        <is>
          <t>000-2768484</t>
        </is>
      </c>
      <c r="AW331" t="inlineStr">
        <is>
          <t>TRANSFERENCIA BANCARIA</t>
        </is>
      </c>
      <c r="AY331" t="inlineStr">
        <is>
          <t>00951824</t>
        </is>
      </c>
      <c r="AZ331" t="inlineStr">
        <is>
          <t>Si</t>
        </is>
      </c>
      <c r="BB331" t="n">
        <v>4</v>
      </c>
      <c r="BC331" t="inlineStr">
        <is>
          <t>CANCELADO</t>
        </is>
      </c>
      <c r="BN331" t="inlineStr">
        <is>
          <t>Si</t>
        </is>
      </c>
      <c r="BO331" s="117" t="n">
        <v>45748.62986111111</v>
      </c>
      <c r="BP331" t="inlineStr">
        <is>
          <t>Magaly Guevara Perez</t>
        </is>
      </c>
      <c r="BR331" t="n">
        <v>56</v>
      </c>
      <c r="BS331" t="inlineStr">
        <is>
          <t>18/09/2026 15:48</t>
        </is>
      </c>
      <c r="BT331" t="n">
        <v>0</v>
      </c>
      <c r="BX331" t="inlineStr">
        <is>
          <t>Cobranzas_2026.csv</t>
        </is>
      </c>
      <c r="BY331" t="n">
        <v>2026</v>
      </c>
      <c r="BZ331" t="inlineStr">
        <is>
          <t>01/01/2024</t>
        </is>
      </c>
      <c r="CA331" t="inlineStr">
        <is>
          <t>30/09/2031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Departamento</t>
        </is>
      </c>
      <c r="F332" t="inlineStr">
        <is>
          <t>1105</t>
        </is>
      </c>
      <c r="G332" s="39" t="n">
        <v>429000</v>
      </c>
      <c r="H332" s="39" t="n">
        <v>429000</v>
      </c>
      <c r="M332" s="39" t="n"/>
      <c r="N332" s="39" t="n"/>
      <c r="S332" s="39" t="n"/>
      <c r="T332" s="39" t="n"/>
      <c r="Y332" s="39" t="n"/>
      <c r="Z332" s="39" t="n"/>
      <c r="AA332" t="inlineStr">
        <is>
          <t>CARLOS ENRIQUE MORANTE ARROYO</t>
        </is>
      </c>
      <c r="AB332" t="inlineStr">
        <is>
          <t>74307522</t>
        </is>
      </c>
      <c r="AC332" t="inlineStr">
        <is>
          <t xml:space="preserve">JR. DANIEL ALCIDES CARRION 570, INT. 15 – MAGDALENA DEL MAR </t>
        </is>
      </c>
      <c r="AD332" t="n">
        <v>921881457</v>
      </c>
      <c r="AE332" t="inlineStr">
        <is>
          <t>921881457</t>
        </is>
      </c>
      <c r="AF332" t="inlineStr">
        <is>
          <t>cmorantea@uni.pe</t>
        </is>
      </c>
      <c r="AG332" t="inlineStr">
        <is>
          <t>LIMA</t>
        </is>
      </c>
      <c r="AH332" t="inlineStr">
        <is>
          <t>MAGDALENA DEL MAR</t>
        </is>
      </c>
      <c r="AI332" s="116" t="n">
        <v>46103</v>
      </c>
      <c r="AJ332" s="116" t="n">
        <v>46103</v>
      </c>
      <c r="AK332" t="inlineStr">
        <is>
          <t>SEPARACION</t>
        </is>
      </c>
      <c r="AL332" t="n">
        <v>1</v>
      </c>
      <c r="AM332" t="n">
        <v>3000</v>
      </c>
      <c r="AN332" t="n">
        <v>0</v>
      </c>
      <c r="AO332" t="n">
        <v>0</v>
      </c>
      <c r="AP332" s="39" t="n">
        <v>3000</v>
      </c>
      <c r="AQ332" s="39" t="n">
        <v>3000</v>
      </c>
      <c r="AR332" s="39" t="n">
        <v>0</v>
      </c>
      <c r="AS332" t="n">
        <v>0</v>
      </c>
      <c r="AT332" t="inlineStr">
        <is>
          <t>Crédito Hipotecario</t>
        </is>
      </c>
      <c r="AU332" t="inlineStr">
        <is>
          <t>Scotiabank Perú</t>
        </is>
      </c>
      <c r="AV332" t="inlineStr">
        <is>
          <t>000-2768484</t>
        </is>
      </c>
      <c r="AW332" t="inlineStr">
        <is>
          <t>TRANSFERENCIA BANCARIA</t>
        </is>
      </c>
      <c r="AY332" t="inlineStr">
        <is>
          <t>00000089000000091</t>
        </is>
      </c>
      <c r="AZ332" t="inlineStr">
        <is>
          <t>No</t>
        </is>
      </c>
      <c r="BB332" t="n">
        <v>4</v>
      </c>
      <c r="BC332" t="inlineStr">
        <is>
          <t>CANCELADO</t>
        </is>
      </c>
      <c r="BN332" t="inlineStr">
        <is>
          <t>Si</t>
        </is>
      </c>
      <c r="BO332" s="117" t="n">
        <v>46122.60069444445</v>
      </c>
      <c r="BP332" t="inlineStr">
        <is>
          <t>Kenny Salazar S</t>
        </is>
      </c>
      <c r="BR332" t="n">
        <v>49</v>
      </c>
      <c r="BS332" t="inlineStr">
        <is>
          <t>03/06/2026 15:51</t>
        </is>
      </c>
      <c r="BT332" t="n">
        <v>0</v>
      </c>
      <c r="BX332" t="inlineStr">
        <is>
          <t>Cobranzas_2026.csv</t>
        </is>
      </c>
      <c r="BY332" t="n">
        <v>2026</v>
      </c>
      <c r="BZ332" t="inlineStr">
        <is>
          <t>01/01/2024</t>
        </is>
      </c>
      <c r="CA332" t="inlineStr">
        <is>
          <t>30/09/2031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Departamento</t>
        </is>
      </c>
      <c r="F333" t="inlineStr">
        <is>
          <t>1105</t>
        </is>
      </c>
      <c r="G333" s="39" t="n">
        <v>429000</v>
      </c>
      <c r="H333" s="39" t="n">
        <v>429000</v>
      </c>
      <c r="M333" s="39" t="n"/>
      <c r="N333" s="39" t="n"/>
      <c r="S333" s="39" t="n"/>
      <c r="T333" s="39" t="n"/>
      <c r="Y333" s="39" t="n"/>
      <c r="Z333" s="39" t="n"/>
      <c r="AA333" t="inlineStr">
        <is>
          <t>CARLOS ENRIQUE MORANTE ARROYO</t>
        </is>
      </c>
      <c r="AB333" t="inlineStr">
        <is>
          <t>74307522</t>
        </is>
      </c>
      <c r="AC333" t="inlineStr">
        <is>
          <t xml:space="preserve">JR. DANIEL ALCIDES CARRION 570, INT. 15 – MAGDALENA DEL MAR </t>
        </is>
      </c>
      <c r="AD333" t="n">
        <v>921881457</v>
      </c>
      <c r="AE333" t="inlineStr">
        <is>
          <t>921881457</t>
        </is>
      </c>
      <c r="AF333" t="inlineStr">
        <is>
          <t>cmorantea@uni.pe</t>
        </is>
      </c>
      <c r="AG333" t="inlineStr">
        <is>
          <t>LIMA</t>
        </is>
      </c>
      <c r="AH333" t="inlineStr">
        <is>
          <t>MAGDALENA DEL MAR</t>
        </is>
      </c>
      <c r="AI333" s="116" t="n">
        <v>46122</v>
      </c>
      <c r="AJ333" s="116" t="n">
        <v>46122</v>
      </c>
      <c r="AK333" t="inlineStr">
        <is>
          <t>CUOTA INICIAL</t>
        </is>
      </c>
      <c r="AL333" t="n">
        <v>1</v>
      </c>
      <c r="AM333" t="n">
        <v>0</v>
      </c>
      <c r="AN333" t="n">
        <v>0</v>
      </c>
      <c r="AO333" t="n">
        <v>0</v>
      </c>
      <c r="AP333" s="39" t="n">
        <v>39900</v>
      </c>
      <c r="AQ333" s="39" t="n">
        <v>30000</v>
      </c>
      <c r="AR333" s="39" t="n">
        <v>0</v>
      </c>
      <c r="AS333" t="n">
        <v>0</v>
      </c>
      <c r="AT333" t="inlineStr">
        <is>
          <t>Crédito Hipotecario</t>
        </is>
      </c>
      <c r="AU333" t="inlineStr">
        <is>
          <t>Scotiabank Perú</t>
        </is>
      </c>
      <c r="AV333" t="inlineStr">
        <is>
          <t>000-2768484</t>
        </is>
      </c>
      <c r="AW333" t="inlineStr">
        <is>
          <t>TRANSFERENCIA BANCARIA</t>
        </is>
      </c>
      <c r="AX333" t="inlineStr">
        <is>
          <t>74307522</t>
        </is>
      </c>
      <c r="AY333" t="inlineStr">
        <is>
          <t>023801</t>
        </is>
      </c>
      <c r="AZ333" t="inlineStr">
        <is>
          <t>No</t>
        </is>
      </c>
      <c r="BA333" t="inlineStr">
        <is>
          <t>NO PRECISA</t>
        </is>
      </c>
      <c r="BB333" t="n">
        <v>4</v>
      </c>
      <c r="BC333" t="inlineStr">
        <is>
          <t>CANCELADO</t>
        </is>
      </c>
      <c r="BN333" t="inlineStr">
        <is>
          <t>Si</t>
        </is>
      </c>
      <c r="BO333" s="117" t="n">
        <v>46122.60069444445</v>
      </c>
      <c r="BP333" t="inlineStr">
        <is>
          <t>Kenny Salazar S</t>
        </is>
      </c>
      <c r="BR333" t="n">
        <v>49</v>
      </c>
      <c r="BS333" t="inlineStr">
        <is>
          <t>05/06/2026 15:32</t>
        </is>
      </c>
      <c r="BT333" t="n">
        <v>0</v>
      </c>
      <c r="BX333" t="inlineStr">
        <is>
          <t>Cobranzas_2026.csv</t>
        </is>
      </c>
      <c r="BY333" t="n">
        <v>2026</v>
      </c>
      <c r="BZ333" t="inlineStr">
        <is>
          <t>01/01/2024</t>
        </is>
      </c>
      <c r="CA333" t="inlineStr">
        <is>
          <t>30/09/2031</t>
        </is>
      </c>
    </row>
    <row r="334">
      <c r="A334" t="inlineStr">
        <is>
          <t>RESIDENCIAL PRADA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1105</t>
        </is>
      </c>
      <c r="G334" s="39" t="n">
        <v>429000</v>
      </c>
      <c r="H334" s="39" t="n">
        <v>429000</v>
      </c>
      <c r="M334" s="39" t="n"/>
      <c r="N334" s="39" t="n"/>
      <c r="S334" s="39" t="n"/>
      <c r="T334" s="39" t="n"/>
      <c r="Y334" s="39" t="n"/>
      <c r="Z334" s="39" t="n"/>
      <c r="AA334" t="inlineStr">
        <is>
          <t>CARLOS ENRIQUE MORANTE ARROYO</t>
        </is>
      </c>
      <c r="AB334" t="inlineStr">
        <is>
          <t>74307522</t>
        </is>
      </c>
      <c r="AC334" t="inlineStr">
        <is>
          <t xml:space="preserve">JR. DANIEL ALCIDES CARRION 570, INT. 15 – MAGDALENA DEL MAR </t>
        </is>
      </c>
      <c r="AD334" t="n">
        <v>921881457</v>
      </c>
      <c r="AE334" t="inlineStr">
        <is>
          <t>921881457</t>
        </is>
      </c>
      <c r="AF334" t="inlineStr">
        <is>
          <t>cmorantea@uni.pe</t>
        </is>
      </c>
      <c r="AG334" t="inlineStr">
        <is>
          <t>LIMA</t>
        </is>
      </c>
      <c r="AH334" t="inlineStr">
        <is>
          <t>MAGDALENA DEL MAR</t>
        </is>
      </c>
      <c r="AI334" s="116" t="n">
        <v>46122</v>
      </c>
      <c r="AJ334" s="116" t="n">
        <v>46122</v>
      </c>
      <c r="AK334" t="inlineStr">
        <is>
          <t>CUOTA INICIAL</t>
        </is>
      </c>
      <c r="AL334" t="n">
        <v>1</v>
      </c>
      <c r="AM334" t="n">
        <v>39900</v>
      </c>
      <c r="AN334" t="n">
        <v>0</v>
      </c>
      <c r="AO334" t="n">
        <v>0</v>
      </c>
      <c r="AP334" s="39" t="n">
        <v>0</v>
      </c>
      <c r="AQ334" s="39" t="n">
        <v>9900</v>
      </c>
      <c r="AR334" s="39" t="n">
        <v>0</v>
      </c>
      <c r="AS334" t="n">
        <v>0</v>
      </c>
      <c r="AT334" t="inlineStr">
        <is>
          <t>Crédito Hipotecario</t>
        </is>
      </c>
      <c r="AU334" t="inlineStr">
        <is>
          <t>Scotiabank Perú</t>
        </is>
      </c>
      <c r="AV334" t="inlineStr">
        <is>
          <t>000-2768484</t>
        </is>
      </c>
      <c r="AW334" t="inlineStr">
        <is>
          <t>TRANSFERENCIA BANCARIA</t>
        </is>
      </c>
      <c r="AX334" t="inlineStr">
        <is>
          <t>74307522</t>
        </is>
      </c>
      <c r="AY334" t="inlineStr">
        <is>
          <t>00005827000000000</t>
        </is>
      </c>
      <c r="AZ334" t="inlineStr">
        <is>
          <t>No</t>
        </is>
      </c>
      <c r="BA334" t="inlineStr">
        <is>
          <t>NO PRECISA</t>
        </is>
      </c>
      <c r="BB334" t="n">
        <v>4</v>
      </c>
      <c r="BC334" t="inlineStr">
        <is>
          <t>CANCELADO</t>
        </is>
      </c>
      <c r="BN334" t="inlineStr">
        <is>
          <t>Si</t>
        </is>
      </c>
      <c r="BO334" s="117" t="n">
        <v>46122.60069444445</v>
      </c>
      <c r="BP334" t="inlineStr">
        <is>
          <t>Kenny Salazar S</t>
        </is>
      </c>
      <c r="BR334" t="n">
        <v>49</v>
      </c>
      <c r="BS334" t="inlineStr">
        <is>
          <t>05/06/2026 15:34</t>
        </is>
      </c>
      <c r="BT334" t="n">
        <v>0</v>
      </c>
      <c r="BX334" t="inlineStr">
        <is>
          <t>Cobranzas_2026.csv</t>
        </is>
      </c>
      <c r="BY334" t="n">
        <v>2026</v>
      </c>
      <c r="BZ334" t="inlineStr">
        <is>
          <t>01/01/2024</t>
        </is>
      </c>
      <c r="CA334" t="inlineStr">
        <is>
          <t>30/09/2031</t>
        </is>
      </c>
    </row>
    <row r="335">
      <c r="A335" t="inlineStr">
        <is>
          <t>RESIDENCIAL PRADA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1105</t>
        </is>
      </c>
      <c r="G335" s="39" t="n">
        <v>429000</v>
      </c>
      <c r="H335" s="39" t="n">
        <v>429000</v>
      </c>
      <c r="M335" s="39" t="n"/>
      <c r="N335" s="39" t="n"/>
      <c r="S335" s="39" t="n"/>
      <c r="T335" s="39" t="n"/>
      <c r="Y335" s="39" t="n"/>
      <c r="Z335" s="39" t="n"/>
      <c r="AA335" t="inlineStr">
        <is>
          <t>CARLOS ENRIQUE MORANTE ARROYO</t>
        </is>
      </c>
      <c r="AB335" t="inlineStr">
        <is>
          <t>74307522</t>
        </is>
      </c>
      <c r="AC335" t="inlineStr">
        <is>
          <t xml:space="preserve">JR. DANIEL ALCIDES CARRION 570, INT. 15 – MAGDALENA DEL MAR </t>
        </is>
      </c>
      <c r="AD335" t="n">
        <v>921881457</v>
      </c>
      <c r="AE335" t="inlineStr">
        <is>
          <t>921881457</t>
        </is>
      </c>
      <c r="AF335" t="inlineStr">
        <is>
          <t>cmorantea@uni.pe</t>
        </is>
      </c>
      <c r="AG335" t="inlineStr">
        <is>
          <t>LIMA</t>
        </is>
      </c>
      <c r="AH335" t="inlineStr">
        <is>
          <t>MAGDALENA DEL MAR</t>
        </is>
      </c>
      <c r="AI335" s="116" t="n">
        <v>46172</v>
      </c>
      <c r="AJ335" s="116" t="n">
        <v>46172</v>
      </c>
      <c r="AK335" t="inlineStr">
        <is>
          <t>SALDO FINANCIAR</t>
        </is>
      </c>
      <c r="AL335" t="n">
        <v>1</v>
      </c>
      <c r="AM335" t="n">
        <v>386100</v>
      </c>
      <c r="AN335" t="n">
        <v>0</v>
      </c>
      <c r="AO335" t="n">
        <v>0</v>
      </c>
      <c r="AP335" s="39" t="n">
        <v>386100</v>
      </c>
      <c r="AQ335" s="39" t="n">
        <v>386100</v>
      </c>
      <c r="AR335" s="39" t="n">
        <v>0</v>
      </c>
      <c r="AS335" t="n">
        <v>0</v>
      </c>
      <c r="AT335" t="inlineStr">
        <is>
          <t>Crédito Hipotecario</t>
        </is>
      </c>
      <c r="AU335" t="inlineStr">
        <is>
          <t>Scotiabank Perú</t>
        </is>
      </c>
      <c r="AV335" t="inlineStr">
        <is>
          <t>000-2768484</t>
        </is>
      </c>
      <c r="AW335" t="inlineStr">
        <is>
          <t>TRANSFERENCIA BANCARIA</t>
        </is>
      </c>
      <c r="AX335" t="inlineStr">
        <is>
          <t>74307522</t>
        </is>
      </c>
      <c r="AY335" t="inlineStr">
        <is>
          <t>0270800070</t>
        </is>
      </c>
      <c r="AZ335" t="inlineStr">
        <is>
          <t>No</t>
        </is>
      </c>
      <c r="BA335" t="inlineStr">
        <is>
          <t>NO PRECISA</t>
        </is>
      </c>
      <c r="BB335" t="n">
        <v>4</v>
      </c>
      <c r="BC335" t="inlineStr">
        <is>
          <t>CANCELADO</t>
        </is>
      </c>
      <c r="BN335" t="inlineStr">
        <is>
          <t>Si</t>
        </is>
      </c>
      <c r="BO335" s="117" t="n">
        <v>46122.60069444445</v>
      </c>
      <c r="BP335" t="inlineStr">
        <is>
          <t>Kenny Salazar S</t>
        </is>
      </c>
      <c r="BR335" t="n">
        <v>49</v>
      </c>
      <c r="BS335" t="inlineStr">
        <is>
          <t>05/06/2026 15:37</t>
        </is>
      </c>
      <c r="BT335" t="n">
        <v>0</v>
      </c>
      <c r="BX335" t="inlineStr">
        <is>
          <t>Cobranzas_2026.csv</t>
        </is>
      </c>
      <c r="BY335" t="n">
        <v>2026</v>
      </c>
      <c r="BZ335" t="inlineStr">
        <is>
          <t>01/01/2024</t>
        </is>
      </c>
      <c r="CA335" t="inlineStr">
        <is>
          <t>30/09/2031</t>
        </is>
      </c>
    </row>
    <row r="336">
      <c r="A336" t="inlineStr">
        <is>
          <t>RESIDENCIAL PRADA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Estacionamiento</t>
        </is>
      </c>
      <c r="F336" t="inlineStr">
        <is>
          <t>E 04 - D 02</t>
        </is>
      </c>
      <c r="G336" s="39" t="n">
        <v>50500</v>
      </c>
      <c r="H336" s="39" t="n">
        <v>50500</v>
      </c>
      <c r="M336" s="39" t="n"/>
      <c r="N336" s="39" t="n"/>
      <c r="S336" s="39" t="n"/>
      <c r="T336" s="39" t="n"/>
      <c r="Y336" s="39" t="n"/>
      <c r="Z336" s="39" t="n"/>
      <c r="AA336" t="inlineStr">
        <is>
          <t>CARLOS ENRIQUE MORANTE ARROYO</t>
        </is>
      </c>
      <c r="AB336" t="inlineStr">
        <is>
          <t>74307522</t>
        </is>
      </c>
      <c r="AC336" t="inlineStr">
        <is>
          <t xml:space="preserve">JR. DANIEL ALCIDES CARRION 570, INT. 15 – MAGDALENA DEL MAR </t>
        </is>
      </c>
      <c r="AD336" t="n">
        <v>921881457</v>
      </c>
      <c r="AE336" t="inlineStr">
        <is>
          <t>921881457</t>
        </is>
      </c>
      <c r="AF336" t="inlineStr">
        <is>
          <t>cmorantea@uni.pe</t>
        </is>
      </c>
      <c r="AG336" t="inlineStr">
        <is>
          <t>LIMA</t>
        </is>
      </c>
      <c r="AH336" t="inlineStr">
        <is>
          <t>MAGDALENA DEL MAR</t>
        </is>
      </c>
      <c r="AI336" s="116" t="n">
        <v>46243</v>
      </c>
      <c r="AJ336" s="116" t="n">
        <v>46243</v>
      </c>
      <c r="AK336" t="inlineStr">
        <is>
          <t>SEPARACION</t>
        </is>
      </c>
      <c r="AL336" t="n">
        <v>1</v>
      </c>
      <c r="AM336" t="n">
        <v>3000</v>
      </c>
      <c r="AN336" t="n">
        <v>0</v>
      </c>
      <c r="AO336" t="n">
        <v>0</v>
      </c>
      <c r="AP336" s="39" t="n">
        <v>3000</v>
      </c>
      <c r="AQ336" s="39" t="n">
        <v>3000</v>
      </c>
      <c r="AR336" s="39" t="n">
        <v>0</v>
      </c>
      <c r="AS336" t="n">
        <v>0</v>
      </c>
      <c r="AT336" t="inlineStr">
        <is>
          <t>Crédito Directo</t>
        </is>
      </c>
      <c r="AU336" t="inlineStr">
        <is>
          <t>Scotiabank Perú</t>
        </is>
      </c>
      <c r="AV336" t="inlineStr">
        <is>
          <t>000-2768484</t>
        </is>
      </c>
      <c r="AW336" t="inlineStr">
        <is>
          <t>TRANSFERENCIA BANCARIA</t>
        </is>
      </c>
      <c r="AY336" t="inlineStr">
        <is>
          <t>000033156</t>
        </is>
      </c>
      <c r="AZ336" t="inlineStr">
        <is>
          <t>No</t>
        </is>
      </c>
      <c r="BB336" t="n">
        <v>4</v>
      </c>
      <c r="BC336" t="inlineStr">
        <is>
          <t>CANCELADO</t>
        </is>
      </c>
      <c r="BN336" t="inlineStr">
        <is>
          <t>Si</t>
        </is>
      </c>
      <c r="BO336" s="117" t="n">
        <v>46246.63402777778</v>
      </c>
      <c r="BP336" t="inlineStr">
        <is>
          <t>Kenny Salazar S</t>
        </is>
      </c>
      <c r="BR336" t="n">
        <v>57</v>
      </c>
      <c r="BS336" t="inlineStr">
        <is>
          <t>12/08/2026 14:13</t>
        </is>
      </c>
      <c r="BT336" t="n">
        <v>0</v>
      </c>
      <c r="BX336" t="inlineStr">
        <is>
          <t>Cobranzas_2026.csv</t>
        </is>
      </c>
      <c r="BY336" t="n">
        <v>2026</v>
      </c>
      <c r="BZ336" t="inlineStr">
        <is>
          <t>01/01/2024</t>
        </is>
      </c>
      <c r="CA336" t="inlineStr">
        <is>
          <t>30/09/2031</t>
        </is>
      </c>
    </row>
    <row r="337">
      <c r="A337" t="inlineStr">
        <is>
          <t>RESIDENCIAL PRADA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Estacionamiento</t>
        </is>
      </c>
      <c r="F337" t="inlineStr">
        <is>
          <t>E 04 - D 02</t>
        </is>
      </c>
      <c r="G337" s="39" t="n">
        <v>50500</v>
      </c>
      <c r="H337" s="39" t="n">
        <v>50500</v>
      </c>
      <c r="M337" s="39" t="n"/>
      <c r="N337" s="39" t="n"/>
      <c r="S337" s="39" t="n"/>
      <c r="T337" s="39" t="n"/>
      <c r="Y337" s="39" t="n"/>
      <c r="Z337" s="39" t="n"/>
      <c r="AA337" t="inlineStr">
        <is>
          <t>CARLOS ENRIQUE MORANTE ARROYO</t>
        </is>
      </c>
      <c r="AB337" t="inlineStr">
        <is>
          <t>74307522</t>
        </is>
      </c>
      <c r="AC337" t="inlineStr">
        <is>
          <t xml:space="preserve">JR. DANIEL ALCIDES CARRION 570, INT. 15 – MAGDALENA DEL MAR </t>
        </is>
      </c>
      <c r="AD337" t="n">
        <v>921881457</v>
      </c>
      <c r="AE337" t="inlineStr">
        <is>
          <t>921881457</t>
        </is>
      </c>
      <c r="AF337" t="inlineStr">
        <is>
          <t>cmorantea@uni.pe</t>
        </is>
      </c>
      <c r="AG337" t="inlineStr">
        <is>
          <t>LIMA</t>
        </is>
      </c>
      <c r="AH337" t="inlineStr">
        <is>
          <t>MAGDALENA DEL MAR</t>
        </is>
      </c>
      <c r="AI337" s="116" t="n">
        <v>46248</v>
      </c>
      <c r="AJ337" s="116" t="n">
        <v>46248</v>
      </c>
      <c r="AK337" t="inlineStr">
        <is>
          <t>CUOTA INICIAL</t>
        </is>
      </c>
      <c r="AL337" t="n">
        <v>1</v>
      </c>
      <c r="AM337" t="n">
        <v>30000</v>
      </c>
      <c r="AN337" t="n">
        <v>0</v>
      </c>
      <c r="AO337" t="n">
        <v>0</v>
      </c>
      <c r="AP337" s="39" t="n">
        <v>30000</v>
      </c>
      <c r="AQ337" s="39" t="n">
        <v>30000</v>
      </c>
      <c r="AR337" s="39" t="n">
        <v>0</v>
      </c>
      <c r="AS337" t="n">
        <v>0</v>
      </c>
      <c r="AT337" t="inlineStr">
        <is>
          <t>Crédito Directo</t>
        </is>
      </c>
      <c r="AU337" t="inlineStr">
        <is>
          <t>Scotiabank Perú</t>
        </is>
      </c>
      <c r="AV337" t="inlineStr">
        <is>
          <t>000-2768484</t>
        </is>
      </c>
      <c r="AW337" t="inlineStr">
        <is>
          <t>TRANSFERENCIA BANCARIA</t>
        </is>
      </c>
      <c r="AY337" t="inlineStr">
        <is>
          <t>7844655523667</t>
        </is>
      </c>
      <c r="AZ337" t="inlineStr">
        <is>
          <t>No</t>
        </is>
      </c>
      <c r="BA337" t="inlineStr">
        <is>
          <t>AHORROS PERSONALES</t>
        </is>
      </c>
      <c r="BB337" t="n">
        <v>4</v>
      </c>
      <c r="BC337" t="inlineStr">
        <is>
          <t>CANCELADO</t>
        </is>
      </c>
      <c r="BN337" t="inlineStr">
        <is>
          <t>Si</t>
        </is>
      </c>
      <c r="BO337" s="117" t="n">
        <v>46246.63402777778</v>
      </c>
      <c r="BP337" t="inlineStr">
        <is>
          <t>Kenny Salazar S</t>
        </is>
      </c>
      <c r="BR337" t="n">
        <v>57</v>
      </c>
      <c r="BS337" t="inlineStr">
        <is>
          <t>18/08/2026 10:52</t>
        </is>
      </c>
      <c r="BT337" t="n">
        <v>0</v>
      </c>
      <c r="BX337" t="inlineStr">
        <is>
          <t>Cobranzas_2026.csv</t>
        </is>
      </c>
      <c r="BY337" t="n">
        <v>2026</v>
      </c>
      <c r="BZ337" t="inlineStr">
        <is>
          <t>01/01/2024</t>
        </is>
      </c>
      <c r="CA337" t="inlineStr">
        <is>
          <t>30/09/2031</t>
        </is>
      </c>
    </row>
    <row r="338">
      <c r="A338" t="inlineStr">
        <is>
          <t>RESIDENCIAL PRADA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Estacionamiento</t>
        </is>
      </c>
      <c r="F338" t="inlineStr">
        <is>
          <t>E 04 - D 02</t>
        </is>
      </c>
      <c r="G338" s="39" t="n">
        <v>50500</v>
      </c>
      <c r="H338" s="39" t="n">
        <v>50500</v>
      </c>
      <c r="M338" s="39" t="n"/>
      <c r="N338" s="39" t="n"/>
      <c r="S338" s="39" t="n"/>
      <c r="T338" s="39" t="n"/>
      <c r="Y338" s="39" t="n"/>
      <c r="Z338" s="39" t="n"/>
      <c r="AA338" t="inlineStr">
        <is>
          <t>CARLOS ENRIQUE MORANTE ARROYO</t>
        </is>
      </c>
      <c r="AB338" t="inlineStr">
        <is>
          <t>74307522</t>
        </is>
      </c>
      <c r="AC338" t="inlineStr">
        <is>
          <t xml:space="preserve">JR. DANIEL ALCIDES CARRION 570, INT. 15 – MAGDALENA DEL MAR </t>
        </is>
      </c>
      <c r="AD338" t="n">
        <v>921881457</v>
      </c>
      <c r="AE338" t="inlineStr">
        <is>
          <t>921881457</t>
        </is>
      </c>
      <c r="AF338" t="inlineStr">
        <is>
          <t>cmorantea@uni.pe</t>
        </is>
      </c>
      <c r="AG338" t="inlineStr">
        <is>
          <t>LIMA</t>
        </is>
      </c>
      <c r="AH338" t="inlineStr">
        <is>
          <t>MAGDALENA DEL MAR</t>
        </is>
      </c>
      <c r="AI338" s="116" t="n">
        <v>46249</v>
      </c>
      <c r="AJ338" s="116" t="n">
        <v>46249</v>
      </c>
      <c r="AK338" t="inlineStr">
        <is>
          <t>SALDO FINANCIAR</t>
        </is>
      </c>
      <c r="AL338" t="n">
        <v>1</v>
      </c>
      <c r="AM338" t="n">
        <v>17500</v>
      </c>
      <c r="AN338" t="n">
        <v>0</v>
      </c>
      <c r="AO338" t="n">
        <v>0</v>
      </c>
      <c r="AP338" s="39" t="n">
        <v>17500</v>
      </c>
      <c r="AQ338" s="39" t="n">
        <v>17500</v>
      </c>
      <c r="AR338" s="39" t="n">
        <v>0</v>
      </c>
      <c r="AS338" t="n">
        <v>0</v>
      </c>
      <c r="AT338" t="inlineStr">
        <is>
          <t>Crédito Directo</t>
        </is>
      </c>
      <c r="AU338" t="inlineStr">
        <is>
          <t>Scotiabank Perú</t>
        </is>
      </c>
      <c r="AV338" t="inlineStr">
        <is>
          <t>000-2768484</t>
        </is>
      </c>
      <c r="AW338" t="inlineStr">
        <is>
          <t>TRANSFERENCIA BANCARIA</t>
        </is>
      </c>
      <c r="AY338" t="inlineStr">
        <is>
          <t>7844655523667</t>
        </is>
      </c>
      <c r="AZ338" t="inlineStr">
        <is>
          <t>No</t>
        </is>
      </c>
      <c r="BA338" t="inlineStr">
        <is>
          <t>AHORROS PERSONALES</t>
        </is>
      </c>
      <c r="BB338" t="n">
        <v>4</v>
      </c>
      <c r="BC338" t="inlineStr">
        <is>
          <t>CANCELADO</t>
        </is>
      </c>
      <c r="BN338" t="inlineStr">
        <is>
          <t>Si</t>
        </is>
      </c>
      <c r="BO338" s="117" t="n">
        <v>46246.63402777778</v>
      </c>
      <c r="BP338" t="inlineStr">
        <is>
          <t>Kenny Salazar S</t>
        </is>
      </c>
      <c r="BR338" t="n">
        <v>57</v>
      </c>
      <c r="BS338" t="inlineStr">
        <is>
          <t>18/08/2026 10:53</t>
        </is>
      </c>
      <c r="BT338" t="n">
        <v>0</v>
      </c>
      <c r="BX338" t="inlineStr">
        <is>
          <t>Cobranzas_2026.csv</t>
        </is>
      </c>
      <c r="BY338" t="n">
        <v>2026</v>
      </c>
      <c r="BZ338" t="inlineStr">
        <is>
          <t>01/01/2024</t>
        </is>
      </c>
      <c r="CA338" t="inlineStr">
        <is>
          <t>30/09/2031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39" t="n">
        <v>483000</v>
      </c>
      <c r="H339" s="39" t="n">
        <v>443000</v>
      </c>
      <c r="I339" t="inlineStr">
        <is>
          <t>Edificio</t>
        </is>
      </c>
      <c r="J339" t="inlineStr">
        <is>
          <t>A</t>
        </is>
      </c>
      <c r="K339" t="inlineStr">
        <is>
          <t>Estacionamiento</t>
        </is>
      </c>
      <c r="L339" t="inlineStr">
        <is>
          <t>E 14 - D 4</t>
        </is>
      </c>
      <c r="M339" s="39" t="n">
        <v>42800</v>
      </c>
      <c r="N339" s="39" t="n">
        <v>42800</v>
      </c>
      <c r="S339" s="39" t="n"/>
      <c r="T339" s="39" t="n"/>
      <c r="Y339" s="39" t="n"/>
      <c r="Z339" s="39" t="n"/>
      <c r="AA339" t="inlineStr">
        <is>
          <t>Carlos La Cruz Crespo</t>
        </is>
      </c>
      <c r="AB339" t="inlineStr">
        <is>
          <t>09022488</t>
        </is>
      </c>
      <c r="AC339" t="inlineStr">
        <is>
          <t>comas</t>
        </is>
      </c>
      <c r="AD339" t="n">
        <v>0</v>
      </c>
      <c r="AE339" t="inlineStr">
        <is>
          <t>997009340</t>
        </is>
      </c>
      <c r="AF339" t="inlineStr">
        <is>
          <t>carlos.14lacruz@gmail.com</t>
        </is>
      </c>
      <c r="AG339" t="inlineStr">
        <is>
          <t>LIMA</t>
        </is>
      </c>
      <c r="AH339" t="inlineStr">
        <is>
          <t>COMAS</t>
        </is>
      </c>
      <c r="AI339" s="116" t="n">
        <v>46204</v>
      </c>
      <c r="AJ339" s="116" t="n">
        <v>45839</v>
      </c>
      <c r="AK339" t="inlineStr">
        <is>
          <t>CUOTA INICIAL</t>
        </is>
      </c>
      <c r="AL339" t="n">
        <v>1</v>
      </c>
      <c r="AM339" t="n">
        <v>0</v>
      </c>
      <c r="AN339" t="n">
        <v>0</v>
      </c>
      <c r="AO339" t="n">
        <v>0</v>
      </c>
      <c r="AP339" s="39" t="n">
        <v>45580</v>
      </c>
      <c r="AQ339" s="39" t="n">
        <v>30000</v>
      </c>
      <c r="AR339" s="39" t="n">
        <v>0</v>
      </c>
      <c r="AS339" t="n">
        <v>0</v>
      </c>
      <c r="AT339" t="inlineStr">
        <is>
          <t>Crédito Directo</t>
        </is>
      </c>
      <c r="AU339" t="inlineStr">
        <is>
          <t>Scotiabank Perú</t>
        </is>
      </c>
      <c r="AV339" t="inlineStr">
        <is>
          <t>0004071419</t>
        </is>
      </c>
      <c r="AW339" t="inlineStr">
        <is>
          <t>TRANSFERENCIA BANCARIA</t>
        </is>
      </c>
      <c r="AZ339" t="inlineStr">
        <is>
          <t>No</t>
        </is>
      </c>
      <c r="BB339" t="n">
        <v>4</v>
      </c>
      <c r="BC339" t="inlineStr">
        <is>
          <t>CANCELADO</t>
        </is>
      </c>
      <c r="BN339" t="inlineStr">
        <is>
          <t>Si</t>
        </is>
      </c>
      <c r="BO339" s="117" t="n">
        <v>45839.33541666667</v>
      </c>
      <c r="BP339" t="inlineStr">
        <is>
          <t>Magaly Guevara Perez</t>
        </is>
      </c>
      <c r="BR339" t="n">
        <v>2</v>
      </c>
      <c r="BS339" t="inlineStr">
        <is>
          <t>18/08/2026 13:42</t>
        </is>
      </c>
      <c r="BT339" t="n">
        <v>0</v>
      </c>
      <c r="BX339" t="inlineStr">
        <is>
          <t>Cobranzas_2026.csv</t>
        </is>
      </c>
      <c r="BY339" t="n">
        <v>2026</v>
      </c>
      <c r="BZ339" t="inlineStr">
        <is>
          <t>01/01/2024</t>
        </is>
      </c>
      <c r="CA339" t="inlineStr">
        <is>
          <t>30/09/2031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39" t="n">
        <v>483000</v>
      </c>
      <c r="H340" s="39" t="n">
        <v>443000</v>
      </c>
      <c r="I340" t="inlineStr">
        <is>
          <t>Edificio</t>
        </is>
      </c>
      <c r="J340" t="inlineStr">
        <is>
          <t>A</t>
        </is>
      </c>
      <c r="K340" t="inlineStr">
        <is>
          <t>Estacionamiento</t>
        </is>
      </c>
      <c r="L340" t="inlineStr">
        <is>
          <t>E 14 - D 4</t>
        </is>
      </c>
      <c r="M340" s="39" t="n">
        <v>42800</v>
      </c>
      <c r="N340" s="39" t="n">
        <v>42800</v>
      </c>
      <c r="S340" s="39" t="n"/>
      <c r="T340" s="39" t="n"/>
      <c r="Y340" s="39" t="n"/>
      <c r="Z340" s="39" t="n"/>
      <c r="AA340" t="inlineStr">
        <is>
          <t>Carlos La Cruz Crespo</t>
        </is>
      </c>
      <c r="AB340" t="inlineStr">
        <is>
          <t>09022488</t>
        </is>
      </c>
      <c r="AC340" t="inlineStr">
        <is>
          <t>comas</t>
        </is>
      </c>
      <c r="AD340" t="n">
        <v>0</v>
      </c>
      <c r="AE340" t="inlineStr">
        <is>
          <t>997009340</t>
        </is>
      </c>
      <c r="AF340" t="inlineStr">
        <is>
          <t>carlos.14lacruz@gmail.com</t>
        </is>
      </c>
      <c r="AG340" t="inlineStr">
        <is>
          <t>LIMA</t>
        </is>
      </c>
      <c r="AH340" t="inlineStr">
        <is>
          <t>COMAS</t>
        </is>
      </c>
      <c r="AI340" s="116" t="n">
        <v>46204</v>
      </c>
      <c r="AJ340" s="116" t="n">
        <v>45841</v>
      </c>
      <c r="AK340" t="inlineStr">
        <is>
          <t>CUOTA INICIAL</t>
        </is>
      </c>
      <c r="AL340" t="n">
        <v>1</v>
      </c>
      <c r="AM340" t="n">
        <v>45580</v>
      </c>
      <c r="AN340" t="n">
        <v>0</v>
      </c>
      <c r="AO340" t="n">
        <v>0</v>
      </c>
      <c r="AP340" s="39" t="n">
        <v>0</v>
      </c>
      <c r="AQ340" s="39" t="n">
        <v>15580</v>
      </c>
      <c r="AR340" s="39" t="n">
        <v>0</v>
      </c>
      <c r="AS340" t="n">
        <v>0</v>
      </c>
      <c r="AT340" t="inlineStr">
        <is>
          <t>Crédito Directo</t>
        </is>
      </c>
      <c r="AU340" t="inlineStr">
        <is>
          <t>Scotiabank Perú</t>
        </is>
      </c>
      <c r="AV340" t="inlineStr">
        <is>
          <t>0004071419</t>
        </is>
      </c>
      <c r="AW340" t="inlineStr">
        <is>
          <t>TRANSFERENCIA BANCARIA</t>
        </is>
      </c>
      <c r="AY340" t="inlineStr">
        <is>
          <t>4832000004834</t>
        </is>
      </c>
      <c r="AZ340" t="inlineStr">
        <is>
          <t>No</t>
        </is>
      </c>
      <c r="BB340" t="n">
        <v>4</v>
      </c>
      <c r="BC340" t="inlineStr">
        <is>
          <t>CANCELADO</t>
        </is>
      </c>
      <c r="BN340" t="inlineStr">
        <is>
          <t>Si</t>
        </is>
      </c>
      <c r="BO340" s="117" t="n">
        <v>45839.33541666667</v>
      </c>
      <c r="BP340" t="inlineStr">
        <is>
          <t>Magaly Guevara Perez</t>
        </is>
      </c>
      <c r="BR340" t="n">
        <v>2</v>
      </c>
      <c r="BS340" t="inlineStr">
        <is>
          <t>18/08/2026 13:42</t>
        </is>
      </c>
      <c r="BT340" t="n">
        <v>0</v>
      </c>
      <c r="BX340" t="inlineStr">
        <is>
          <t>Cobranzas_2026.csv</t>
        </is>
      </c>
      <c r="BY340" t="n">
        <v>2026</v>
      </c>
      <c r="BZ340" t="inlineStr">
        <is>
          <t>01/01/2024</t>
        </is>
      </c>
      <c r="CA340" t="inlineStr">
        <is>
          <t>30/09/2031</t>
        </is>
      </c>
    </row>
    <row r="341">
      <c r="A341" t="inlineStr">
        <is>
          <t>RESIDENCIAL VENECIA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204</t>
        </is>
      </c>
      <c r="G341" s="39" t="n">
        <v>483000</v>
      </c>
      <c r="H341" s="39" t="n">
        <v>443000</v>
      </c>
      <c r="I341" t="inlineStr">
        <is>
          <t>Edificio</t>
        </is>
      </c>
      <c r="J341" t="inlineStr">
        <is>
          <t>A</t>
        </is>
      </c>
      <c r="K341" t="inlineStr">
        <is>
          <t>Estacionamiento</t>
        </is>
      </c>
      <c r="L341" t="inlineStr">
        <is>
          <t>E 14 - D 4</t>
        </is>
      </c>
      <c r="M341" s="39" t="n">
        <v>42800</v>
      </c>
      <c r="N341" s="39" t="n">
        <v>42800</v>
      </c>
      <c r="S341" s="39" t="n"/>
      <c r="T341" s="39" t="n"/>
      <c r="Y341" s="39" t="n"/>
      <c r="Z341" s="39" t="n"/>
      <c r="AA341" t="inlineStr">
        <is>
          <t>Carlos La Cruz Crespo</t>
        </is>
      </c>
      <c r="AB341" t="inlineStr">
        <is>
          <t>09022488</t>
        </is>
      </c>
      <c r="AC341" t="inlineStr">
        <is>
          <t>comas</t>
        </is>
      </c>
      <c r="AD341" t="n">
        <v>0</v>
      </c>
      <c r="AE341" t="inlineStr">
        <is>
          <t>997009340</t>
        </is>
      </c>
      <c r="AF341" t="inlineStr">
        <is>
          <t>carlos.14lacruz@gmail.com</t>
        </is>
      </c>
      <c r="AG341" t="inlineStr">
        <is>
          <t>LIMA</t>
        </is>
      </c>
      <c r="AH341" t="inlineStr">
        <is>
          <t>COMAS</t>
        </is>
      </c>
      <c r="AI341" s="116" t="n">
        <v>46206</v>
      </c>
      <c r="AJ341" s="116" t="n">
        <v>45841</v>
      </c>
      <c r="AK341" t="inlineStr">
        <is>
          <t>CUOTA INICIAL</t>
        </is>
      </c>
      <c r="AL341" t="n">
        <v>2</v>
      </c>
      <c r="AM341" t="n">
        <v>145740</v>
      </c>
      <c r="AN341" t="n">
        <v>0</v>
      </c>
      <c r="AO341" t="n">
        <v>0</v>
      </c>
      <c r="AP341" s="39" t="n">
        <v>145740</v>
      </c>
      <c r="AQ341" s="39" t="n">
        <v>145740</v>
      </c>
      <c r="AR341" s="39" t="n">
        <v>0</v>
      </c>
      <c r="AS341" t="n">
        <v>0</v>
      </c>
      <c r="AT341" t="inlineStr">
        <is>
          <t>Crédito Directo</t>
        </is>
      </c>
      <c r="AU341" t="inlineStr">
        <is>
          <t>Scotiabank Perú</t>
        </is>
      </c>
      <c r="AV341" t="inlineStr">
        <is>
          <t>0004071419</t>
        </is>
      </c>
      <c r="AW341" t="inlineStr">
        <is>
          <t>CHEQUE DE GERENCIA</t>
        </is>
      </c>
      <c r="AX341" t="inlineStr">
        <is>
          <t>00010719</t>
        </is>
      </c>
      <c r="AY341" t="inlineStr">
        <is>
          <t>615597</t>
        </is>
      </c>
      <c r="AZ341" t="inlineStr">
        <is>
          <t>No</t>
        </is>
      </c>
      <c r="BB341" t="n">
        <v>4</v>
      </c>
      <c r="BC341" t="inlineStr">
        <is>
          <t>CANCELADO</t>
        </is>
      </c>
      <c r="BN341" t="inlineStr">
        <is>
          <t>Si</t>
        </is>
      </c>
      <c r="BO341" s="117" t="n">
        <v>45839.33541666667</v>
      </c>
      <c r="BP341" t="inlineStr">
        <is>
          <t>Magaly Guevara Perez</t>
        </is>
      </c>
      <c r="BR341" t="n">
        <v>2</v>
      </c>
      <c r="BS341" t="inlineStr">
        <is>
          <t>18/08/2026 13:43</t>
        </is>
      </c>
      <c r="BT341" t="n">
        <v>0</v>
      </c>
      <c r="BX341" t="inlineStr">
        <is>
          <t>Cobranzas_2026.csv</t>
        </is>
      </c>
      <c r="BY341" t="n">
        <v>2026</v>
      </c>
      <c r="BZ341" t="inlineStr">
        <is>
          <t>01/01/2024</t>
        </is>
      </c>
      <c r="CA341" t="inlineStr">
        <is>
          <t>30/09/2031</t>
        </is>
      </c>
    </row>
    <row r="342">
      <c r="A342" t="inlineStr">
        <is>
          <t>RESIDENCIAL VENECIA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204</t>
        </is>
      </c>
      <c r="G342" s="39" t="n">
        <v>483000</v>
      </c>
      <c r="H342" s="39" t="n">
        <v>443000</v>
      </c>
      <c r="I342" t="inlineStr">
        <is>
          <t>Edificio</t>
        </is>
      </c>
      <c r="J342" t="inlineStr">
        <is>
          <t>A</t>
        </is>
      </c>
      <c r="K342" t="inlineStr">
        <is>
          <t>Estacionamiento</t>
        </is>
      </c>
      <c r="L342" t="inlineStr">
        <is>
          <t>E 14 - D 4</t>
        </is>
      </c>
      <c r="M342" s="39" t="n">
        <v>42800</v>
      </c>
      <c r="N342" s="39" t="n">
        <v>42800</v>
      </c>
      <c r="S342" s="39" t="n"/>
      <c r="T342" s="39" t="n"/>
      <c r="Y342" s="39" t="n"/>
      <c r="Z342" s="39" t="n"/>
      <c r="AA342" t="inlineStr">
        <is>
          <t>Carlos La Cruz Crespo</t>
        </is>
      </c>
      <c r="AB342" t="inlineStr">
        <is>
          <t>09022488</t>
        </is>
      </c>
      <c r="AC342" t="inlineStr">
        <is>
          <t>comas</t>
        </is>
      </c>
      <c r="AD342" t="n">
        <v>0</v>
      </c>
      <c r="AE342" t="inlineStr">
        <is>
          <t>997009340</t>
        </is>
      </c>
      <c r="AF342" t="inlineStr">
        <is>
          <t>carlos.14lacruz@gmail.com</t>
        </is>
      </c>
      <c r="AG342" t="inlineStr">
        <is>
          <t>LIMA</t>
        </is>
      </c>
      <c r="AH342" t="inlineStr">
        <is>
          <t>COMAS</t>
        </is>
      </c>
      <c r="AI342" s="116" t="n">
        <v>46027</v>
      </c>
      <c r="AJ342" s="116" t="n">
        <v>46027</v>
      </c>
      <c r="AK342" t="inlineStr">
        <is>
          <t>SALDO FINANCIAR</t>
        </is>
      </c>
      <c r="AL342" t="n">
        <v>1</v>
      </c>
      <c r="AM342" t="n">
        <v>70000</v>
      </c>
      <c r="AN342" t="n">
        <v>0</v>
      </c>
      <c r="AO342" t="n">
        <v>0</v>
      </c>
      <c r="AP342" s="39" t="n">
        <v>70000</v>
      </c>
      <c r="AQ342" s="39" t="n">
        <v>70000</v>
      </c>
      <c r="AR342" s="39" t="n">
        <v>0</v>
      </c>
      <c r="AS342" t="n">
        <v>0</v>
      </c>
      <c r="AT342" t="inlineStr">
        <is>
          <t>Crédito Directo</t>
        </is>
      </c>
      <c r="AU342" t="inlineStr">
        <is>
          <t>Scotiabank Perú</t>
        </is>
      </c>
      <c r="AV342" t="inlineStr">
        <is>
          <t>0004071419</t>
        </is>
      </c>
      <c r="AW342" t="inlineStr">
        <is>
          <t>TRANSFERENCIA BANCARIA</t>
        </is>
      </c>
      <c r="AY342" t="inlineStr">
        <is>
          <t>001368634</t>
        </is>
      </c>
      <c r="AZ342" t="inlineStr">
        <is>
          <t>No</t>
        </is>
      </c>
      <c r="BB342" t="n">
        <v>4</v>
      </c>
      <c r="BC342" t="inlineStr">
        <is>
          <t>CANCELADO</t>
        </is>
      </c>
      <c r="BN342" t="inlineStr">
        <is>
          <t>Si</t>
        </is>
      </c>
      <c r="BO342" s="117" t="n">
        <v>45839.33541666667</v>
      </c>
      <c r="BP342" t="inlineStr">
        <is>
          <t>Magaly Guevara Perez</t>
        </is>
      </c>
      <c r="BR342" t="n">
        <v>2</v>
      </c>
      <c r="BS342" t="inlineStr">
        <is>
          <t>18/08/2026 13:44</t>
        </is>
      </c>
      <c r="BT342" t="n">
        <v>0</v>
      </c>
      <c r="BX342" t="inlineStr">
        <is>
          <t>Cobranzas_2026.csv</t>
        </is>
      </c>
      <c r="BY342" t="n">
        <v>2026</v>
      </c>
      <c r="BZ342" t="inlineStr">
        <is>
          <t>01/01/2024</t>
        </is>
      </c>
      <c r="CA342" t="inlineStr">
        <is>
          <t>30/09/2031</t>
        </is>
      </c>
    </row>
    <row r="343">
      <c r="A343" t="inlineStr">
        <is>
          <t>RESIDENCIAL VENECIA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204</t>
        </is>
      </c>
      <c r="G343" s="39" t="n">
        <v>483000</v>
      </c>
      <c r="H343" s="39" t="n">
        <v>443000</v>
      </c>
      <c r="I343" t="inlineStr">
        <is>
          <t>Edificio</t>
        </is>
      </c>
      <c r="J343" t="inlineStr">
        <is>
          <t>A</t>
        </is>
      </c>
      <c r="K343" t="inlineStr">
        <is>
          <t>Estacionamiento</t>
        </is>
      </c>
      <c r="L343" t="inlineStr">
        <is>
          <t>E 14 - D 4</t>
        </is>
      </c>
      <c r="M343" s="39" t="n">
        <v>42800</v>
      </c>
      <c r="N343" s="39" t="n">
        <v>42800</v>
      </c>
      <c r="S343" s="39" t="n"/>
      <c r="T343" s="39" t="n"/>
      <c r="Y343" s="39" t="n"/>
      <c r="Z343" s="39" t="n"/>
      <c r="AA343" t="inlineStr">
        <is>
          <t>Carlos La Cruz Crespo</t>
        </is>
      </c>
      <c r="AB343" t="inlineStr">
        <is>
          <t>09022488</t>
        </is>
      </c>
      <c r="AC343" t="inlineStr">
        <is>
          <t>comas</t>
        </is>
      </c>
      <c r="AD343" t="n">
        <v>0</v>
      </c>
      <c r="AE343" t="inlineStr">
        <is>
          <t>997009340</t>
        </is>
      </c>
      <c r="AF343" t="inlineStr">
        <is>
          <t>carlos.14lacruz@gmail.com</t>
        </is>
      </c>
      <c r="AG343" t="inlineStr">
        <is>
          <t>LIMA</t>
        </is>
      </c>
      <c r="AH343" t="inlineStr">
        <is>
          <t>COMAS</t>
        </is>
      </c>
      <c r="AI343" s="116" t="n">
        <v>46063</v>
      </c>
      <c r="AJ343" s="116" t="n">
        <v>46063</v>
      </c>
      <c r="AK343" t="inlineStr">
        <is>
          <t>SALDO FINANCIAR</t>
        </is>
      </c>
      <c r="AL343" t="n">
        <v>2</v>
      </c>
      <c r="AM343" t="n">
        <v>83000</v>
      </c>
      <c r="AN343" t="n">
        <v>0</v>
      </c>
      <c r="AO343" t="n">
        <v>0</v>
      </c>
      <c r="AP343" s="39" t="n">
        <v>83000</v>
      </c>
      <c r="AQ343" s="39" t="n">
        <v>83000</v>
      </c>
      <c r="AR343" s="39" t="n">
        <v>0</v>
      </c>
      <c r="AS343" t="n">
        <v>0</v>
      </c>
      <c r="AT343" t="inlineStr">
        <is>
          <t>Crédito Directo</t>
        </is>
      </c>
      <c r="AU343" t="inlineStr">
        <is>
          <t>Scotiabank Perú</t>
        </is>
      </c>
      <c r="AV343" t="inlineStr">
        <is>
          <t>0004071419</t>
        </is>
      </c>
      <c r="AW343" t="inlineStr">
        <is>
          <t>TRANSFERENCIA BANCARIA</t>
        </is>
      </c>
      <c r="AY343" t="inlineStr">
        <is>
          <t>002240036</t>
        </is>
      </c>
      <c r="AZ343" t="inlineStr">
        <is>
          <t>No</t>
        </is>
      </c>
      <c r="BB343" t="n">
        <v>4</v>
      </c>
      <c r="BC343" t="inlineStr">
        <is>
          <t>CANCELADO</t>
        </is>
      </c>
      <c r="BN343" t="inlineStr">
        <is>
          <t>Si</t>
        </is>
      </c>
      <c r="BO343" s="117" t="n">
        <v>45839.33541666667</v>
      </c>
      <c r="BP343" t="inlineStr">
        <is>
          <t>Magaly Guevara Perez</t>
        </is>
      </c>
      <c r="BR343" t="n">
        <v>2</v>
      </c>
      <c r="BS343" t="inlineStr">
        <is>
          <t>18/08/2026 13:44</t>
        </is>
      </c>
      <c r="BT343" t="n">
        <v>0</v>
      </c>
      <c r="BX343" t="inlineStr">
        <is>
          <t>Cobranzas_2026.csv</t>
        </is>
      </c>
      <c r="BY343" t="n">
        <v>2026</v>
      </c>
      <c r="BZ343" t="inlineStr">
        <is>
          <t>01/01/2024</t>
        </is>
      </c>
      <c r="CA343" t="inlineStr">
        <is>
          <t>30/09/2031</t>
        </is>
      </c>
    </row>
    <row r="344">
      <c r="A344" t="inlineStr">
        <is>
          <t>RESIDENCIAL VENECIA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204</t>
        </is>
      </c>
      <c r="G344" s="39" t="n">
        <v>483000</v>
      </c>
      <c r="H344" s="39" t="n">
        <v>443000</v>
      </c>
      <c r="I344" t="inlineStr">
        <is>
          <t>Edificio</t>
        </is>
      </c>
      <c r="J344" t="inlineStr">
        <is>
          <t>A</t>
        </is>
      </c>
      <c r="K344" t="inlineStr">
        <is>
          <t>Estacionamiento</t>
        </is>
      </c>
      <c r="L344" t="inlineStr">
        <is>
          <t>E 14 - D 4</t>
        </is>
      </c>
      <c r="M344" s="39" t="n">
        <v>42800</v>
      </c>
      <c r="N344" s="39" t="n">
        <v>42800</v>
      </c>
      <c r="S344" s="39" t="n"/>
      <c r="T344" s="39" t="n"/>
      <c r="Y344" s="39" t="n"/>
      <c r="Z344" s="39" t="n"/>
      <c r="AA344" t="inlineStr">
        <is>
          <t>Carlos La Cruz Crespo</t>
        </is>
      </c>
      <c r="AB344" t="inlineStr">
        <is>
          <t>09022488</t>
        </is>
      </c>
      <c r="AC344" t="inlineStr">
        <is>
          <t>comas</t>
        </is>
      </c>
      <c r="AD344" t="n">
        <v>0</v>
      </c>
      <c r="AE344" t="inlineStr">
        <is>
          <t>997009340</t>
        </is>
      </c>
      <c r="AF344" t="inlineStr">
        <is>
          <t>carlos.14lacruz@gmail.com</t>
        </is>
      </c>
      <c r="AG344" t="inlineStr">
        <is>
          <t>LIMA</t>
        </is>
      </c>
      <c r="AH344" t="inlineStr">
        <is>
          <t>COMAS</t>
        </is>
      </c>
      <c r="AI344" s="116" t="n">
        <v>46167</v>
      </c>
      <c r="AJ344" s="116" t="n">
        <v>46167</v>
      </c>
      <c r="AK344" t="inlineStr">
        <is>
          <t>SALDO FINANCIAR</t>
        </is>
      </c>
      <c r="AL344" t="n">
        <v>3</v>
      </c>
      <c r="AM344" t="n">
        <v>40000</v>
      </c>
      <c r="AN344" t="n">
        <v>0</v>
      </c>
      <c r="AO344" t="n">
        <v>0</v>
      </c>
      <c r="AP344" s="39" t="n">
        <v>40000</v>
      </c>
      <c r="AQ344" s="39" t="n">
        <v>40000</v>
      </c>
      <c r="AR344" s="39" t="n">
        <v>0</v>
      </c>
      <c r="AS344" t="n">
        <v>0</v>
      </c>
      <c r="AT344" t="inlineStr">
        <is>
          <t>Crédito Directo</t>
        </is>
      </c>
      <c r="AU344" t="inlineStr">
        <is>
          <t>Scotiabank Perú</t>
        </is>
      </c>
      <c r="AV344" t="inlineStr">
        <is>
          <t>0004071419</t>
        </is>
      </c>
      <c r="AW344" t="inlineStr">
        <is>
          <t>TRANSFERENCIA BANCARIA</t>
        </is>
      </c>
      <c r="AY344" t="inlineStr">
        <is>
          <t>004987948</t>
        </is>
      </c>
      <c r="AZ344" t="inlineStr">
        <is>
          <t>No</t>
        </is>
      </c>
      <c r="BB344" t="n">
        <v>4</v>
      </c>
      <c r="BC344" t="inlineStr">
        <is>
          <t>CANCELADO</t>
        </is>
      </c>
      <c r="BN344" t="inlineStr">
        <is>
          <t>Si</t>
        </is>
      </c>
      <c r="BO344" s="117" t="n">
        <v>45839.33541666667</v>
      </c>
      <c r="BP344" t="inlineStr">
        <is>
          <t>Magaly Guevara Perez</t>
        </is>
      </c>
      <c r="BR344" t="n">
        <v>2</v>
      </c>
      <c r="BS344" t="inlineStr">
        <is>
          <t>18/08/2026 13:45</t>
        </is>
      </c>
      <c r="BT344" t="n">
        <v>0</v>
      </c>
      <c r="BX344" t="inlineStr">
        <is>
          <t>Cobranzas_2026.csv</t>
        </is>
      </c>
      <c r="BY344" t="n">
        <v>2026</v>
      </c>
      <c r="BZ344" t="inlineStr">
        <is>
          <t>01/01/2024</t>
        </is>
      </c>
      <c r="CA344" t="inlineStr">
        <is>
          <t>30/09/2031</t>
        </is>
      </c>
    </row>
    <row r="345">
      <c r="A345" t="inlineStr">
        <is>
          <t>RESIDENCIAL VENECIA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204</t>
        </is>
      </c>
      <c r="G345" s="39" t="n">
        <v>483000</v>
      </c>
      <c r="H345" s="39" t="n">
        <v>443000</v>
      </c>
      <c r="I345" t="inlineStr">
        <is>
          <t>Edificio</t>
        </is>
      </c>
      <c r="J345" t="inlineStr">
        <is>
          <t>A</t>
        </is>
      </c>
      <c r="K345" t="inlineStr">
        <is>
          <t>Estacionamiento</t>
        </is>
      </c>
      <c r="L345" t="inlineStr">
        <is>
          <t>E 14 - D 4</t>
        </is>
      </c>
      <c r="M345" s="39" t="n">
        <v>42800</v>
      </c>
      <c r="N345" s="39" t="n">
        <v>42800</v>
      </c>
      <c r="S345" s="39" t="n"/>
      <c r="T345" s="39" t="n"/>
      <c r="Y345" s="39" t="n"/>
      <c r="Z345" s="39" t="n"/>
      <c r="AA345" t="inlineStr">
        <is>
          <t>Carlos La Cruz Crespo</t>
        </is>
      </c>
      <c r="AB345" t="inlineStr">
        <is>
          <t>09022488</t>
        </is>
      </c>
      <c r="AC345" t="inlineStr">
        <is>
          <t>comas</t>
        </is>
      </c>
      <c r="AD345" t="n">
        <v>0</v>
      </c>
      <c r="AE345" t="inlineStr">
        <is>
          <t>997009340</t>
        </is>
      </c>
      <c r="AF345" t="inlineStr">
        <is>
          <t>carlos.14lacruz@gmail.com</t>
        </is>
      </c>
      <c r="AG345" t="inlineStr">
        <is>
          <t>LIMA</t>
        </is>
      </c>
      <c r="AH345" t="inlineStr">
        <is>
          <t>COMAS</t>
        </is>
      </c>
      <c r="AI345" s="116" t="n">
        <v>46295</v>
      </c>
      <c r="AJ345" s="116" t="n"/>
      <c r="AK345" t="inlineStr">
        <is>
          <t>SALDO FINANCIAR</t>
        </is>
      </c>
      <c r="AL345" t="n">
        <v>4</v>
      </c>
      <c r="AM345" t="n">
        <v>98480</v>
      </c>
      <c r="AN345" t="n">
        <v>0</v>
      </c>
      <c r="AO345" t="n">
        <v>0</v>
      </c>
      <c r="AP345" s="39" t="n">
        <v>98480</v>
      </c>
      <c r="AQ345" s="39" t="n">
        <v>0</v>
      </c>
      <c r="AR345" s="39" t="n">
        <v>98480</v>
      </c>
      <c r="AT345" t="inlineStr">
        <is>
          <t>Crédito Directo</t>
        </is>
      </c>
      <c r="AZ345" t="inlineStr">
        <is>
          <t>No</t>
        </is>
      </c>
      <c r="BC345" t="inlineStr">
        <is>
          <t>VENCIDO</t>
        </is>
      </c>
      <c r="BN345" t="inlineStr">
        <is>
          <t>No</t>
        </is>
      </c>
      <c r="BO345" s="117" t="n">
        <v>45839.33541666667</v>
      </c>
      <c r="BP345" t="inlineStr">
        <is>
          <t>Magaly Guevara Perez</t>
        </is>
      </c>
      <c r="BR345" t="n">
        <v>2</v>
      </c>
      <c r="BT345" t="n">
        <v>0</v>
      </c>
      <c r="BX345" t="inlineStr">
        <is>
          <t>Cobranzas_2026.csv</t>
        </is>
      </c>
      <c r="BY345" t="n">
        <v>2026</v>
      </c>
      <c r="BZ345" t="inlineStr">
        <is>
          <t>01/01/2024</t>
        </is>
      </c>
      <c r="CA345" t="inlineStr">
        <is>
          <t>30/09/2031</t>
        </is>
      </c>
    </row>
    <row r="346">
      <c r="A346" t="inlineStr">
        <is>
          <t>RESIDENCIAL BEYOND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1502</t>
        </is>
      </c>
      <c r="G346" s="39" t="n">
        <v>430000</v>
      </c>
      <c r="H346" s="39" t="n">
        <v>369000</v>
      </c>
      <c r="I346" t="inlineStr">
        <is>
          <t>Edificio</t>
        </is>
      </c>
      <c r="J346" t="inlineStr">
        <is>
          <t>A</t>
        </is>
      </c>
      <c r="K346" t="inlineStr">
        <is>
          <t>Estacionamiento</t>
        </is>
      </c>
      <c r="L346" t="inlineStr">
        <is>
          <t>E 39</t>
        </is>
      </c>
      <c r="M346" s="39" t="n">
        <v>43200</v>
      </c>
      <c r="N346" s="39" t="n">
        <v>43200</v>
      </c>
      <c r="S346" s="39" t="n"/>
      <c r="T346" s="39" t="n"/>
      <c r="Y346" s="39" t="n"/>
      <c r="Z346" s="39" t="n"/>
      <c r="AA346" t="inlineStr">
        <is>
          <t>Christian Eduardo Blas Acosta</t>
        </is>
      </c>
      <c r="AB346" t="inlineStr">
        <is>
          <t>47824606</t>
        </is>
      </c>
      <c r="AC346" t="inlineStr">
        <is>
          <t>Av. Los Alisos Urb. Naranjal MZ Ñ-1 LT 27</t>
        </is>
      </c>
      <c r="AD346" t="n">
        <v>0</v>
      </c>
      <c r="AE346" t="inlineStr">
        <is>
          <t>915133898</t>
        </is>
      </c>
      <c r="AF346" t="inlineStr">
        <is>
          <t>cristian12dn@gmail.com</t>
        </is>
      </c>
      <c r="AG346" t="inlineStr">
        <is>
          <t>LIMA</t>
        </is>
      </c>
      <c r="AH346" t="inlineStr">
        <is>
          <t>SAN MARTIN DE PORRES</t>
        </is>
      </c>
      <c r="AI346" s="116" t="n">
        <v>46036</v>
      </c>
      <c r="AJ346" s="116" t="n">
        <v>46036</v>
      </c>
      <c r="AK346" t="inlineStr">
        <is>
          <t>SEPARACION</t>
        </is>
      </c>
      <c r="AL346" t="n">
        <v>1</v>
      </c>
      <c r="AM346" t="n">
        <v>3000</v>
      </c>
      <c r="AN346" t="n">
        <v>0</v>
      </c>
      <c r="AO346" t="n">
        <v>0</v>
      </c>
      <c r="AP346" s="39" t="n">
        <v>3000</v>
      </c>
      <c r="AQ346" s="39" t="n">
        <v>3000</v>
      </c>
      <c r="AR346" s="39" t="n">
        <v>0</v>
      </c>
      <c r="AS346" t="n">
        <v>0</v>
      </c>
      <c r="AT346" t="inlineStr">
        <is>
          <t>Crédito Directo</t>
        </is>
      </c>
      <c r="AU346" t="inlineStr">
        <is>
          <t>Banco de Credito del Perú</t>
        </is>
      </c>
      <c r="AV346" t="inlineStr">
        <is>
          <t>194-7325779-0-65</t>
        </is>
      </c>
      <c r="AW346" t="inlineStr">
        <is>
          <t>TRANSFERENCIA BANCARIA</t>
        </is>
      </c>
      <c r="AY346" t="inlineStr">
        <is>
          <t>02463717</t>
        </is>
      </c>
      <c r="AZ346" t="inlineStr">
        <is>
          <t>No</t>
        </is>
      </c>
      <c r="BB346" t="n">
        <v>4</v>
      </c>
      <c r="BC346" t="inlineStr">
        <is>
          <t>CANCELADO</t>
        </is>
      </c>
      <c r="BN346" t="inlineStr">
        <is>
          <t>Si</t>
        </is>
      </c>
      <c r="BO346" s="117" t="n">
        <v>46046.47361111111</v>
      </c>
      <c r="BP346" t="inlineStr">
        <is>
          <t>Carla Michue M</t>
        </is>
      </c>
      <c r="BR346" t="n">
        <v>10</v>
      </c>
      <c r="BS346" t="inlineStr">
        <is>
          <t>23/05/2026 18:42</t>
        </is>
      </c>
      <c r="BT346" t="n">
        <v>0</v>
      </c>
      <c r="BX346" t="inlineStr">
        <is>
          <t>Cobranzas_2026.csv</t>
        </is>
      </c>
      <c r="BY346" t="n">
        <v>2026</v>
      </c>
      <c r="BZ346" t="inlineStr">
        <is>
          <t>01/01/2024</t>
        </is>
      </c>
      <c r="CA346" t="inlineStr">
        <is>
          <t>30/09/2031</t>
        </is>
      </c>
    </row>
    <row r="347">
      <c r="A347" t="inlineStr">
        <is>
          <t>RESIDENCIAL BEYOND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1502</t>
        </is>
      </c>
      <c r="G347" s="39" t="n">
        <v>430000</v>
      </c>
      <c r="H347" s="39" t="n">
        <v>369000</v>
      </c>
      <c r="I347" t="inlineStr">
        <is>
          <t>Edificio</t>
        </is>
      </c>
      <c r="J347" t="inlineStr">
        <is>
          <t>A</t>
        </is>
      </c>
      <c r="K347" t="inlineStr">
        <is>
          <t>Estacionamiento</t>
        </is>
      </c>
      <c r="L347" t="inlineStr">
        <is>
          <t>E 39</t>
        </is>
      </c>
      <c r="M347" s="39" t="n">
        <v>43200</v>
      </c>
      <c r="N347" s="39" t="n">
        <v>43200</v>
      </c>
      <c r="S347" s="39" t="n"/>
      <c r="T347" s="39" t="n"/>
      <c r="Y347" s="39" t="n"/>
      <c r="Z347" s="39" t="n"/>
      <c r="AA347" t="inlineStr">
        <is>
          <t>Christian Eduardo Blas Acosta</t>
        </is>
      </c>
      <c r="AB347" t="inlineStr">
        <is>
          <t>47824606</t>
        </is>
      </c>
      <c r="AC347" t="inlineStr">
        <is>
          <t>Av. Los Alisos Urb. Naranjal MZ Ñ-1 LT 27</t>
        </is>
      </c>
      <c r="AD347" t="n">
        <v>0</v>
      </c>
      <c r="AE347" t="inlineStr">
        <is>
          <t>915133898</t>
        </is>
      </c>
      <c r="AF347" t="inlineStr">
        <is>
          <t>cristian12dn@gmail.com</t>
        </is>
      </c>
      <c r="AG347" t="inlineStr">
        <is>
          <t>LIMA</t>
        </is>
      </c>
      <c r="AH347" t="inlineStr">
        <is>
          <t>SAN MARTIN DE PORRES</t>
        </is>
      </c>
      <c r="AI347" s="116" t="n">
        <v>46046</v>
      </c>
      <c r="AJ347" s="116" t="n">
        <v>46046</v>
      </c>
      <c r="AK347" t="inlineStr">
        <is>
          <t>CUOTA INICIAL</t>
        </is>
      </c>
      <c r="AL347" t="n">
        <v>1</v>
      </c>
      <c r="AM347" t="n">
        <v>30000</v>
      </c>
      <c r="AN347" t="n">
        <v>0</v>
      </c>
      <c r="AO347" t="n">
        <v>0</v>
      </c>
      <c r="AP347" s="39" t="n">
        <v>30000</v>
      </c>
      <c r="AQ347" s="39" t="n">
        <v>30000</v>
      </c>
      <c r="AR347" s="39" t="n">
        <v>0</v>
      </c>
      <c r="AS347" t="n">
        <v>0</v>
      </c>
      <c r="AT347" t="inlineStr">
        <is>
          <t>Crédito Directo</t>
        </is>
      </c>
      <c r="AU347" t="inlineStr">
        <is>
          <t>Banco de Credito del Perú</t>
        </is>
      </c>
      <c r="AV347" t="inlineStr">
        <is>
          <t>194-7325779-0-65</t>
        </is>
      </c>
      <c r="AW347" t="inlineStr">
        <is>
          <t>TRANSFERENCIA BANCARIA</t>
        </is>
      </c>
      <c r="AY347" t="inlineStr">
        <is>
          <t>00676390</t>
        </is>
      </c>
      <c r="AZ347" t="inlineStr">
        <is>
          <t>No</t>
        </is>
      </c>
      <c r="BB347" t="n">
        <v>4</v>
      </c>
      <c r="BC347" t="inlineStr">
        <is>
          <t>CANCELADO</t>
        </is>
      </c>
      <c r="BN347" t="inlineStr">
        <is>
          <t>Si</t>
        </is>
      </c>
      <c r="BO347" s="117" t="n">
        <v>46046.47361111111</v>
      </c>
      <c r="BP347" t="inlineStr">
        <is>
          <t>Carla Michue M</t>
        </is>
      </c>
      <c r="BR347" t="n">
        <v>10</v>
      </c>
      <c r="BS347" t="inlineStr">
        <is>
          <t>23/05/2026 18:50</t>
        </is>
      </c>
      <c r="BT347" t="n">
        <v>0</v>
      </c>
      <c r="BX347" t="inlineStr">
        <is>
          <t>Cobranzas_2026.csv</t>
        </is>
      </c>
      <c r="BY347" t="n">
        <v>2026</v>
      </c>
      <c r="BZ347" t="inlineStr">
        <is>
          <t>01/01/2024</t>
        </is>
      </c>
      <c r="CA347" t="inlineStr">
        <is>
          <t>30/09/2031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1502</t>
        </is>
      </c>
      <c r="G348" s="39" t="n">
        <v>430000</v>
      </c>
      <c r="H348" s="39" t="n">
        <v>369000</v>
      </c>
      <c r="I348" t="inlineStr">
        <is>
          <t>Edificio</t>
        </is>
      </c>
      <c r="J348" t="inlineStr">
        <is>
          <t>A</t>
        </is>
      </c>
      <c r="K348" t="inlineStr">
        <is>
          <t>Estacionamiento</t>
        </is>
      </c>
      <c r="L348" t="inlineStr">
        <is>
          <t>E 39</t>
        </is>
      </c>
      <c r="M348" s="39" t="n">
        <v>43200</v>
      </c>
      <c r="N348" s="39" t="n">
        <v>43200</v>
      </c>
      <c r="S348" s="39" t="n"/>
      <c r="T348" s="39" t="n"/>
      <c r="Y348" s="39" t="n"/>
      <c r="Z348" s="39" t="n"/>
      <c r="AA348" t="inlineStr">
        <is>
          <t>Christian Eduardo Blas Acosta</t>
        </is>
      </c>
      <c r="AB348" t="inlineStr">
        <is>
          <t>47824606</t>
        </is>
      </c>
      <c r="AC348" t="inlineStr">
        <is>
          <t>Av. Los Alisos Urb. Naranjal MZ Ñ-1 LT 27</t>
        </is>
      </c>
      <c r="AD348" t="n">
        <v>0</v>
      </c>
      <c r="AE348" t="inlineStr">
        <is>
          <t>915133898</t>
        </is>
      </c>
      <c r="AF348" t="inlineStr">
        <is>
          <t>cristian12dn@gmail.com</t>
        </is>
      </c>
      <c r="AG348" t="inlineStr">
        <is>
          <t>LIMA</t>
        </is>
      </c>
      <c r="AH348" t="inlineStr">
        <is>
          <t>SAN MARTIN DE PORRES</t>
        </is>
      </c>
      <c r="AI348" s="116" t="n">
        <v>46048</v>
      </c>
      <c r="AJ348" s="116" t="n">
        <v>46048</v>
      </c>
      <c r="AK348" t="inlineStr">
        <is>
          <t>CUOTA INICIAL</t>
        </is>
      </c>
      <c r="AL348" t="n">
        <v>2</v>
      </c>
      <c r="AM348" t="n">
        <v>70000</v>
      </c>
      <c r="AN348" t="n">
        <v>0</v>
      </c>
      <c r="AO348" t="n">
        <v>0</v>
      </c>
      <c r="AP348" s="39" t="n">
        <v>70000</v>
      </c>
      <c r="AQ348" s="39" t="n">
        <v>70000</v>
      </c>
      <c r="AR348" s="39" t="n">
        <v>0</v>
      </c>
      <c r="AS348" t="n">
        <v>0</v>
      </c>
      <c r="AT348" t="inlineStr">
        <is>
          <t>Crédito Directo</t>
        </is>
      </c>
      <c r="AU348" t="inlineStr">
        <is>
          <t>Banco de Credito del Perú</t>
        </is>
      </c>
      <c r="AV348" t="inlineStr">
        <is>
          <t>194-7325779-0-65</t>
        </is>
      </c>
      <c r="AW348" t="inlineStr">
        <is>
          <t>TRANSFERENCIA BANCARIA</t>
        </is>
      </c>
      <c r="AY348" t="inlineStr">
        <is>
          <t>0062</t>
        </is>
      </c>
      <c r="AZ348" t="inlineStr">
        <is>
          <t>No</t>
        </is>
      </c>
      <c r="BB348" t="n">
        <v>4</v>
      </c>
      <c r="BC348" t="inlineStr">
        <is>
          <t>CANCELADO</t>
        </is>
      </c>
      <c r="BN348" t="inlineStr">
        <is>
          <t>Si</t>
        </is>
      </c>
      <c r="BO348" s="117" t="n">
        <v>46046.47361111111</v>
      </c>
      <c r="BP348" t="inlineStr">
        <is>
          <t>Carla Michue M</t>
        </is>
      </c>
      <c r="BR348" t="n">
        <v>10</v>
      </c>
      <c r="BS348" t="inlineStr">
        <is>
          <t>23/05/2026 18:50</t>
        </is>
      </c>
      <c r="BT348" t="n">
        <v>0</v>
      </c>
      <c r="BX348" t="inlineStr">
        <is>
          <t>Cobranzas_2026.csv</t>
        </is>
      </c>
      <c r="BY348" t="n">
        <v>2026</v>
      </c>
      <c r="BZ348" t="inlineStr">
        <is>
          <t>01/01/2024</t>
        </is>
      </c>
      <c r="CA348" t="inlineStr">
        <is>
          <t>30/09/2031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1502</t>
        </is>
      </c>
      <c r="G349" s="39" t="n">
        <v>430000</v>
      </c>
      <c r="H349" s="39" t="n">
        <v>369000</v>
      </c>
      <c r="I349" t="inlineStr">
        <is>
          <t>Edificio</t>
        </is>
      </c>
      <c r="J349" t="inlineStr">
        <is>
          <t>A</t>
        </is>
      </c>
      <c r="K349" t="inlineStr">
        <is>
          <t>Estacionamiento</t>
        </is>
      </c>
      <c r="L349" t="inlineStr">
        <is>
          <t>E 39</t>
        </is>
      </c>
      <c r="M349" s="39" t="n">
        <v>43200</v>
      </c>
      <c r="N349" s="39" t="n">
        <v>43200</v>
      </c>
      <c r="S349" s="39" t="n"/>
      <c r="T349" s="39" t="n"/>
      <c r="Y349" s="39" t="n"/>
      <c r="Z349" s="39" t="n"/>
      <c r="AA349" t="inlineStr">
        <is>
          <t>Christian Eduardo Blas Acosta</t>
        </is>
      </c>
      <c r="AB349" t="inlineStr">
        <is>
          <t>47824606</t>
        </is>
      </c>
      <c r="AC349" t="inlineStr">
        <is>
          <t>Av. Los Alisos Urb. Naranjal MZ Ñ-1 LT 27</t>
        </is>
      </c>
      <c r="AD349" t="n">
        <v>0</v>
      </c>
      <c r="AE349" t="inlineStr">
        <is>
          <t>915133898</t>
        </is>
      </c>
      <c r="AF349" t="inlineStr">
        <is>
          <t>cristian12dn@gmail.com</t>
        </is>
      </c>
      <c r="AG349" t="inlineStr">
        <is>
          <t>LIMA</t>
        </is>
      </c>
      <c r="AH349" t="inlineStr">
        <is>
          <t>SAN MARTIN DE PORRES</t>
        </is>
      </c>
      <c r="AI349" s="116" t="n">
        <v>46142</v>
      </c>
      <c r="AJ349" s="116" t="n">
        <v>46142</v>
      </c>
      <c r="AK349" t="inlineStr">
        <is>
          <t>CUOTA INICIAL</t>
        </is>
      </c>
      <c r="AL349" t="n">
        <v>3</v>
      </c>
      <c r="AM349" t="n">
        <v>41270</v>
      </c>
      <c r="AN349" t="n">
        <v>0</v>
      </c>
      <c r="AO349" t="n">
        <v>0</v>
      </c>
      <c r="AP349" s="39" t="n">
        <v>41270</v>
      </c>
      <c r="AQ349" s="39" t="n">
        <v>41270</v>
      </c>
      <c r="AR349" s="39" t="n">
        <v>0</v>
      </c>
      <c r="AS349" t="n">
        <v>0</v>
      </c>
      <c r="AT349" t="inlineStr">
        <is>
          <t>Crédito Directo</t>
        </is>
      </c>
      <c r="AU349" t="inlineStr">
        <is>
          <t>Banco de Credito del Perú</t>
        </is>
      </c>
      <c r="AV349" t="inlineStr">
        <is>
          <t>194-7325779-0-65</t>
        </is>
      </c>
      <c r="AW349" t="inlineStr">
        <is>
          <t>TRANSFERENCIA BANCARIA</t>
        </is>
      </c>
      <c r="AY349" t="inlineStr">
        <is>
          <t>0724405</t>
        </is>
      </c>
      <c r="AZ349" t="inlineStr">
        <is>
          <t>No</t>
        </is>
      </c>
      <c r="BB349" t="n">
        <v>4</v>
      </c>
      <c r="BC349" t="inlineStr">
        <is>
          <t>CANCELADO</t>
        </is>
      </c>
      <c r="BN349" t="inlineStr">
        <is>
          <t>Si</t>
        </is>
      </c>
      <c r="BO349" s="117" t="n">
        <v>46046.47361111111</v>
      </c>
      <c r="BP349" t="inlineStr">
        <is>
          <t>Carla Michue M</t>
        </is>
      </c>
      <c r="BR349" t="n">
        <v>10</v>
      </c>
      <c r="BS349" t="inlineStr">
        <is>
          <t>27/07/2026 16:50</t>
        </is>
      </c>
      <c r="BT349" t="n">
        <v>0</v>
      </c>
      <c r="BX349" t="inlineStr">
        <is>
          <t>Cobranzas_2026.csv</t>
        </is>
      </c>
      <c r="BY349" t="n">
        <v>2026</v>
      </c>
      <c r="BZ349" t="inlineStr">
        <is>
          <t>01/01/2024</t>
        </is>
      </c>
      <c r="CA349" t="inlineStr">
        <is>
          <t>30/09/2031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1502</t>
        </is>
      </c>
      <c r="G350" s="39" t="n">
        <v>430000</v>
      </c>
      <c r="H350" s="39" t="n">
        <v>369000</v>
      </c>
      <c r="I350" t="inlineStr">
        <is>
          <t>Edificio</t>
        </is>
      </c>
      <c r="J350" t="inlineStr">
        <is>
          <t>A</t>
        </is>
      </c>
      <c r="K350" t="inlineStr">
        <is>
          <t>Estacionamiento</t>
        </is>
      </c>
      <c r="L350" t="inlineStr">
        <is>
          <t>E 39</t>
        </is>
      </c>
      <c r="M350" s="39" t="n">
        <v>43200</v>
      </c>
      <c r="N350" s="39" t="n">
        <v>43200</v>
      </c>
      <c r="S350" s="39" t="n"/>
      <c r="T350" s="39" t="n"/>
      <c r="Y350" s="39" t="n"/>
      <c r="Z350" s="39" t="n"/>
      <c r="AA350" t="inlineStr">
        <is>
          <t>Christian Eduardo Blas Acosta</t>
        </is>
      </c>
      <c r="AB350" t="inlineStr">
        <is>
          <t>47824606</t>
        </is>
      </c>
      <c r="AC350" t="inlineStr">
        <is>
          <t>Av. Los Alisos Urb. Naranjal MZ Ñ-1 LT 27</t>
        </is>
      </c>
      <c r="AD350" t="n">
        <v>0</v>
      </c>
      <c r="AE350" t="inlineStr">
        <is>
          <t>915133898</t>
        </is>
      </c>
      <c r="AF350" t="inlineStr">
        <is>
          <t>cristian12dn@gmail.com</t>
        </is>
      </c>
      <c r="AG350" t="inlineStr">
        <is>
          <t>LIMA</t>
        </is>
      </c>
      <c r="AH350" t="inlineStr">
        <is>
          <t>SAN MARTIN DE PORRES</t>
        </is>
      </c>
      <c r="AI350" s="116" t="n">
        <v>46172</v>
      </c>
      <c r="AJ350" s="116" t="n">
        <v>46171</v>
      </c>
      <c r="AK350" t="inlineStr">
        <is>
          <t>SALDO FINANCIAR</t>
        </is>
      </c>
      <c r="AL350" t="n">
        <v>1</v>
      </c>
      <c r="AM350" t="n">
        <v>12000</v>
      </c>
      <c r="AN350" t="n">
        <v>0</v>
      </c>
      <c r="AO350" t="n">
        <v>0</v>
      </c>
      <c r="AP350" s="39" t="n">
        <v>12000</v>
      </c>
      <c r="AQ350" s="39" t="n">
        <v>12000</v>
      </c>
      <c r="AR350" s="39" t="n">
        <v>0</v>
      </c>
      <c r="AS350" t="n">
        <v>0</v>
      </c>
      <c r="AT350" t="inlineStr">
        <is>
          <t>Crédito Directo</t>
        </is>
      </c>
      <c r="AU350" t="inlineStr">
        <is>
          <t>Banco de Credito del Perú</t>
        </is>
      </c>
      <c r="AV350" t="inlineStr">
        <is>
          <t>194-7325779-0-65</t>
        </is>
      </c>
      <c r="AW350" t="inlineStr">
        <is>
          <t>TRANSFERENCIA BANCARIA</t>
        </is>
      </c>
      <c r="AY350" t="inlineStr">
        <is>
          <t>02742529</t>
        </is>
      </c>
      <c r="AZ350" t="inlineStr">
        <is>
          <t>No</t>
        </is>
      </c>
      <c r="BB350" t="n">
        <v>4</v>
      </c>
      <c r="BC350" t="inlineStr">
        <is>
          <t>CANCELADO</t>
        </is>
      </c>
      <c r="BN350" t="inlineStr">
        <is>
          <t>Si</t>
        </is>
      </c>
      <c r="BO350" s="117" t="n">
        <v>46046.47361111111</v>
      </c>
      <c r="BP350" t="inlineStr">
        <is>
          <t>Carla Michue M</t>
        </is>
      </c>
      <c r="BR350" t="n">
        <v>10</v>
      </c>
      <c r="BS350" t="inlineStr">
        <is>
          <t>27/07/2026 16:51</t>
        </is>
      </c>
      <c r="BT350" t="n">
        <v>0</v>
      </c>
      <c r="BX350" t="inlineStr">
        <is>
          <t>Cobranzas_2026.csv</t>
        </is>
      </c>
      <c r="BY350" t="n">
        <v>2026</v>
      </c>
      <c r="BZ350" t="inlineStr">
        <is>
          <t>01/01/2024</t>
        </is>
      </c>
      <c r="CA350" t="inlineStr">
        <is>
          <t>30/09/2031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1502</t>
        </is>
      </c>
      <c r="G351" s="39" t="n">
        <v>430000</v>
      </c>
      <c r="H351" s="39" t="n">
        <v>369000</v>
      </c>
      <c r="I351" t="inlineStr">
        <is>
          <t>Edificio</t>
        </is>
      </c>
      <c r="J351" t="inlineStr">
        <is>
          <t>A</t>
        </is>
      </c>
      <c r="K351" t="inlineStr">
        <is>
          <t>Estacionamiento</t>
        </is>
      </c>
      <c r="L351" t="inlineStr">
        <is>
          <t>E 39</t>
        </is>
      </c>
      <c r="M351" s="39" t="n">
        <v>43200</v>
      </c>
      <c r="N351" s="39" t="n">
        <v>43200</v>
      </c>
      <c r="S351" s="39" t="n"/>
      <c r="T351" s="39" t="n"/>
      <c r="Y351" s="39" t="n"/>
      <c r="Z351" s="39" t="n"/>
      <c r="AA351" t="inlineStr">
        <is>
          <t>Christian Eduardo Blas Acosta</t>
        </is>
      </c>
      <c r="AB351" t="inlineStr">
        <is>
          <t>47824606</t>
        </is>
      </c>
      <c r="AC351" t="inlineStr">
        <is>
          <t>Av. Los Alisos Urb. Naranjal MZ Ñ-1 LT 27</t>
        </is>
      </c>
      <c r="AD351" t="n">
        <v>0</v>
      </c>
      <c r="AE351" t="inlineStr">
        <is>
          <t>915133898</t>
        </is>
      </c>
      <c r="AF351" t="inlineStr">
        <is>
          <t>cristian12dn@gmail.com</t>
        </is>
      </c>
      <c r="AG351" t="inlineStr">
        <is>
          <t>LIMA</t>
        </is>
      </c>
      <c r="AH351" t="inlineStr">
        <is>
          <t>SAN MARTIN DE PORRES</t>
        </is>
      </c>
      <c r="AI351" s="116" t="n">
        <v>46203</v>
      </c>
      <c r="AJ351" s="116" t="n">
        <v>46202</v>
      </c>
      <c r="AK351" t="inlineStr">
        <is>
          <t>SALDO FINANCIAR</t>
        </is>
      </c>
      <c r="AL351" t="n">
        <v>2</v>
      </c>
      <c r="AM351" t="n">
        <v>12000</v>
      </c>
      <c r="AN351" t="n">
        <v>0</v>
      </c>
      <c r="AO351" t="n">
        <v>0</v>
      </c>
      <c r="AP351" s="39" t="n">
        <v>12000</v>
      </c>
      <c r="AQ351" s="39" t="n">
        <v>12000</v>
      </c>
      <c r="AR351" s="39" t="n">
        <v>0</v>
      </c>
      <c r="AS351" t="n">
        <v>0</v>
      </c>
      <c r="AT351" t="inlineStr">
        <is>
          <t>Crédito Directo</t>
        </is>
      </c>
      <c r="AU351" t="inlineStr">
        <is>
          <t>Banco de Credito del Perú</t>
        </is>
      </c>
      <c r="AV351" t="inlineStr">
        <is>
          <t>194-7325779-0-65</t>
        </is>
      </c>
      <c r="AW351" t="inlineStr">
        <is>
          <t>TRANSFERENCIA BANCARIA</t>
        </is>
      </c>
      <c r="AY351" t="inlineStr">
        <is>
          <t>02149551</t>
        </is>
      </c>
      <c r="AZ351" t="inlineStr">
        <is>
          <t>No</t>
        </is>
      </c>
      <c r="BB351" t="n">
        <v>4</v>
      </c>
      <c r="BC351" t="inlineStr">
        <is>
          <t>CANCELADO</t>
        </is>
      </c>
      <c r="BN351" t="inlineStr">
        <is>
          <t>Si</t>
        </is>
      </c>
      <c r="BO351" s="117" t="n">
        <v>46046.47361111111</v>
      </c>
      <c r="BP351" t="inlineStr">
        <is>
          <t>Carla Michue M</t>
        </is>
      </c>
      <c r="BR351" t="n">
        <v>10</v>
      </c>
      <c r="BS351" t="inlineStr">
        <is>
          <t>17/08/2026 18:10</t>
        </is>
      </c>
      <c r="BT351" t="n">
        <v>0</v>
      </c>
      <c r="BX351" t="inlineStr">
        <is>
          <t>Cobranzas_2026.csv</t>
        </is>
      </c>
      <c r="BY351" t="n">
        <v>2026</v>
      </c>
      <c r="BZ351" t="inlineStr">
        <is>
          <t>01/01/2024</t>
        </is>
      </c>
      <c r="CA351" t="inlineStr">
        <is>
          <t>30/09/2031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1502</t>
        </is>
      </c>
      <c r="G352" s="39" t="n">
        <v>430000</v>
      </c>
      <c r="H352" s="39" t="n">
        <v>369000</v>
      </c>
      <c r="I352" t="inlineStr">
        <is>
          <t>Edificio</t>
        </is>
      </c>
      <c r="J352" t="inlineStr">
        <is>
          <t>A</t>
        </is>
      </c>
      <c r="K352" t="inlineStr">
        <is>
          <t>Estacionamiento</t>
        </is>
      </c>
      <c r="L352" t="inlineStr">
        <is>
          <t>E 39</t>
        </is>
      </c>
      <c r="M352" s="39" t="n">
        <v>43200</v>
      </c>
      <c r="N352" s="39" t="n">
        <v>43200</v>
      </c>
      <c r="S352" s="39" t="n"/>
      <c r="T352" s="39" t="n"/>
      <c r="Y352" s="39" t="n"/>
      <c r="Z352" s="39" t="n"/>
      <c r="AA352" t="inlineStr">
        <is>
          <t>Christian Eduardo Blas Acosta</t>
        </is>
      </c>
      <c r="AB352" t="inlineStr">
        <is>
          <t>47824606</t>
        </is>
      </c>
      <c r="AC352" t="inlineStr">
        <is>
          <t>Av. Los Alisos Urb. Naranjal MZ Ñ-1 LT 27</t>
        </is>
      </c>
      <c r="AD352" t="n">
        <v>0</v>
      </c>
      <c r="AE352" t="inlineStr">
        <is>
          <t>915133898</t>
        </is>
      </c>
      <c r="AF352" t="inlineStr">
        <is>
          <t>cristian12dn@gmail.com</t>
        </is>
      </c>
      <c r="AG352" t="inlineStr">
        <is>
          <t>LIMA</t>
        </is>
      </c>
      <c r="AH352" t="inlineStr">
        <is>
          <t>SAN MARTIN DE PORRES</t>
        </is>
      </c>
      <c r="AI352" s="116" t="n">
        <v>46233</v>
      </c>
      <c r="AJ352" s="116" t="n">
        <v>46234</v>
      </c>
      <c r="AK352" t="inlineStr">
        <is>
          <t>SALDO FINANCIAR</t>
        </is>
      </c>
      <c r="AL352" t="n">
        <v>3</v>
      </c>
      <c r="AM352" t="n">
        <v>12000</v>
      </c>
      <c r="AN352" t="n">
        <v>0</v>
      </c>
      <c r="AO352" t="n">
        <v>0</v>
      </c>
      <c r="AP352" s="39" t="n">
        <v>12000</v>
      </c>
      <c r="AQ352" s="39" t="n">
        <v>12000</v>
      </c>
      <c r="AR352" s="39" t="n">
        <v>0</v>
      </c>
      <c r="AS352" t="n">
        <v>0</v>
      </c>
      <c r="AT352" t="inlineStr">
        <is>
          <t>Crédito Directo</t>
        </is>
      </c>
      <c r="AU352" t="inlineStr">
        <is>
          <t>Banco de Credito del Perú</t>
        </is>
      </c>
      <c r="AV352" t="inlineStr">
        <is>
          <t>194-7325779-0-65</t>
        </is>
      </c>
      <c r="AW352" t="inlineStr">
        <is>
          <t>TRANSFERENCIA BANCARIA</t>
        </is>
      </c>
      <c r="AY352" t="inlineStr">
        <is>
          <t>07550624</t>
        </is>
      </c>
      <c r="AZ352" t="inlineStr">
        <is>
          <t>No</t>
        </is>
      </c>
      <c r="BB352" t="n">
        <v>4</v>
      </c>
      <c r="BC352" t="inlineStr">
        <is>
          <t>CANCELADO</t>
        </is>
      </c>
      <c r="BN352" t="inlineStr">
        <is>
          <t>Si</t>
        </is>
      </c>
      <c r="BO352" s="117" t="n">
        <v>46046.47361111111</v>
      </c>
      <c r="BP352" t="inlineStr">
        <is>
          <t>Carla Michue M</t>
        </is>
      </c>
      <c r="BR352" t="n">
        <v>10</v>
      </c>
      <c r="BS352" t="inlineStr">
        <is>
          <t>17/08/2026 18:10</t>
        </is>
      </c>
      <c r="BT352" t="n">
        <v>0</v>
      </c>
      <c r="BX352" t="inlineStr">
        <is>
          <t>Cobranzas_2026.csv</t>
        </is>
      </c>
      <c r="BY352" t="n">
        <v>2026</v>
      </c>
      <c r="BZ352" t="inlineStr">
        <is>
          <t>01/01/2024</t>
        </is>
      </c>
      <c r="CA352" t="inlineStr">
        <is>
          <t>30/09/2031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1502</t>
        </is>
      </c>
      <c r="G353" s="39" t="n">
        <v>430000</v>
      </c>
      <c r="H353" s="39" t="n">
        <v>369000</v>
      </c>
      <c r="I353" t="inlineStr">
        <is>
          <t>Edificio</t>
        </is>
      </c>
      <c r="J353" t="inlineStr">
        <is>
          <t>A</t>
        </is>
      </c>
      <c r="K353" t="inlineStr">
        <is>
          <t>Estacionamiento</t>
        </is>
      </c>
      <c r="L353" t="inlineStr">
        <is>
          <t>E 39</t>
        </is>
      </c>
      <c r="M353" s="39" t="n">
        <v>43200</v>
      </c>
      <c r="N353" s="39" t="n">
        <v>43200</v>
      </c>
      <c r="S353" s="39" t="n"/>
      <c r="T353" s="39" t="n"/>
      <c r="Y353" s="39" t="n"/>
      <c r="Z353" s="39" t="n"/>
      <c r="AA353" t="inlineStr">
        <is>
          <t>Christian Eduardo Blas Acosta</t>
        </is>
      </c>
      <c r="AB353" t="inlineStr">
        <is>
          <t>47824606</t>
        </is>
      </c>
      <c r="AC353" t="inlineStr">
        <is>
          <t>Av. Los Alisos Urb. Naranjal MZ Ñ-1 LT 27</t>
        </is>
      </c>
      <c r="AD353" t="n">
        <v>0</v>
      </c>
      <c r="AE353" t="inlineStr">
        <is>
          <t>915133898</t>
        </is>
      </c>
      <c r="AF353" t="inlineStr">
        <is>
          <t>cristian12dn@gmail.com</t>
        </is>
      </c>
      <c r="AG353" t="inlineStr">
        <is>
          <t>LIMA</t>
        </is>
      </c>
      <c r="AH353" t="inlineStr">
        <is>
          <t>SAN MARTIN DE PORRES</t>
        </is>
      </c>
      <c r="AI353" s="116" t="n">
        <v>46264</v>
      </c>
      <c r="AJ353" s="116" t="n">
        <v>46265</v>
      </c>
      <c r="AK353" t="inlineStr">
        <is>
          <t>SALDO FINANCIAR</t>
        </is>
      </c>
      <c r="AL353" t="n">
        <v>4</v>
      </c>
      <c r="AM353" t="n">
        <v>12000</v>
      </c>
      <c r="AN353" t="n">
        <v>0</v>
      </c>
      <c r="AO353" t="n">
        <v>0</v>
      </c>
      <c r="AP353" s="39" t="n">
        <v>12000</v>
      </c>
      <c r="AQ353" s="39" t="n">
        <v>12000</v>
      </c>
      <c r="AR353" s="39" t="n">
        <v>0</v>
      </c>
      <c r="AS353" t="n">
        <v>0</v>
      </c>
      <c r="AT353" t="inlineStr">
        <is>
          <t>Crédito Directo</t>
        </is>
      </c>
      <c r="AU353" t="inlineStr">
        <is>
          <t>Banco de Credito del Perú</t>
        </is>
      </c>
      <c r="AV353" t="inlineStr">
        <is>
          <t>194-7325779-0-65</t>
        </is>
      </c>
      <c r="AW353" t="inlineStr">
        <is>
          <t>TRANSFERENCIA BANCARIA</t>
        </is>
      </c>
      <c r="AY353" t="inlineStr">
        <is>
          <t>018193638</t>
        </is>
      </c>
      <c r="AZ353" t="inlineStr">
        <is>
          <t>No</t>
        </is>
      </c>
      <c r="BB353" t="n">
        <v>4</v>
      </c>
      <c r="BC353" t="inlineStr">
        <is>
          <t>CANCELADO</t>
        </is>
      </c>
      <c r="BN353" t="inlineStr">
        <is>
          <t>Si</t>
        </is>
      </c>
      <c r="BO353" s="117" t="n">
        <v>46046.47361111111</v>
      </c>
      <c r="BP353" t="inlineStr">
        <is>
          <t>Carla Michue M</t>
        </is>
      </c>
      <c r="BR353" t="n">
        <v>10</v>
      </c>
      <c r="BS353" t="inlineStr">
        <is>
          <t>01/09/2026 10:04</t>
        </is>
      </c>
      <c r="BT353" t="n">
        <v>0</v>
      </c>
      <c r="BX353" t="inlineStr">
        <is>
          <t>Cobranzas_2026.csv</t>
        </is>
      </c>
      <c r="BY353" t="n">
        <v>2026</v>
      </c>
      <c r="BZ353" t="inlineStr">
        <is>
          <t>01/01/2024</t>
        </is>
      </c>
      <c r="CA353" t="inlineStr">
        <is>
          <t>30/09/2031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1502</t>
        </is>
      </c>
      <c r="G354" s="39" t="n">
        <v>430000</v>
      </c>
      <c r="H354" s="39" t="n">
        <v>369000</v>
      </c>
      <c r="I354" t="inlineStr">
        <is>
          <t>Edificio</t>
        </is>
      </c>
      <c r="J354" t="inlineStr">
        <is>
          <t>A</t>
        </is>
      </c>
      <c r="K354" t="inlineStr">
        <is>
          <t>Estacionamiento</t>
        </is>
      </c>
      <c r="L354" t="inlineStr">
        <is>
          <t>E 39</t>
        </is>
      </c>
      <c r="M354" s="39" t="n">
        <v>43200</v>
      </c>
      <c r="N354" s="39" t="n">
        <v>43200</v>
      </c>
      <c r="S354" s="39" t="n"/>
      <c r="T354" s="39" t="n"/>
      <c r="Y354" s="39" t="n"/>
      <c r="Z354" s="39" t="n"/>
      <c r="AA354" t="inlineStr">
        <is>
          <t>Christian Eduardo Blas Acosta</t>
        </is>
      </c>
      <c r="AB354" t="inlineStr">
        <is>
          <t>47824606</t>
        </is>
      </c>
      <c r="AC354" t="inlineStr">
        <is>
          <t>Av. Los Alisos Urb. Naranjal MZ Ñ-1 LT 27</t>
        </is>
      </c>
      <c r="AD354" t="n">
        <v>0</v>
      </c>
      <c r="AE354" t="inlineStr">
        <is>
          <t>915133898</t>
        </is>
      </c>
      <c r="AF354" t="inlineStr">
        <is>
          <t>cristian12dn@gmail.com</t>
        </is>
      </c>
      <c r="AG354" t="inlineStr">
        <is>
          <t>LIMA</t>
        </is>
      </c>
      <c r="AH354" t="inlineStr">
        <is>
          <t>SAN MARTIN DE PORRES</t>
        </is>
      </c>
      <c r="AI354" s="116" t="n">
        <v>46295</v>
      </c>
      <c r="AJ354" s="116" t="n"/>
      <c r="AK354" t="inlineStr">
        <is>
          <t>SALDO FINANCIAR</t>
        </is>
      </c>
      <c r="AL354" t="n">
        <v>5</v>
      </c>
      <c r="AM354" t="n">
        <v>12000</v>
      </c>
      <c r="AN354" t="n">
        <v>0</v>
      </c>
      <c r="AO354" t="n">
        <v>0</v>
      </c>
      <c r="AP354" s="39" t="n">
        <v>12000</v>
      </c>
      <c r="AQ354" s="39" t="n">
        <v>0</v>
      </c>
      <c r="AR354" s="39" t="n">
        <v>12000</v>
      </c>
      <c r="AT354" t="inlineStr">
        <is>
          <t>Crédito Directo</t>
        </is>
      </c>
      <c r="AZ354" t="inlineStr">
        <is>
          <t>No</t>
        </is>
      </c>
      <c r="BC354" t="inlineStr">
        <is>
          <t>VENCIDO</t>
        </is>
      </c>
      <c r="BN354" t="inlineStr">
        <is>
          <t>No</t>
        </is>
      </c>
      <c r="BO354" s="117" t="n">
        <v>46046.47361111111</v>
      </c>
      <c r="BP354" t="inlineStr">
        <is>
          <t>Carla Michue M</t>
        </is>
      </c>
      <c r="BR354" t="n">
        <v>10</v>
      </c>
      <c r="BT354" t="n">
        <v>0</v>
      </c>
      <c r="BX354" t="inlineStr">
        <is>
          <t>Cobranzas_2026.csv</t>
        </is>
      </c>
      <c r="BY354" t="n">
        <v>2026</v>
      </c>
      <c r="BZ354" t="inlineStr">
        <is>
          <t>01/01/2024</t>
        </is>
      </c>
      <c r="CA354" t="inlineStr">
        <is>
          <t>30/09/2031</t>
        </is>
      </c>
    </row>
    <row r="355">
      <c r="A355" t="inlineStr">
        <is>
          <t>RESIDENCIAL BEYOND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1502</t>
        </is>
      </c>
      <c r="G355" s="39" t="n">
        <v>430000</v>
      </c>
      <c r="H355" s="39" t="n">
        <v>369000</v>
      </c>
      <c r="I355" t="inlineStr">
        <is>
          <t>Edificio</t>
        </is>
      </c>
      <c r="J355" t="inlineStr">
        <is>
          <t>A</t>
        </is>
      </c>
      <c r="K355" t="inlineStr">
        <is>
          <t>Estacionamiento</t>
        </is>
      </c>
      <c r="L355" t="inlineStr">
        <is>
          <t>E 39</t>
        </is>
      </c>
      <c r="M355" s="39" t="n">
        <v>43200</v>
      </c>
      <c r="N355" s="39" t="n">
        <v>43200</v>
      </c>
      <c r="S355" s="39" t="n"/>
      <c r="T355" s="39" t="n"/>
      <c r="Y355" s="39" t="n"/>
      <c r="Z355" s="39" t="n"/>
      <c r="AA355" t="inlineStr">
        <is>
          <t>Christian Eduardo Blas Acosta</t>
        </is>
      </c>
      <c r="AB355" t="inlineStr">
        <is>
          <t>47824606</t>
        </is>
      </c>
      <c r="AC355" t="inlineStr">
        <is>
          <t>Av. Los Alisos Urb. Naranjal MZ Ñ-1 LT 27</t>
        </is>
      </c>
      <c r="AD355" t="n">
        <v>0</v>
      </c>
      <c r="AE355" t="inlineStr">
        <is>
          <t>915133898</t>
        </is>
      </c>
      <c r="AF355" t="inlineStr">
        <is>
          <t>cristian12dn@gmail.com</t>
        </is>
      </c>
      <c r="AG355" t="inlineStr">
        <is>
          <t>LIMA</t>
        </is>
      </c>
      <c r="AH355" t="inlineStr">
        <is>
          <t>SAN MARTIN DE PORRES</t>
        </is>
      </c>
      <c r="AI355" s="116" t="n">
        <v>46325</v>
      </c>
      <c r="AJ355" s="116" t="n"/>
      <c r="AK355" t="inlineStr">
        <is>
          <t>SALDO FINANCIAR</t>
        </is>
      </c>
      <c r="AL355" t="n">
        <v>6</v>
      </c>
      <c r="AM355" t="n">
        <v>12000</v>
      </c>
      <c r="AN355" t="n">
        <v>0</v>
      </c>
      <c r="AO355" t="n">
        <v>0</v>
      </c>
      <c r="AP355" s="39" t="n">
        <v>12000</v>
      </c>
      <c r="AQ355" s="39" t="n">
        <v>0</v>
      </c>
      <c r="AR355" s="39" t="n">
        <v>12000</v>
      </c>
      <c r="AT355" t="inlineStr">
        <is>
          <t>Crédito Directo</t>
        </is>
      </c>
      <c r="AZ355" t="inlineStr">
        <is>
          <t>No</t>
        </is>
      </c>
      <c r="BC355" t="inlineStr">
        <is>
          <t>PENDIENTE</t>
        </is>
      </c>
      <c r="BN355" t="inlineStr">
        <is>
          <t>No</t>
        </is>
      </c>
      <c r="BO355" s="117" t="n">
        <v>46046.47361111111</v>
      </c>
      <c r="BP355" t="inlineStr">
        <is>
          <t>Carla Michue M</t>
        </is>
      </c>
      <c r="BR355" t="n">
        <v>10</v>
      </c>
      <c r="BT355" t="n">
        <v>0</v>
      </c>
      <c r="BX355" t="inlineStr">
        <is>
          <t>Cobranzas_2026.csv</t>
        </is>
      </c>
      <c r="BY355" t="n">
        <v>2026</v>
      </c>
      <c r="BZ355" t="inlineStr">
        <is>
          <t>01/01/2024</t>
        </is>
      </c>
      <c r="CA355" t="inlineStr">
        <is>
          <t>30/09/2031</t>
        </is>
      </c>
    </row>
    <row r="356">
      <c r="A356" t="inlineStr">
        <is>
          <t>RESIDENCIAL BEYOND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1502</t>
        </is>
      </c>
      <c r="G356" s="39" t="n">
        <v>430000</v>
      </c>
      <c r="H356" s="39" t="n">
        <v>369000</v>
      </c>
      <c r="I356" t="inlineStr">
        <is>
          <t>Edificio</t>
        </is>
      </c>
      <c r="J356" t="inlineStr">
        <is>
          <t>A</t>
        </is>
      </c>
      <c r="K356" t="inlineStr">
        <is>
          <t>Estacionamiento</t>
        </is>
      </c>
      <c r="L356" t="inlineStr">
        <is>
          <t>E 39</t>
        </is>
      </c>
      <c r="M356" s="39" t="n">
        <v>43200</v>
      </c>
      <c r="N356" s="39" t="n">
        <v>43200</v>
      </c>
      <c r="S356" s="39" t="n"/>
      <c r="T356" s="39" t="n"/>
      <c r="Y356" s="39" t="n"/>
      <c r="Z356" s="39" t="n"/>
      <c r="AA356" t="inlineStr">
        <is>
          <t>Christian Eduardo Blas Acosta</t>
        </is>
      </c>
      <c r="AB356" t="inlineStr">
        <is>
          <t>47824606</t>
        </is>
      </c>
      <c r="AC356" t="inlineStr">
        <is>
          <t>Av. Los Alisos Urb. Naranjal MZ Ñ-1 LT 27</t>
        </is>
      </c>
      <c r="AD356" t="n">
        <v>0</v>
      </c>
      <c r="AE356" t="inlineStr">
        <is>
          <t>915133898</t>
        </is>
      </c>
      <c r="AF356" t="inlineStr">
        <is>
          <t>cristian12dn@gmail.com</t>
        </is>
      </c>
      <c r="AG356" t="inlineStr">
        <is>
          <t>LIMA</t>
        </is>
      </c>
      <c r="AH356" t="inlineStr">
        <is>
          <t>SAN MARTIN DE PORRES</t>
        </is>
      </c>
      <c r="AI356" s="116" t="n">
        <v>46356</v>
      </c>
      <c r="AJ356" s="116" t="n"/>
      <c r="AK356" t="inlineStr">
        <is>
          <t>SALDO FINANCIAR</t>
        </is>
      </c>
      <c r="AL356" t="n">
        <v>7</v>
      </c>
      <c r="AM356" t="n">
        <v>12000</v>
      </c>
      <c r="AN356" t="n">
        <v>0</v>
      </c>
      <c r="AO356" t="n">
        <v>0</v>
      </c>
      <c r="AP356" s="39" t="n">
        <v>12000</v>
      </c>
      <c r="AQ356" s="39" t="n">
        <v>0</v>
      </c>
      <c r="AR356" s="39" t="n">
        <v>12000</v>
      </c>
      <c r="AT356" t="inlineStr">
        <is>
          <t>Crédito Directo</t>
        </is>
      </c>
      <c r="AZ356" t="inlineStr">
        <is>
          <t>No</t>
        </is>
      </c>
      <c r="BC356" t="inlineStr">
        <is>
          <t>PENDIENTE</t>
        </is>
      </c>
      <c r="BN356" t="inlineStr">
        <is>
          <t>No</t>
        </is>
      </c>
      <c r="BO356" s="117" t="n">
        <v>46046.47361111111</v>
      </c>
      <c r="BP356" t="inlineStr">
        <is>
          <t>Carla Michue M</t>
        </is>
      </c>
      <c r="BR356" t="n">
        <v>10</v>
      </c>
      <c r="BT356" t="n">
        <v>0</v>
      </c>
      <c r="BX356" t="inlineStr">
        <is>
          <t>Cobranzas_2026.csv</t>
        </is>
      </c>
      <c r="BY356" t="n">
        <v>2026</v>
      </c>
      <c r="BZ356" t="inlineStr">
        <is>
          <t>01/01/2024</t>
        </is>
      </c>
      <c r="CA356" t="inlineStr">
        <is>
          <t>30/09/2031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1502</t>
        </is>
      </c>
      <c r="G357" s="39" t="n">
        <v>430000</v>
      </c>
      <c r="H357" s="39" t="n">
        <v>369000</v>
      </c>
      <c r="I357" t="inlineStr">
        <is>
          <t>Edificio</t>
        </is>
      </c>
      <c r="J357" t="inlineStr">
        <is>
          <t>A</t>
        </is>
      </c>
      <c r="K357" t="inlineStr">
        <is>
          <t>Estacionamiento</t>
        </is>
      </c>
      <c r="L357" t="inlineStr">
        <is>
          <t>E 39</t>
        </is>
      </c>
      <c r="M357" s="39" t="n">
        <v>43200</v>
      </c>
      <c r="N357" s="39" t="n">
        <v>43200</v>
      </c>
      <c r="S357" s="39" t="n"/>
      <c r="T357" s="39" t="n"/>
      <c r="Y357" s="39" t="n"/>
      <c r="Z357" s="39" t="n"/>
      <c r="AA357" t="inlineStr">
        <is>
          <t>Christian Eduardo Blas Acosta</t>
        </is>
      </c>
      <c r="AB357" t="inlineStr">
        <is>
          <t>47824606</t>
        </is>
      </c>
      <c r="AC357" t="inlineStr">
        <is>
          <t>Av. Los Alisos Urb. Naranjal MZ Ñ-1 LT 27</t>
        </is>
      </c>
      <c r="AD357" t="n">
        <v>0</v>
      </c>
      <c r="AE357" t="inlineStr">
        <is>
          <t>915133898</t>
        </is>
      </c>
      <c r="AF357" t="inlineStr">
        <is>
          <t>cristian12dn@gmail.com</t>
        </is>
      </c>
      <c r="AG357" t="inlineStr">
        <is>
          <t>LIMA</t>
        </is>
      </c>
      <c r="AH357" t="inlineStr">
        <is>
          <t>SAN MARTIN DE PORRES</t>
        </is>
      </c>
      <c r="AI357" s="116" t="n">
        <v>46386</v>
      </c>
      <c r="AJ357" s="116" t="n"/>
      <c r="AK357" t="inlineStr">
        <is>
          <t>SALDO FINANCIAR</t>
        </is>
      </c>
      <c r="AL357" t="n">
        <v>8</v>
      </c>
      <c r="AM357" t="n">
        <v>12000</v>
      </c>
      <c r="AN357" t="n">
        <v>0</v>
      </c>
      <c r="AO357" t="n">
        <v>0</v>
      </c>
      <c r="AP357" s="39" t="n">
        <v>12000</v>
      </c>
      <c r="AQ357" s="39" t="n">
        <v>0</v>
      </c>
      <c r="AR357" s="39" t="n">
        <v>12000</v>
      </c>
      <c r="AT357" t="inlineStr">
        <is>
          <t>Crédito Directo</t>
        </is>
      </c>
      <c r="AZ357" t="inlineStr">
        <is>
          <t>No</t>
        </is>
      </c>
      <c r="BC357" t="inlineStr">
        <is>
          <t>PENDIENTE</t>
        </is>
      </c>
      <c r="BN357" t="inlineStr">
        <is>
          <t>No</t>
        </is>
      </c>
      <c r="BO357" s="117" t="n">
        <v>46046.47361111111</v>
      </c>
      <c r="BP357" t="inlineStr">
        <is>
          <t>Carla Michue M</t>
        </is>
      </c>
      <c r="BR357" t="n">
        <v>10</v>
      </c>
      <c r="BT357" t="n">
        <v>0</v>
      </c>
      <c r="BX357" t="inlineStr">
        <is>
          <t>Cobranzas_2026.csv</t>
        </is>
      </c>
      <c r="BY357" t="n">
        <v>2026</v>
      </c>
      <c r="BZ357" t="inlineStr">
        <is>
          <t>01/01/2024</t>
        </is>
      </c>
      <c r="CA357" t="inlineStr">
        <is>
          <t>30/09/2031</t>
        </is>
      </c>
    </row>
    <row r="358">
      <c r="A358" t="inlineStr">
        <is>
          <t>RESIDENCIAL PRADA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902</t>
        </is>
      </c>
      <c r="G358" s="39" t="n">
        <v>433500</v>
      </c>
      <c r="H358" s="39" t="n">
        <v>433500</v>
      </c>
      <c r="I358" t="inlineStr">
        <is>
          <t>Edificio</t>
        </is>
      </c>
      <c r="J358" t="inlineStr">
        <is>
          <t>A</t>
        </is>
      </c>
      <c r="K358" t="inlineStr">
        <is>
          <t>Estacionamiento</t>
        </is>
      </c>
      <c r="L358" t="inlineStr">
        <is>
          <t>E 43</t>
        </is>
      </c>
      <c r="M358" s="39" t="n">
        <v>50500</v>
      </c>
      <c r="N358" s="39" t="n">
        <v>50500</v>
      </c>
      <c r="S358" s="39" t="n"/>
      <c r="T358" s="39" t="n"/>
      <c r="Y358" s="39" t="n"/>
      <c r="Z358" s="39" t="n"/>
      <c r="AA358" t="inlineStr">
        <is>
          <t>Daniel Alejandro Aguayo Vera</t>
        </is>
      </c>
      <c r="AB358" t="inlineStr">
        <is>
          <t>76121899</t>
        </is>
      </c>
      <c r="AC358" t="inlineStr">
        <is>
          <t>Calle los Rosales 743 Lima- Chaclacayo.</t>
        </is>
      </c>
      <c r="AD358" t="n">
        <v>943151339</v>
      </c>
      <c r="AE358" t="inlineStr">
        <is>
          <t>943151339</t>
        </is>
      </c>
      <c r="AF358" t="inlineStr">
        <is>
          <t>daniel_aguayo25@hotmail.com</t>
        </is>
      </c>
      <c r="AG358" t="inlineStr">
        <is>
          <t>LIMA</t>
        </is>
      </c>
      <c r="AH358" t="inlineStr">
        <is>
          <t>SAN ISIDRO</t>
        </is>
      </c>
      <c r="AI358" s="116" t="n">
        <v>46081</v>
      </c>
      <c r="AJ358" s="116" t="n">
        <v>46050</v>
      </c>
      <c r="AK358" t="inlineStr">
        <is>
          <t>SALDO FINANCIAR</t>
        </is>
      </c>
      <c r="AL358" t="n">
        <v>1</v>
      </c>
      <c r="AM358" t="n">
        <v>435600</v>
      </c>
      <c r="AN358" t="n">
        <v>0</v>
      </c>
      <c r="AO358" t="n">
        <v>0</v>
      </c>
      <c r="AP358" s="39" t="n">
        <v>435600</v>
      </c>
      <c r="AQ358" s="39" t="n">
        <v>435600</v>
      </c>
      <c r="AR358" s="39" t="n">
        <v>0</v>
      </c>
      <c r="AS358" t="n">
        <v>0</v>
      </c>
      <c r="AT358" t="inlineStr">
        <is>
          <t>Crédito Hipotecario</t>
        </is>
      </c>
      <c r="AU358" t="inlineStr">
        <is>
          <t>Scotiabank Perú</t>
        </is>
      </c>
      <c r="AV358" t="inlineStr">
        <is>
          <t>000-2768484</t>
        </is>
      </c>
      <c r="AW358" t="inlineStr">
        <is>
          <t>TRANSFERENCIA BANCARIA</t>
        </is>
      </c>
      <c r="AX358" t="inlineStr">
        <is>
          <t>76121899</t>
        </is>
      </c>
      <c r="AY358" t="inlineStr">
        <is>
          <t>0270800012</t>
        </is>
      </c>
      <c r="AZ358" t="inlineStr">
        <is>
          <t>No</t>
        </is>
      </c>
      <c r="BA358" t="inlineStr">
        <is>
          <t>NO PRECISA</t>
        </is>
      </c>
      <c r="BB358" t="n">
        <v>4</v>
      </c>
      <c r="BC358" t="inlineStr">
        <is>
          <t>CANCELADO</t>
        </is>
      </c>
      <c r="BN358" t="inlineStr">
        <is>
          <t>Si</t>
        </is>
      </c>
      <c r="BO358" s="117" t="n">
        <v>46008.74444444444</v>
      </c>
      <c r="BP358" t="inlineStr">
        <is>
          <t>Kenny Salazar S</t>
        </is>
      </c>
      <c r="BR358" t="n">
        <v>41</v>
      </c>
      <c r="BS358" t="inlineStr">
        <is>
          <t>05/06/2026 13:43</t>
        </is>
      </c>
      <c r="BT358" t="n">
        <v>0</v>
      </c>
      <c r="BX358" t="inlineStr">
        <is>
          <t>Cobranzas_2026.csv</t>
        </is>
      </c>
      <c r="BY358" t="n">
        <v>2026</v>
      </c>
      <c r="BZ358" t="inlineStr">
        <is>
          <t>01/01/2024</t>
        </is>
      </c>
      <c r="CA358" t="inlineStr">
        <is>
          <t>30/09/2031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302</t>
        </is>
      </c>
      <c r="G359" s="39" t="n">
        <v>430000</v>
      </c>
      <c r="H359" s="39" t="n">
        <v>381000</v>
      </c>
      <c r="M359" s="39" t="n"/>
      <c r="N359" s="39" t="n"/>
      <c r="S359" s="39" t="n"/>
      <c r="T359" s="39" t="n"/>
      <c r="Y359" s="39" t="n"/>
      <c r="Z359" s="39" t="n"/>
      <c r="AA359" t="inlineStr">
        <is>
          <t>Danixa Thalia Manosalva Ameri</t>
        </is>
      </c>
      <c r="AB359" t="inlineStr">
        <is>
          <t>48569476</t>
        </is>
      </c>
      <c r="AC359" t="inlineStr">
        <is>
          <t>Jr. Huáscar 1825 dpto.101</t>
        </is>
      </c>
      <c r="AD359" t="n">
        <v>0</v>
      </c>
      <c r="AE359" t="inlineStr">
        <is>
          <t>992382005</t>
        </is>
      </c>
      <c r="AF359" t="inlineStr">
        <is>
          <t>danixamanosalva94@gmail.com</t>
        </is>
      </c>
      <c r="AG359" t="inlineStr">
        <is>
          <t>LIMA</t>
        </is>
      </c>
      <c r="AH359" t="inlineStr">
        <is>
          <t>JESUS MARIA</t>
        </is>
      </c>
      <c r="AI359" s="116" t="n">
        <v>46172</v>
      </c>
      <c r="AJ359" s="116" t="n"/>
      <c r="AK359" t="inlineStr">
        <is>
          <t>CUOTA INICIAL</t>
        </is>
      </c>
      <c r="AL359" t="n">
        <v>3</v>
      </c>
      <c r="AM359" t="n">
        <v>21000</v>
      </c>
      <c r="AN359" t="n">
        <v>0</v>
      </c>
      <c r="AO359" t="n">
        <v>0</v>
      </c>
      <c r="AP359" s="39" t="n">
        <v>21000</v>
      </c>
      <c r="AQ359" s="39" t="n">
        <v>0</v>
      </c>
      <c r="AR359" s="39" t="n">
        <v>21000</v>
      </c>
      <c r="AT359" t="inlineStr">
        <is>
          <t>Ahorro</t>
        </is>
      </c>
      <c r="AZ359" t="inlineStr">
        <is>
          <t>No</t>
        </is>
      </c>
      <c r="BC359" t="inlineStr">
        <is>
          <t>VENCIDO</t>
        </is>
      </c>
      <c r="BN359" t="inlineStr">
        <is>
          <t>No</t>
        </is>
      </c>
      <c r="BO359" s="117" t="n">
        <v>45940.41875</v>
      </c>
      <c r="BP359" t="inlineStr">
        <is>
          <t>Magaly Guevara Perez</t>
        </is>
      </c>
      <c r="BR359" t="n">
        <v>6</v>
      </c>
      <c r="BT359" t="n">
        <v>0</v>
      </c>
      <c r="BX359" t="inlineStr">
        <is>
          <t>Cobranzas_2026.csv</t>
        </is>
      </c>
      <c r="BY359" t="n">
        <v>2026</v>
      </c>
      <c r="BZ359" t="inlineStr">
        <is>
          <t>01/01/2024</t>
        </is>
      </c>
      <c r="CA359" t="inlineStr">
        <is>
          <t>30/09/2031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302</t>
        </is>
      </c>
      <c r="G360" s="39" t="n">
        <v>430000</v>
      </c>
      <c r="H360" s="39" t="n">
        <v>381000</v>
      </c>
      <c r="M360" s="39" t="n"/>
      <c r="N360" s="39" t="n"/>
      <c r="S360" s="39" t="n"/>
      <c r="T360" s="39" t="n"/>
      <c r="Y360" s="39" t="n"/>
      <c r="Z360" s="39" t="n"/>
      <c r="AA360" t="inlineStr">
        <is>
          <t>Danixa Thalia Manosalva Ameri</t>
        </is>
      </c>
      <c r="AB360" t="inlineStr">
        <is>
          <t>48569476</t>
        </is>
      </c>
      <c r="AC360" t="inlineStr">
        <is>
          <t>Jr. Huáscar 1825 dpto.101</t>
        </is>
      </c>
      <c r="AD360" t="n">
        <v>0</v>
      </c>
      <c r="AE360" t="inlineStr">
        <is>
          <t>992382005</t>
        </is>
      </c>
      <c r="AF360" t="inlineStr">
        <is>
          <t>danixamanosalva94@gmail.com</t>
        </is>
      </c>
      <c r="AG360" t="inlineStr">
        <is>
          <t>LIMA</t>
        </is>
      </c>
      <c r="AH360" t="inlineStr">
        <is>
          <t>JESUS MARIA</t>
        </is>
      </c>
      <c r="AI360" s="116" t="n">
        <v>46234</v>
      </c>
      <c r="AJ360" s="116" t="n"/>
      <c r="AK360" t="inlineStr">
        <is>
          <t>SALDO FINANCIAR</t>
        </is>
      </c>
      <c r="AL360" t="n">
        <v>1</v>
      </c>
      <c r="AM360" t="n">
        <v>296000</v>
      </c>
      <c r="AN360" t="n">
        <v>0</v>
      </c>
      <c r="AO360" t="n">
        <v>0</v>
      </c>
      <c r="AP360" s="39" t="n">
        <v>296000</v>
      </c>
      <c r="AQ360" s="39" t="n">
        <v>0</v>
      </c>
      <c r="AR360" s="39" t="n">
        <v>296000</v>
      </c>
      <c r="AT360" t="inlineStr">
        <is>
          <t>Ahorro</t>
        </is>
      </c>
      <c r="AZ360" t="inlineStr">
        <is>
          <t>No</t>
        </is>
      </c>
      <c r="BC360" t="inlineStr">
        <is>
          <t>VENCIDO</t>
        </is>
      </c>
      <c r="BN360" t="inlineStr">
        <is>
          <t>No</t>
        </is>
      </c>
      <c r="BO360" s="117" t="n">
        <v>45940.41875</v>
      </c>
      <c r="BP360" t="inlineStr">
        <is>
          <t>Magaly Guevara Perez</t>
        </is>
      </c>
      <c r="BR360" t="n">
        <v>6</v>
      </c>
      <c r="BT360" t="n">
        <v>0</v>
      </c>
      <c r="BX360" t="inlineStr">
        <is>
          <t>Cobranzas_2026.csv</t>
        </is>
      </c>
      <c r="BY360" t="n">
        <v>2026</v>
      </c>
      <c r="BZ360" t="inlineStr">
        <is>
          <t>01/01/2024</t>
        </is>
      </c>
      <c r="CA360" t="inlineStr">
        <is>
          <t>30/09/2031</t>
        </is>
      </c>
    </row>
    <row r="361">
      <c r="A361" t="inlineStr">
        <is>
          <t>RESIDENCIAL PRADA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1001</t>
        </is>
      </c>
      <c r="G361" s="39" t="n">
        <v>615000</v>
      </c>
      <c r="H361" s="39" t="n">
        <v>615000</v>
      </c>
      <c r="M361" s="39" t="n"/>
      <c r="N361" s="39" t="n"/>
      <c r="S361" s="39" t="n"/>
      <c r="T361" s="39" t="n"/>
      <c r="Y361" s="39" t="n"/>
      <c r="Z361" s="39" t="n"/>
      <c r="AA361" t="inlineStr">
        <is>
          <t>Danny Romel Ore Guerreros</t>
        </is>
      </c>
      <c r="AB361" t="inlineStr">
        <is>
          <t>47474967</t>
        </is>
      </c>
      <c r="AC361" t="inlineStr">
        <is>
          <t>Psj. Ollantay 7 Barrio Vista Alegre</t>
        </is>
      </c>
      <c r="AD361" t="n">
        <v>966327809</v>
      </c>
      <c r="AE361" t="inlineStr">
        <is>
          <t>966327809</t>
        </is>
      </c>
      <c r="AF361" t="inlineStr">
        <is>
          <t>romelore67@gmail.com</t>
        </is>
      </c>
      <c r="AG361" t="inlineStr">
        <is>
          <t>HUAMANGA</t>
        </is>
      </c>
      <c r="AH361" t="inlineStr">
        <is>
          <t>CARMEN ALTO</t>
        </is>
      </c>
      <c r="AI361" s="116" t="n">
        <v>46037</v>
      </c>
      <c r="AJ361" s="116" t="n">
        <v>46056</v>
      </c>
      <c r="AK361" t="inlineStr">
        <is>
          <t>CUOTA INICIAL</t>
        </is>
      </c>
      <c r="AL361" t="n">
        <v>2</v>
      </c>
      <c r="AM361" t="n">
        <v>50000</v>
      </c>
      <c r="AN361" t="n">
        <v>0</v>
      </c>
      <c r="AO361" t="n">
        <v>0</v>
      </c>
      <c r="AP361" s="39" t="n">
        <v>50000</v>
      </c>
      <c r="AQ361" s="39" t="n">
        <v>50000</v>
      </c>
      <c r="AR361" s="39" t="n">
        <v>0</v>
      </c>
      <c r="AS361" t="n">
        <v>0</v>
      </c>
      <c r="AT361" t="inlineStr">
        <is>
          <t>Crédito Hipotecario</t>
        </is>
      </c>
      <c r="AU361" t="inlineStr">
        <is>
          <t>Scotiabank Perú</t>
        </is>
      </c>
      <c r="AV361" t="inlineStr">
        <is>
          <t>000-2768484</t>
        </is>
      </c>
      <c r="AW361" t="inlineStr">
        <is>
          <t>TRANSFERENCIA BANCARIA</t>
        </is>
      </c>
      <c r="AX361" t="inlineStr">
        <is>
          <t>47474967</t>
        </is>
      </c>
      <c r="AY361" t="inlineStr">
        <is>
          <t>214000000001254</t>
        </is>
      </c>
      <c r="AZ361" t="inlineStr">
        <is>
          <t>No</t>
        </is>
      </c>
      <c r="BA361" t="inlineStr">
        <is>
          <t>NO PRECISA</t>
        </is>
      </c>
      <c r="BB361" t="n">
        <v>4</v>
      </c>
      <c r="BC361" t="inlineStr">
        <is>
          <t>CANCELADO</t>
        </is>
      </c>
      <c r="BN361" t="inlineStr">
        <is>
          <t>Si</t>
        </is>
      </c>
      <c r="BO361" s="117" t="n">
        <v>45885.58680555555</v>
      </c>
      <c r="BP361" t="inlineStr">
        <is>
          <t>Kenny Salazar S</t>
        </is>
      </c>
      <c r="BR361" t="n">
        <v>47</v>
      </c>
      <c r="BS361" t="inlineStr">
        <is>
          <t>05/06/2026 14:23</t>
        </is>
      </c>
      <c r="BT361" t="n">
        <v>0</v>
      </c>
      <c r="BX361" t="inlineStr">
        <is>
          <t>Cobranzas_2026.csv</t>
        </is>
      </c>
      <c r="BY361" t="n">
        <v>2026</v>
      </c>
      <c r="BZ361" t="inlineStr">
        <is>
          <t>01/01/2024</t>
        </is>
      </c>
      <c r="CA361" t="inlineStr">
        <is>
          <t>30/09/2031</t>
        </is>
      </c>
    </row>
    <row r="362">
      <c r="A362" t="inlineStr">
        <is>
          <t>RESIDENCIAL PRADA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1001</t>
        </is>
      </c>
      <c r="G362" s="39" t="n">
        <v>615000</v>
      </c>
      <c r="H362" s="39" t="n">
        <v>615000</v>
      </c>
      <c r="M362" s="39" t="n"/>
      <c r="N362" s="39" t="n"/>
      <c r="S362" s="39" t="n"/>
      <c r="T362" s="39" t="n"/>
      <c r="Y362" s="39" t="n"/>
      <c r="Z362" s="39" t="n"/>
      <c r="AA362" t="inlineStr">
        <is>
          <t>Danny Romel Ore Guerreros</t>
        </is>
      </c>
      <c r="AB362" t="inlineStr">
        <is>
          <t>47474967</t>
        </is>
      </c>
      <c r="AC362" t="inlineStr">
        <is>
          <t>Psj. Ollantay 7 Barrio Vista Alegre</t>
        </is>
      </c>
      <c r="AD362" t="n">
        <v>966327809</v>
      </c>
      <c r="AE362" t="inlineStr">
        <is>
          <t>966327809</t>
        </is>
      </c>
      <c r="AF362" t="inlineStr">
        <is>
          <t>romelore67@gmail.com</t>
        </is>
      </c>
      <c r="AG362" t="inlineStr">
        <is>
          <t>HUAMANGA</t>
        </is>
      </c>
      <c r="AH362" t="inlineStr">
        <is>
          <t>CARMEN ALTO</t>
        </is>
      </c>
      <c r="AI362" s="116" t="n">
        <v>46037</v>
      </c>
      <c r="AJ362" s="116" t="n">
        <v>46056</v>
      </c>
      <c r="AK362" t="inlineStr">
        <is>
          <t>CUOTA INICIAL</t>
        </is>
      </c>
      <c r="AL362" t="n">
        <v>3</v>
      </c>
      <c r="AM362" t="n">
        <v>34000</v>
      </c>
      <c r="AN362" t="n">
        <v>0</v>
      </c>
      <c r="AO362" t="n">
        <v>0</v>
      </c>
      <c r="AP362" s="39" t="n">
        <v>34000</v>
      </c>
      <c r="AQ362" s="39" t="n">
        <v>34000</v>
      </c>
      <c r="AR362" s="39" t="n">
        <v>0</v>
      </c>
      <c r="AS362" t="n">
        <v>0</v>
      </c>
      <c r="AT362" t="inlineStr">
        <is>
          <t>Crédito Hipotecario</t>
        </is>
      </c>
      <c r="AU362" t="inlineStr">
        <is>
          <t>Scotiabank Perú</t>
        </is>
      </c>
      <c r="AV362" t="inlineStr">
        <is>
          <t>00917000000276848424</t>
        </is>
      </c>
      <c r="AW362" t="inlineStr">
        <is>
          <t>TRANSFERENCIA BANCARIA</t>
        </is>
      </c>
      <c r="AX362" t="inlineStr">
        <is>
          <t>47474967</t>
        </is>
      </c>
      <c r="AY362" t="inlineStr">
        <is>
          <t>2768484</t>
        </is>
      </c>
      <c r="AZ362" t="inlineStr">
        <is>
          <t>No</t>
        </is>
      </c>
      <c r="BA362" t="inlineStr">
        <is>
          <t>NO PRECISA</t>
        </is>
      </c>
      <c r="BB362" t="n">
        <v>4</v>
      </c>
      <c r="BC362" t="inlineStr">
        <is>
          <t>CANCELADO</t>
        </is>
      </c>
      <c r="BN362" t="inlineStr">
        <is>
          <t>Si</t>
        </is>
      </c>
      <c r="BO362" s="117" t="n">
        <v>45885.58680555555</v>
      </c>
      <c r="BP362" t="inlineStr">
        <is>
          <t>Kenny Salazar S</t>
        </is>
      </c>
      <c r="BR362" t="n">
        <v>47</v>
      </c>
      <c r="BS362" t="inlineStr">
        <is>
          <t>05/06/2026 14:25</t>
        </is>
      </c>
      <c r="BT362" t="n">
        <v>0</v>
      </c>
      <c r="BX362" t="inlineStr">
        <is>
          <t>Cobranzas_2026.csv</t>
        </is>
      </c>
      <c r="BY362" t="n">
        <v>2026</v>
      </c>
      <c r="BZ362" t="inlineStr">
        <is>
          <t>01/01/2024</t>
        </is>
      </c>
      <c r="CA362" t="inlineStr">
        <is>
          <t>30/09/2031</t>
        </is>
      </c>
    </row>
    <row r="363">
      <c r="A363" t="inlineStr">
        <is>
          <t>RESIDENCIAL PRADA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1001</t>
        </is>
      </c>
      <c r="G363" s="39" t="n">
        <v>615000</v>
      </c>
      <c r="H363" s="39" t="n">
        <v>615000</v>
      </c>
      <c r="M363" s="39" t="n"/>
      <c r="N363" s="39" t="n"/>
      <c r="S363" s="39" t="n"/>
      <c r="T363" s="39" t="n"/>
      <c r="Y363" s="39" t="n"/>
      <c r="Z363" s="39" t="n"/>
      <c r="AA363" t="inlineStr">
        <is>
          <t>Danny Romel Ore Guerreros</t>
        </is>
      </c>
      <c r="AB363" t="inlineStr">
        <is>
          <t>47474967</t>
        </is>
      </c>
      <c r="AC363" t="inlineStr">
        <is>
          <t>Psj. Ollantay 7 Barrio Vista Alegre</t>
        </is>
      </c>
      <c r="AD363" t="n">
        <v>966327809</v>
      </c>
      <c r="AE363" t="inlineStr">
        <is>
          <t>966327809</t>
        </is>
      </c>
      <c r="AF363" t="inlineStr">
        <is>
          <t>romelore67@gmail.com</t>
        </is>
      </c>
      <c r="AG363" t="inlineStr">
        <is>
          <t>HUAMANGA</t>
        </is>
      </c>
      <c r="AH363" t="inlineStr">
        <is>
          <t>CARMEN ALTO</t>
        </is>
      </c>
      <c r="AI363" s="116" t="n">
        <v>46073</v>
      </c>
      <c r="AJ363" s="116" t="n">
        <v>46073</v>
      </c>
      <c r="AK363" t="inlineStr">
        <is>
          <t>CUOTA INICIAL</t>
        </is>
      </c>
      <c r="AL363" t="n">
        <v>4</v>
      </c>
      <c r="AM363" t="n">
        <v>10000</v>
      </c>
      <c r="AN363" t="n">
        <v>0</v>
      </c>
      <c r="AO363" t="n">
        <v>0</v>
      </c>
      <c r="AP363" s="39" t="n">
        <v>10000</v>
      </c>
      <c r="AQ363" s="39" t="n">
        <v>10000</v>
      </c>
      <c r="AR363" s="39" t="n">
        <v>0</v>
      </c>
      <c r="AS363" t="n">
        <v>0</v>
      </c>
      <c r="AT363" t="inlineStr">
        <is>
          <t>Crédito Hipotecario</t>
        </is>
      </c>
      <c r="AU363" t="inlineStr">
        <is>
          <t>Scotiabank Perú</t>
        </is>
      </c>
      <c r="AV363" t="inlineStr">
        <is>
          <t>000-2768484</t>
        </is>
      </c>
      <c r="AW363" t="inlineStr">
        <is>
          <t>TRANSFERENCIA BANCARIA</t>
        </is>
      </c>
      <c r="AX363" t="inlineStr">
        <is>
          <t>47474967</t>
        </is>
      </c>
      <c r="AY363" t="inlineStr">
        <is>
          <t>068000000001139</t>
        </is>
      </c>
      <c r="AZ363" t="inlineStr">
        <is>
          <t>No</t>
        </is>
      </c>
      <c r="BA363" t="inlineStr">
        <is>
          <t>NO PRECISA</t>
        </is>
      </c>
      <c r="BB363" t="n">
        <v>4</v>
      </c>
      <c r="BC363" t="inlineStr">
        <is>
          <t>CANCELADO</t>
        </is>
      </c>
      <c r="BN363" t="inlineStr">
        <is>
          <t>Si</t>
        </is>
      </c>
      <c r="BO363" s="117" t="n">
        <v>45885.58680555555</v>
      </c>
      <c r="BP363" t="inlineStr">
        <is>
          <t>Kenny Salazar S</t>
        </is>
      </c>
      <c r="BR363" t="n">
        <v>47</v>
      </c>
      <c r="BS363" t="inlineStr">
        <is>
          <t>05/06/2026 14:30</t>
        </is>
      </c>
      <c r="BT363" t="n">
        <v>0</v>
      </c>
      <c r="BX363" t="inlineStr">
        <is>
          <t>Cobranzas_2026.csv</t>
        </is>
      </c>
      <c r="BY363" t="n">
        <v>2026</v>
      </c>
      <c r="BZ363" t="inlineStr">
        <is>
          <t>01/01/2024</t>
        </is>
      </c>
      <c r="CA363" t="inlineStr">
        <is>
          <t>30/09/2031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Departamento</t>
        </is>
      </c>
      <c r="F364" t="inlineStr">
        <is>
          <t>1001</t>
        </is>
      </c>
      <c r="G364" s="39" t="n">
        <v>615000</v>
      </c>
      <c r="H364" s="39" t="n">
        <v>615000</v>
      </c>
      <c r="M364" s="39" t="n"/>
      <c r="N364" s="39" t="n"/>
      <c r="S364" s="39" t="n"/>
      <c r="T364" s="39" t="n"/>
      <c r="Y364" s="39" t="n"/>
      <c r="Z364" s="39" t="n"/>
      <c r="AA364" t="inlineStr">
        <is>
          <t>Danny Romel Ore Guerreros</t>
        </is>
      </c>
      <c r="AB364" t="inlineStr">
        <is>
          <t>47474967</t>
        </is>
      </c>
      <c r="AC364" t="inlineStr">
        <is>
          <t>Psj. Ollantay 7 Barrio Vista Alegre</t>
        </is>
      </c>
      <c r="AD364" t="n">
        <v>966327809</v>
      </c>
      <c r="AE364" t="inlineStr">
        <is>
          <t>966327809</t>
        </is>
      </c>
      <c r="AF364" t="inlineStr">
        <is>
          <t>romelore67@gmail.com</t>
        </is>
      </c>
      <c r="AG364" t="inlineStr">
        <is>
          <t>HUAMANGA</t>
        </is>
      </c>
      <c r="AH364" t="inlineStr">
        <is>
          <t>CARMEN ALTO</t>
        </is>
      </c>
      <c r="AI364" s="116" t="n">
        <v>46081</v>
      </c>
      <c r="AJ364" s="116" t="n">
        <v>46112</v>
      </c>
      <c r="AK364" t="inlineStr">
        <is>
          <t>SALDO FINANCIAR</t>
        </is>
      </c>
      <c r="AL364" t="n">
        <v>1</v>
      </c>
      <c r="AM364" t="n">
        <v>508000</v>
      </c>
      <c r="AN364" t="n">
        <v>0</v>
      </c>
      <c r="AO364" t="n">
        <v>0</v>
      </c>
      <c r="AP364" s="39" t="n">
        <v>508000</v>
      </c>
      <c r="AQ364" s="39" t="n">
        <v>508000</v>
      </c>
      <c r="AR364" s="39" t="n">
        <v>0</v>
      </c>
      <c r="AS364" t="n">
        <v>0</v>
      </c>
      <c r="AT364" t="inlineStr">
        <is>
          <t>Crédito Hipotecario</t>
        </is>
      </c>
      <c r="AU364" t="inlineStr">
        <is>
          <t>Scotiabank Perú</t>
        </is>
      </c>
      <c r="AV364" t="inlineStr">
        <is>
          <t>000-2768484</t>
        </is>
      </c>
      <c r="AW364" t="inlineStr">
        <is>
          <t>TRANSFERENCIA BANCARIA</t>
        </is>
      </c>
      <c r="AY364" t="inlineStr">
        <is>
          <t>30032026</t>
        </is>
      </c>
      <c r="AZ364" t="inlineStr">
        <is>
          <t>No</t>
        </is>
      </c>
      <c r="BB364" t="n">
        <v>4</v>
      </c>
      <c r="BC364" t="inlineStr">
        <is>
          <t>CANCELADO</t>
        </is>
      </c>
      <c r="BN364" t="inlineStr">
        <is>
          <t>Si</t>
        </is>
      </c>
      <c r="BO364" s="117" t="n">
        <v>45885.58680555555</v>
      </c>
      <c r="BP364" t="inlineStr">
        <is>
          <t>Kenny Salazar S</t>
        </is>
      </c>
      <c r="BR364" t="n">
        <v>47</v>
      </c>
      <c r="BS364" t="inlineStr">
        <is>
          <t>07/07/2026 14:04</t>
        </is>
      </c>
      <c r="BT364" t="n">
        <v>0</v>
      </c>
      <c r="BX364" t="inlineStr">
        <is>
          <t>Cobranzas_2026.csv</t>
        </is>
      </c>
      <c r="BY364" t="n">
        <v>2026</v>
      </c>
      <c r="BZ364" t="inlineStr">
        <is>
          <t>01/01/2024</t>
        </is>
      </c>
      <c r="CA364" t="inlineStr">
        <is>
          <t>30/09/2031</t>
        </is>
      </c>
    </row>
    <row r="365">
      <c r="A365" t="inlineStr">
        <is>
          <t>RESIDENCIAL BEYOND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Departamento</t>
        </is>
      </c>
      <c r="F365" t="inlineStr">
        <is>
          <t>505</t>
        </is>
      </c>
      <c r="G365" s="39" t="n">
        <v>532100</v>
      </c>
      <c r="H365" s="39" t="n">
        <v>500000</v>
      </c>
      <c r="I365" t="inlineStr">
        <is>
          <t>Edificio</t>
        </is>
      </c>
      <c r="J365" t="inlineStr">
        <is>
          <t>A</t>
        </is>
      </c>
      <c r="K365" t="inlineStr">
        <is>
          <t>Estacionamiento</t>
        </is>
      </c>
      <c r="L365" t="inlineStr">
        <is>
          <t>E 05</t>
        </is>
      </c>
      <c r="M365" s="39" t="n">
        <v>45600</v>
      </c>
      <c r="N365" s="39" t="n">
        <v>45600</v>
      </c>
      <c r="O365" t="inlineStr">
        <is>
          <t>Edificio</t>
        </is>
      </c>
      <c r="P365" t="inlineStr">
        <is>
          <t>A</t>
        </is>
      </c>
      <c r="Q365" t="inlineStr">
        <is>
          <t>Depósito</t>
        </is>
      </c>
      <c r="R365" t="inlineStr">
        <is>
          <t>D 05</t>
        </is>
      </c>
      <c r="S365" s="39" t="n">
        <v>15900</v>
      </c>
      <c r="T365" s="39" t="n">
        <v>15900</v>
      </c>
      <c r="Y365" s="39" t="n"/>
      <c r="Z365" s="39" t="n"/>
      <c r="AA365" t="inlineStr">
        <is>
          <t>Dante Enrique Segura Florian</t>
        </is>
      </c>
      <c r="AB365" t="inlineStr">
        <is>
          <t xml:space="preserve">45587286		</t>
        </is>
      </c>
      <c r="AC365" t="inlineStr">
        <is>
          <t xml:space="preserve">1845 San Andres Dr Pitsburg CA 94565 - San Francisco </t>
        </is>
      </c>
      <c r="AD365" t="n">
        <v>0</v>
      </c>
      <c r="AE365" t="inlineStr">
        <is>
          <t>+15103330517</t>
        </is>
      </c>
      <c r="AF365" t="inlineStr">
        <is>
          <t xml:space="preserve">d.segura@uaa.edu		</t>
        </is>
      </c>
      <c r="AI365" s="116" t="n">
        <v>46047</v>
      </c>
      <c r="AJ365" s="116" t="n"/>
      <c r="AK365" t="inlineStr">
        <is>
          <t>SALDO FINANCIAR</t>
        </is>
      </c>
      <c r="AL365" t="n">
        <v>10</v>
      </c>
      <c r="AM365" t="n">
        <v>21341.25</v>
      </c>
      <c r="AN365" t="n">
        <v>0</v>
      </c>
      <c r="AO365" t="n">
        <v>0</v>
      </c>
      <c r="AP365" s="39" t="n">
        <v>21341.25</v>
      </c>
      <c r="AQ365" s="39" t="n">
        <v>0</v>
      </c>
      <c r="AR365" s="39" t="n">
        <v>21341.25</v>
      </c>
      <c r="AT365" t="inlineStr">
        <is>
          <t>Crédito Directo</t>
        </is>
      </c>
      <c r="AZ365" t="inlineStr">
        <is>
          <t>No</t>
        </is>
      </c>
      <c r="BC365" t="inlineStr">
        <is>
          <t>VENCIDO</t>
        </is>
      </c>
      <c r="BN365" t="inlineStr">
        <is>
          <t>No</t>
        </is>
      </c>
      <c r="BO365" s="117" t="n">
        <v>45386.40347222222</v>
      </c>
      <c r="BP365" t="inlineStr">
        <is>
          <t>Carla Michue M</t>
        </is>
      </c>
      <c r="BR365" t="n">
        <v>35</v>
      </c>
      <c r="BT365" t="n">
        <v>0</v>
      </c>
      <c r="BX365" t="inlineStr">
        <is>
          <t>Cobranzas_2026.csv</t>
        </is>
      </c>
      <c r="BY365" t="n">
        <v>2026</v>
      </c>
      <c r="BZ365" t="inlineStr">
        <is>
          <t>01/01/2024</t>
        </is>
      </c>
      <c r="CA365" t="inlineStr">
        <is>
          <t>30/09/2031</t>
        </is>
      </c>
    </row>
    <row r="366">
      <c r="A366" t="inlineStr">
        <is>
          <t>RESIDENCIAL BEYOND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505</t>
        </is>
      </c>
      <c r="G366" s="39" t="n">
        <v>532100</v>
      </c>
      <c r="H366" s="39" t="n">
        <v>500000</v>
      </c>
      <c r="I366" t="inlineStr">
        <is>
          <t>Edificio</t>
        </is>
      </c>
      <c r="J366" t="inlineStr">
        <is>
          <t>A</t>
        </is>
      </c>
      <c r="K366" t="inlineStr">
        <is>
          <t>Estacionamiento</t>
        </is>
      </c>
      <c r="L366" t="inlineStr">
        <is>
          <t>E 05</t>
        </is>
      </c>
      <c r="M366" s="39" t="n">
        <v>45600</v>
      </c>
      <c r="N366" s="39" t="n">
        <v>45600</v>
      </c>
      <c r="O366" t="inlineStr">
        <is>
          <t>Edificio</t>
        </is>
      </c>
      <c r="P366" t="inlineStr">
        <is>
          <t>A</t>
        </is>
      </c>
      <c r="Q366" t="inlineStr">
        <is>
          <t>Depósito</t>
        </is>
      </c>
      <c r="R366" t="inlineStr">
        <is>
          <t>D 05</t>
        </is>
      </c>
      <c r="S366" s="39" t="n">
        <v>15900</v>
      </c>
      <c r="T366" s="39" t="n">
        <v>15900</v>
      </c>
      <c r="Y366" s="39" t="n"/>
      <c r="Z366" s="39" t="n"/>
      <c r="AA366" t="inlineStr">
        <is>
          <t>Dante Enrique Segura Florian</t>
        </is>
      </c>
      <c r="AB366" t="inlineStr">
        <is>
          <t xml:space="preserve">45587286		</t>
        </is>
      </c>
      <c r="AC366" t="inlineStr">
        <is>
          <t xml:space="preserve">1845 San Andres Dr Pitsburg CA 94565 - San Francisco </t>
        </is>
      </c>
      <c r="AD366" t="n">
        <v>0</v>
      </c>
      <c r="AE366" t="inlineStr">
        <is>
          <t>+15103330517</t>
        </is>
      </c>
      <c r="AF366" t="inlineStr">
        <is>
          <t xml:space="preserve">d.segura@uaa.edu		</t>
        </is>
      </c>
      <c r="AI366" s="116" t="n">
        <v>46078</v>
      </c>
      <c r="AJ366" s="116" t="n"/>
      <c r="AK366" t="inlineStr">
        <is>
          <t>SALDO FINANCIAR</t>
        </is>
      </c>
      <c r="AL366" t="n">
        <v>11</v>
      </c>
      <c r="AM366" t="n">
        <v>21341.25</v>
      </c>
      <c r="AN366" t="n">
        <v>0</v>
      </c>
      <c r="AO366" t="n">
        <v>0</v>
      </c>
      <c r="AP366" s="39" t="n">
        <v>21341.25</v>
      </c>
      <c r="AQ366" s="39" t="n">
        <v>0</v>
      </c>
      <c r="AR366" s="39" t="n">
        <v>21341.25</v>
      </c>
      <c r="AT366" t="inlineStr">
        <is>
          <t>Crédito Directo</t>
        </is>
      </c>
      <c r="AZ366" t="inlineStr">
        <is>
          <t>No</t>
        </is>
      </c>
      <c r="BC366" t="inlineStr">
        <is>
          <t>VENCIDO</t>
        </is>
      </c>
      <c r="BN366" t="inlineStr">
        <is>
          <t>No</t>
        </is>
      </c>
      <c r="BO366" s="117" t="n">
        <v>45386.40347222222</v>
      </c>
      <c r="BP366" t="inlineStr">
        <is>
          <t>Carla Michue M</t>
        </is>
      </c>
      <c r="BR366" t="n">
        <v>35</v>
      </c>
      <c r="BT366" t="n">
        <v>0</v>
      </c>
      <c r="BX366" t="inlineStr">
        <is>
          <t>Cobranzas_2026.csv</t>
        </is>
      </c>
      <c r="BY366" t="n">
        <v>2026</v>
      </c>
      <c r="BZ366" t="inlineStr">
        <is>
          <t>01/01/2024</t>
        </is>
      </c>
      <c r="CA366" t="inlineStr">
        <is>
          <t>30/09/2031</t>
        </is>
      </c>
    </row>
    <row r="367">
      <c r="A367" t="inlineStr">
        <is>
          <t>RESIDENCIAL BEYOND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505</t>
        </is>
      </c>
      <c r="G367" s="39" t="n">
        <v>532100</v>
      </c>
      <c r="H367" s="39" t="n">
        <v>500000</v>
      </c>
      <c r="I367" t="inlineStr">
        <is>
          <t>Edificio</t>
        </is>
      </c>
      <c r="J367" t="inlineStr">
        <is>
          <t>A</t>
        </is>
      </c>
      <c r="K367" t="inlineStr">
        <is>
          <t>Estacionamiento</t>
        </is>
      </c>
      <c r="L367" t="inlineStr">
        <is>
          <t>E 05</t>
        </is>
      </c>
      <c r="M367" s="39" t="n">
        <v>45600</v>
      </c>
      <c r="N367" s="39" t="n">
        <v>45600</v>
      </c>
      <c r="O367" t="inlineStr">
        <is>
          <t>Edificio</t>
        </is>
      </c>
      <c r="P367" t="inlineStr">
        <is>
          <t>A</t>
        </is>
      </c>
      <c r="Q367" t="inlineStr">
        <is>
          <t>Depósito</t>
        </is>
      </c>
      <c r="R367" t="inlineStr">
        <is>
          <t>D 05</t>
        </is>
      </c>
      <c r="S367" s="39" t="n">
        <v>15900</v>
      </c>
      <c r="T367" s="39" t="n">
        <v>15900</v>
      </c>
      <c r="Y367" s="39" t="n"/>
      <c r="Z367" s="39" t="n"/>
      <c r="AA367" t="inlineStr">
        <is>
          <t>Dante Enrique Segura Florian</t>
        </is>
      </c>
      <c r="AB367" t="inlineStr">
        <is>
          <t xml:space="preserve">45587286		</t>
        </is>
      </c>
      <c r="AC367" t="inlineStr">
        <is>
          <t xml:space="preserve">1845 San Andres Dr Pitsburg CA 94565 - San Francisco </t>
        </is>
      </c>
      <c r="AD367" t="n">
        <v>0</v>
      </c>
      <c r="AE367" t="inlineStr">
        <is>
          <t>+15103330517</t>
        </is>
      </c>
      <c r="AF367" t="inlineStr">
        <is>
          <t xml:space="preserve">d.segura@uaa.edu		</t>
        </is>
      </c>
      <c r="AI367" s="116" t="n">
        <v>46106</v>
      </c>
      <c r="AJ367" s="116" t="n"/>
      <c r="AK367" t="inlineStr">
        <is>
          <t>SALDO FINANCIAR</t>
        </is>
      </c>
      <c r="AL367" t="n">
        <v>12</v>
      </c>
      <c r="AM367" t="n">
        <v>21341.25</v>
      </c>
      <c r="AN367" t="n">
        <v>0</v>
      </c>
      <c r="AO367" t="n">
        <v>0</v>
      </c>
      <c r="AP367" s="39" t="n">
        <v>21341.25</v>
      </c>
      <c r="AQ367" s="39" t="n">
        <v>0</v>
      </c>
      <c r="AR367" s="39" t="n">
        <v>21341.25</v>
      </c>
      <c r="AT367" t="inlineStr">
        <is>
          <t>Crédito Directo</t>
        </is>
      </c>
      <c r="AZ367" t="inlineStr">
        <is>
          <t>No</t>
        </is>
      </c>
      <c r="BC367" t="inlineStr">
        <is>
          <t>VENCIDO</t>
        </is>
      </c>
      <c r="BN367" t="inlineStr">
        <is>
          <t>No</t>
        </is>
      </c>
      <c r="BO367" s="117" t="n">
        <v>45386.40347222222</v>
      </c>
      <c r="BP367" t="inlineStr">
        <is>
          <t>Carla Michue M</t>
        </is>
      </c>
      <c r="BR367" t="n">
        <v>35</v>
      </c>
      <c r="BT367" t="n">
        <v>0</v>
      </c>
      <c r="BX367" t="inlineStr">
        <is>
          <t>Cobranzas_2026.csv</t>
        </is>
      </c>
      <c r="BY367" t="n">
        <v>2026</v>
      </c>
      <c r="BZ367" t="inlineStr">
        <is>
          <t>01/01/2024</t>
        </is>
      </c>
      <c r="CA367" t="inlineStr">
        <is>
          <t>30/09/2031</t>
        </is>
      </c>
    </row>
    <row r="368">
      <c r="A368" t="inlineStr">
        <is>
          <t>RESIDENCIAL BEYOND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505</t>
        </is>
      </c>
      <c r="G368" s="39" t="n">
        <v>532100</v>
      </c>
      <c r="H368" s="39" t="n">
        <v>500000</v>
      </c>
      <c r="I368" t="inlineStr">
        <is>
          <t>Edificio</t>
        </is>
      </c>
      <c r="J368" t="inlineStr">
        <is>
          <t>A</t>
        </is>
      </c>
      <c r="K368" t="inlineStr">
        <is>
          <t>Estacionamiento</t>
        </is>
      </c>
      <c r="L368" t="inlineStr">
        <is>
          <t>E 05</t>
        </is>
      </c>
      <c r="M368" s="39" t="n">
        <v>45600</v>
      </c>
      <c r="N368" s="39" t="n">
        <v>45600</v>
      </c>
      <c r="O368" t="inlineStr">
        <is>
          <t>Edificio</t>
        </is>
      </c>
      <c r="P368" t="inlineStr">
        <is>
          <t>A</t>
        </is>
      </c>
      <c r="Q368" t="inlineStr">
        <is>
          <t>Depósito</t>
        </is>
      </c>
      <c r="R368" t="inlineStr">
        <is>
          <t>D 05</t>
        </is>
      </c>
      <c r="S368" s="39" t="n">
        <v>15900</v>
      </c>
      <c r="T368" s="39" t="n">
        <v>15900</v>
      </c>
      <c r="Y368" s="39" t="n"/>
      <c r="Z368" s="39" t="n"/>
      <c r="AA368" t="inlineStr">
        <is>
          <t>Dante Enrique Segura Florian</t>
        </is>
      </c>
      <c r="AB368" t="inlineStr">
        <is>
          <t xml:space="preserve">45587286		</t>
        </is>
      </c>
      <c r="AC368" t="inlineStr">
        <is>
          <t xml:space="preserve">1845 San Andres Dr Pitsburg CA 94565 - San Francisco </t>
        </is>
      </c>
      <c r="AD368" t="n">
        <v>0</v>
      </c>
      <c r="AE368" t="inlineStr">
        <is>
          <t>+15103330517</t>
        </is>
      </c>
      <c r="AF368" t="inlineStr">
        <is>
          <t xml:space="preserve">d.segura@uaa.edu		</t>
        </is>
      </c>
      <c r="AI368" s="116" t="n">
        <v>46137</v>
      </c>
      <c r="AJ368" s="116" t="n"/>
      <c r="AK368" t="inlineStr">
        <is>
          <t>SALDO FINANCIAR</t>
        </is>
      </c>
      <c r="AL368" t="n">
        <v>13</v>
      </c>
      <c r="AM368" t="n">
        <v>21341.25</v>
      </c>
      <c r="AN368" t="n">
        <v>0</v>
      </c>
      <c r="AO368" t="n">
        <v>0</v>
      </c>
      <c r="AP368" s="39" t="n">
        <v>21341.25</v>
      </c>
      <c r="AQ368" s="39" t="n">
        <v>0</v>
      </c>
      <c r="AR368" s="39" t="n">
        <v>21341.25</v>
      </c>
      <c r="AT368" t="inlineStr">
        <is>
          <t>Crédito Directo</t>
        </is>
      </c>
      <c r="AZ368" t="inlineStr">
        <is>
          <t>No</t>
        </is>
      </c>
      <c r="BC368" t="inlineStr">
        <is>
          <t>VENCIDO</t>
        </is>
      </c>
      <c r="BN368" t="inlineStr">
        <is>
          <t>No</t>
        </is>
      </c>
      <c r="BO368" s="117" t="n">
        <v>45386.40347222222</v>
      </c>
      <c r="BP368" t="inlineStr">
        <is>
          <t>Carla Michue M</t>
        </is>
      </c>
      <c r="BR368" t="n">
        <v>35</v>
      </c>
      <c r="BT368" t="n">
        <v>0</v>
      </c>
      <c r="BX368" t="inlineStr">
        <is>
          <t>Cobranzas_2026.csv</t>
        </is>
      </c>
      <c r="BY368" t="n">
        <v>2026</v>
      </c>
      <c r="BZ368" t="inlineStr">
        <is>
          <t>01/01/2024</t>
        </is>
      </c>
      <c r="CA368" t="inlineStr">
        <is>
          <t>30/09/2031</t>
        </is>
      </c>
    </row>
    <row r="369">
      <c r="A369" t="inlineStr">
        <is>
          <t>RESIDENCIAL BEYOND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505</t>
        </is>
      </c>
      <c r="G369" s="39" t="n">
        <v>532100</v>
      </c>
      <c r="H369" s="39" t="n">
        <v>500000</v>
      </c>
      <c r="I369" t="inlineStr">
        <is>
          <t>Edificio</t>
        </is>
      </c>
      <c r="J369" t="inlineStr">
        <is>
          <t>A</t>
        </is>
      </c>
      <c r="K369" t="inlineStr">
        <is>
          <t>Estacionamiento</t>
        </is>
      </c>
      <c r="L369" t="inlineStr">
        <is>
          <t>E 05</t>
        </is>
      </c>
      <c r="M369" s="39" t="n">
        <v>45600</v>
      </c>
      <c r="N369" s="39" t="n">
        <v>45600</v>
      </c>
      <c r="O369" t="inlineStr">
        <is>
          <t>Edificio</t>
        </is>
      </c>
      <c r="P369" t="inlineStr">
        <is>
          <t>A</t>
        </is>
      </c>
      <c r="Q369" t="inlineStr">
        <is>
          <t>Depósito</t>
        </is>
      </c>
      <c r="R369" t="inlineStr">
        <is>
          <t>D 05</t>
        </is>
      </c>
      <c r="S369" s="39" t="n">
        <v>15900</v>
      </c>
      <c r="T369" s="39" t="n">
        <v>15900</v>
      </c>
      <c r="Y369" s="39" t="n"/>
      <c r="Z369" s="39" t="n"/>
      <c r="AA369" t="inlineStr">
        <is>
          <t>Dante Enrique Segura Florian</t>
        </is>
      </c>
      <c r="AB369" t="inlineStr">
        <is>
          <t xml:space="preserve">45587286		</t>
        </is>
      </c>
      <c r="AC369" t="inlineStr">
        <is>
          <t xml:space="preserve">1845 San Andres Dr Pitsburg CA 94565 - San Francisco </t>
        </is>
      </c>
      <c r="AD369" t="n">
        <v>0</v>
      </c>
      <c r="AE369" t="inlineStr">
        <is>
          <t>+15103330517</t>
        </is>
      </c>
      <c r="AF369" t="inlineStr">
        <is>
          <t xml:space="preserve">d.segura@uaa.edu		</t>
        </is>
      </c>
      <c r="AI369" s="116" t="n">
        <v>46167</v>
      </c>
      <c r="AJ369" s="116" t="n"/>
      <c r="AK369" t="inlineStr">
        <is>
          <t>SALDO FINANCIAR</t>
        </is>
      </c>
      <c r="AL369" t="n">
        <v>14</v>
      </c>
      <c r="AM369" t="n">
        <v>21341.25</v>
      </c>
      <c r="AN369" t="n">
        <v>0</v>
      </c>
      <c r="AO369" t="n">
        <v>0</v>
      </c>
      <c r="AP369" s="39" t="n">
        <v>21341.25</v>
      </c>
      <c r="AQ369" s="39" t="n">
        <v>0</v>
      </c>
      <c r="AR369" s="39" t="n">
        <v>21341.25</v>
      </c>
      <c r="AT369" t="inlineStr">
        <is>
          <t>Crédito Directo</t>
        </is>
      </c>
      <c r="AZ369" t="inlineStr">
        <is>
          <t>No</t>
        </is>
      </c>
      <c r="BC369" t="inlineStr">
        <is>
          <t>VENCIDO</t>
        </is>
      </c>
      <c r="BN369" t="inlineStr">
        <is>
          <t>No</t>
        </is>
      </c>
      <c r="BO369" s="117" t="n">
        <v>45386.40347222222</v>
      </c>
      <c r="BP369" t="inlineStr">
        <is>
          <t>Carla Michue M</t>
        </is>
      </c>
      <c r="BR369" t="n">
        <v>35</v>
      </c>
      <c r="BT369" t="n">
        <v>0</v>
      </c>
      <c r="BX369" t="inlineStr">
        <is>
          <t>Cobranzas_2026.csv</t>
        </is>
      </c>
      <c r="BY369" t="n">
        <v>2026</v>
      </c>
      <c r="BZ369" t="inlineStr">
        <is>
          <t>01/01/2024</t>
        </is>
      </c>
      <c r="CA369" t="inlineStr">
        <is>
          <t>30/09/2031</t>
        </is>
      </c>
    </row>
    <row r="370">
      <c r="A370" t="inlineStr">
        <is>
          <t>RESIDENCIAL BEYOND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Departamento</t>
        </is>
      </c>
      <c r="F370" t="inlineStr">
        <is>
          <t>505</t>
        </is>
      </c>
      <c r="G370" s="39" t="n">
        <v>532100</v>
      </c>
      <c r="H370" s="39" t="n">
        <v>500000</v>
      </c>
      <c r="I370" t="inlineStr">
        <is>
          <t>Edificio</t>
        </is>
      </c>
      <c r="J370" t="inlineStr">
        <is>
          <t>A</t>
        </is>
      </c>
      <c r="K370" t="inlineStr">
        <is>
          <t>Estacionamiento</t>
        </is>
      </c>
      <c r="L370" t="inlineStr">
        <is>
          <t>E 05</t>
        </is>
      </c>
      <c r="M370" s="39" t="n">
        <v>45600</v>
      </c>
      <c r="N370" s="39" t="n">
        <v>45600</v>
      </c>
      <c r="O370" t="inlineStr">
        <is>
          <t>Edificio</t>
        </is>
      </c>
      <c r="P370" t="inlineStr">
        <is>
          <t>A</t>
        </is>
      </c>
      <c r="Q370" t="inlineStr">
        <is>
          <t>Depósito</t>
        </is>
      </c>
      <c r="R370" t="inlineStr">
        <is>
          <t>D 05</t>
        </is>
      </c>
      <c r="S370" s="39" t="n">
        <v>15900</v>
      </c>
      <c r="T370" s="39" t="n">
        <v>15900</v>
      </c>
      <c r="Y370" s="39" t="n"/>
      <c r="Z370" s="39" t="n"/>
      <c r="AA370" t="inlineStr">
        <is>
          <t>Dante Enrique Segura Florian</t>
        </is>
      </c>
      <c r="AB370" t="inlineStr">
        <is>
          <t xml:space="preserve">45587286		</t>
        </is>
      </c>
      <c r="AC370" t="inlineStr">
        <is>
          <t xml:space="preserve">1845 San Andres Dr Pitsburg CA 94565 - San Francisco </t>
        </is>
      </c>
      <c r="AD370" t="n">
        <v>0</v>
      </c>
      <c r="AE370" t="inlineStr">
        <is>
          <t>+15103330517</t>
        </is>
      </c>
      <c r="AF370" t="inlineStr">
        <is>
          <t xml:space="preserve">d.segura@uaa.edu		</t>
        </is>
      </c>
      <c r="AI370" s="116" t="n">
        <v>46198</v>
      </c>
      <c r="AJ370" s="116" t="n"/>
      <c r="AK370" t="inlineStr">
        <is>
          <t>SALDO FINANCIAR</t>
        </is>
      </c>
      <c r="AL370" t="n">
        <v>15</v>
      </c>
      <c r="AM370" t="n">
        <v>21341.25</v>
      </c>
      <c r="AN370" t="n">
        <v>0</v>
      </c>
      <c r="AO370" t="n">
        <v>0</v>
      </c>
      <c r="AP370" s="39" t="n">
        <v>21341.25</v>
      </c>
      <c r="AQ370" s="39" t="n">
        <v>0</v>
      </c>
      <c r="AR370" s="39" t="n">
        <v>21341.25</v>
      </c>
      <c r="AT370" t="inlineStr">
        <is>
          <t>Crédito Directo</t>
        </is>
      </c>
      <c r="AZ370" t="inlineStr">
        <is>
          <t>No</t>
        </is>
      </c>
      <c r="BC370" t="inlineStr">
        <is>
          <t>VENCIDO</t>
        </is>
      </c>
      <c r="BN370" t="inlineStr">
        <is>
          <t>No</t>
        </is>
      </c>
      <c r="BO370" s="117" t="n">
        <v>45386.40347222222</v>
      </c>
      <c r="BP370" t="inlineStr">
        <is>
          <t>Carla Michue M</t>
        </is>
      </c>
      <c r="BR370" t="n">
        <v>35</v>
      </c>
      <c r="BT370" t="n">
        <v>0</v>
      </c>
      <c r="BX370" t="inlineStr">
        <is>
          <t>Cobranzas_2026.csv</t>
        </is>
      </c>
      <c r="BY370" t="n">
        <v>2026</v>
      </c>
      <c r="BZ370" t="inlineStr">
        <is>
          <t>01/01/2024</t>
        </is>
      </c>
      <c r="CA370" t="inlineStr">
        <is>
          <t>30/09/2031</t>
        </is>
      </c>
    </row>
    <row r="371">
      <c r="A371" t="inlineStr">
        <is>
          <t>RESIDENCIAL BEYOND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Departamento</t>
        </is>
      </c>
      <c r="F371" t="inlineStr">
        <is>
          <t>505</t>
        </is>
      </c>
      <c r="G371" s="39" t="n">
        <v>532100</v>
      </c>
      <c r="H371" s="39" t="n">
        <v>500000</v>
      </c>
      <c r="I371" t="inlineStr">
        <is>
          <t>Edificio</t>
        </is>
      </c>
      <c r="J371" t="inlineStr">
        <is>
          <t>A</t>
        </is>
      </c>
      <c r="K371" t="inlineStr">
        <is>
          <t>Estacionamiento</t>
        </is>
      </c>
      <c r="L371" t="inlineStr">
        <is>
          <t>E 05</t>
        </is>
      </c>
      <c r="M371" s="39" t="n">
        <v>45600</v>
      </c>
      <c r="N371" s="39" t="n">
        <v>45600</v>
      </c>
      <c r="O371" t="inlineStr">
        <is>
          <t>Edificio</t>
        </is>
      </c>
      <c r="P371" t="inlineStr">
        <is>
          <t>A</t>
        </is>
      </c>
      <c r="Q371" t="inlineStr">
        <is>
          <t>Depósito</t>
        </is>
      </c>
      <c r="R371" t="inlineStr">
        <is>
          <t>D 05</t>
        </is>
      </c>
      <c r="S371" s="39" t="n">
        <v>15900</v>
      </c>
      <c r="T371" s="39" t="n">
        <v>15900</v>
      </c>
      <c r="Y371" s="39" t="n"/>
      <c r="Z371" s="39" t="n"/>
      <c r="AA371" t="inlineStr">
        <is>
          <t>Dante Enrique Segura Florian</t>
        </is>
      </c>
      <c r="AB371" t="inlineStr">
        <is>
          <t xml:space="preserve">45587286		</t>
        </is>
      </c>
      <c r="AC371" t="inlineStr">
        <is>
          <t xml:space="preserve">1845 San Andres Dr Pitsburg CA 94565 - San Francisco </t>
        </is>
      </c>
      <c r="AD371" t="n">
        <v>0</v>
      </c>
      <c r="AE371" t="inlineStr">
        <is>
          <t>+15103330517</t>
        </is>
      </c>
      <c r="AF371" t="inlineStr">
        <is>
          <t xml:space="preserve">d.segura@uaa.edu		</t>
        </is>
      </c>
      <c r="AI371" s="116" t="n">
        <v>46228</v>
      </c>
      <c r="AJ371" s="116" t="n"/>
      <c r="AK371" t="inlineStr">
        <is>
          <t>SALDO FINANCIAR</t>
        </is>
      </c>
      <c r="AL371" t="n">
        <v>16</v>
      </c>
      <c r="AM371" t="n">
        <v>21341.25</v>
      </c>
      <c r="AN371" t="n">
        <v>0</v>
      </c>
      <c r="AO371" t="n">
        <v>0</v>
      </c>
      <c r="AP371" s="39" t="n">
        <v>21341.25</v>
      </c>
      <c r="AQ371" s="39" t="n">
        <v>0</v>
      </c>
      <c r="AR371" s="39" t="n">
        <v>21341.25</v>
      </c>
      <c r="AT371" t="inlineStr">
        <is>
          <t>Crédito Directo</t>
        </is>
      </c>
      <c r="AZ371" t="inlineStr">
        <is>
          <t>No</t>
        </is>
      </c>
      <c r="BC371" t="inlineStr">
        <is>
          <t>VENCIDO</t>
        </is>
      </c>
      <c r="BN371" t="inlineStr">
        <is>
          <t>No</t>
        </is>
      </c>
      <c r="BO371" s="117" t="n">
        <v>45386.40347222222</v>
      </c>
      <c r="BP371" t="inlineStr">
        <is>
          <t>Carla Michue M</t>
        </is>
      </c>
      <c r="BR371" t="n">
        <v>35</v>
      </c>
      <c r="BT371" t="n">
        <v>0</v>
      </c>
      <c r="BX371" t="inlineStr">
        <is>
          <t>Cobranzas_2026.csv</t>
        </is>
      </c>
      <c r="BY371" t="n">
        <v>2026</v>
      </c>
      <c r="BZ371" t="inlineStr">
        <is>
          <t>01/01/2024</t>
        </is>
      </c>
      <c r="CA371" t="inlineStr">
        <is>
          <t>30/09/2031</t>
        </is>
      </c>
    </row>
    <row r="372">
      <c r="A372" t="inlineStr">
        <is>
          <t>RESIDENCIAL BEYOND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Departamento</t>
        </is>
      </c>
      <c r="F372" t="inlineStr">
        <is>
          <t>1306</t>
        </is>
      </c>
      <c r="G372" s="39" t="n">
        <v>312500</v>
      </c>
      <c r="H372" s="39" t="n">
        <v>265000</v>
      </c>
      <c r="M372" s="39" t="n"/>
      <c r="N372" s="39" t="n"/>
      <c r="S372" s="39" t="n"/>
      <c r="T372" s="39" t="n"/>
      <c r="Y372" s="39" t="n"/>
      <c r="Z372" s="39" t="n"/>
      <c r="AA372" t="inlineStr">
        <is>
          <t>Darwin Martin Peralta Conchucos</t>
        </is>
      </c>
      <c r="AB372" t="inlineStr">
        <is>
          <t>43608980</t>
        </is>
      </c>
      <c r="AC372" t="inlineStr">
        <is>
          <t>Jr. Santiago Wagner 2264</t>
        </is>
      </c>
      <c r="AD372" t="n">
        <v>0</v>
      </c>
      <c r="AE372" t="inlineStr">
        <is>
          <t>979177372</t>
        </is>
      </c>
      <c r="AF372" t="inlineStr">
        <is>
          <t>mlynch30_07@icloud.com</t>
        </is>
      </c>
      <c r="AG372" t="inlineStr">
        <is>
          <t>LIMA</t>
        </is>
      </c>
      <c r="AH372" t="inlineStr">
        <is>
          <t>PUEBLO LIBRE</t>
        </is>
      </c>
      <c r="AI372" s="116" t="n">
        <v>46295</v>
      </c>
      <c r="AJ372" s="116" t="n"/>
      <c r="AK372" t="inlineStr">
        <is>
          <t>AHORRO CASA</t>
        </is>
      </c>
      <c r="AL372" t="n">
        <v>2</v>
      </c>
      <c r="AM372" t="n">
        <v>11400</v>
      </c>
      <c r="AN372" t="n">
        <v>0</v>
      </c>
      <c r="AO372" t="n">
        <v>0</v>
      </c>
      <c r="AP372" s="39" t="n">
        <v>11400</v>
      </c>
      <c r="AQ372" s="39" t="n">
        <v>0</v>
      </c>
      <c r="AR372" s="39" t="n">
        <v>11400</v>
      </c>
      <c r="AT372" t="inlineStr">
        <is>
          <t>Ahorro</t>
        </is>
      </c>
      <c r="AZ372" t="inlineStr">
        <is>
          <t>No</t>
        </is>
      </c>
      <c r="BC372" t="inlineStr">
        <is>
          <t>VENCIDO</t>
        </is>
      </c>
      <c r="BN372" t="inlineStr">
        <is>
          <t>No</t>
        </is>
      </c>
      <c r="BO372" s="117" t="n">
        <v>45904.80555555555</v>
      </c>
      <c r="BP372" t="inlineStr">
        <is>
          <t>Carla Michue M</t>
        </is>
      </c>
      <c r="BR372" t="n">
        <v>11</v>
      </c>
      <c r="BT372" t="n">
        <v>0</v>
      </c>
      <c r="BX372" t="inlineStr">
        <is>
          <t>Cobranzas_2026.csv</t>
        </is>
      </c>
      <c r="BY372" t="n">
        <v>2026</v>
      </c>
      <c r="BZ372" t="inlineStr">
        <is>
          <t>01/01/2024</t>
        </is>
      </c>
      <c r="CA372" t="inlineStr">
        <is>
          <t>30/09/2031</t>
        </is>
      </c>
    </row>
    <row r="373">
      <c r="A373" t="inlineStr">
        <is>
          <t>RESIDENCIAL BEYOND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Departamento</t>
        </is>
      </c>
      <c r="F373" t="inlineStr">
        <is>
          <t>1306</t>
        </is>
      </c>
      <c r="G373" s="39" t="n">
        <v>312500</v>
      </c>
      <c r="H373" s="39" t="n">
        <v>265000</v>
      </c>
      <c r="M373" s="39" t="n"/>
      <c r="N373" s="39" t="n"/>
      <c r="S373" s="39" t="n"/>
      <c r="T373" s="39" t="n"/>
      <c r="Y373" s="39" t="n"/>
      <c r="Z373" s="39" t="n"/>
      <c r="AA373" t="inlineStr">
        <is>
          <t>Darwin Martin Peralta Conchucos</t>
        </is>
      </c>
      <c r="AB373" t="inlineStr">
        <is>
          <t>43608980</t>
        </is>
      </c>
      <c r="AC373" t="inlineStr">
        <is>
          <t>Jr. Santiago Wagner 2264</t>
        </is>
      </c>
      <c r="AD373" t="n">
        <v>0</v>
      </c>
      <c r="AE373" t="inlineStr">
        <is>
          <t>979177372</t>
        </is>
      </c>
      <c r="AF373" t="inlineStr">
        <is>
          <t>mlynch30_07@icloud.com</t>
        </is>
      </c>
      <c r="AG373" t="inlineStr">
        <is>
          <t>LIMA</t>
        </is>
      </c>
      <c r="AH373" t="inlineStr">
        <is>
          <t>PUEBLO LIBRE</t>
        </is>
      </c>
      <c r="AI373" s="116" t="n">
        <v>46295</v>
      </c>
      <c r="AJ373" s="116" t="n"/>
      <c r="AK373" t="inlineStr">
        <is>
          <t>SALDO FINANCIAR</t>
        </is>
      </c>
      <c r="AL373" t="n">
        <v>1</v>
      </c>
      <c r="AM373" t="n">
        <v>185000</v>
      </c>
      <c r="AN373" t="n">
        <v>0</v>
      </c>
      <c r="AO373" t="n">
        <v>0</v>
      </c>
      <c r="AP373" s="39" t="n">
        <v>185000</v>
      </c>
      <c r="AQ373" s="39" t="n">
        <v>0</v>
      </c>
      <c r="AR373" s="39" t="n">
        <v>185000</v>
      </c>
      <c r="AT373" t="inlineStr">
        <is>
          <t>Ahorro</t>
        </is>
      </c>
      <c r="AZ373" t="inlineStr">
        <is>
          <t>No</t>
        </is>
      </c>
      <c r="BC373" t="inlineStr">
        <is>
          <t>VENCIDO</t>
        </is>
      </c>
      <c r="BN373" t="inlineStr">
        <is>
          <t>No</t>
        </is>
      </c>
      <c r="BO373" s="117" t="n">
        <v>45904.80555555555</v>
      </c>
      <c r="BP373" t="inlineStr">
        <is>
          <t>Carla Michue M</t>
        </is>
      </c>
      <c r="BR373" t="n">
        <v>11</v>
      </c>
      <c r="BT373" t="n">
        <v>0</v>
      </c>
      <c r="BX373" t="inlineStr">
        <is>
          <t>Cobranzas_2026.csv</t>
        </is>
      </c>
      <c r="BY373" t="n">
        <v>2026</v>
      </c>
      <c r="BZ373" t="inlineStr">
        <is>
          <t>01/01/2024</t>
        </is>
      </c>
      <c r="CA373" t="inlineStr">
        <is>
          <t>30/09/2031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Departamento</t>
        </is>
      </c>
      <c r="F374" t="inlineStr">
        <is>
          <t>703</t>
        </is>
      </c>
      <c r="G374" s="39" t="n">
        <v>654000</v>
      </c>
      <c r="H374" s="39" t="n">
        <v>654000</v>
      </c>
      <c r="I374" t="inlineStr">
        <is>
          <t>Edificio</t>
        </is>
      </c>
      <c r="J374" t="inlineStr">
        <is>
          <t>A</t>
        </is>
      </c>
      <c r="K374" t="inlineStr">
        <is>
          <t>Estacionamiento</t>
        </is>
      </c>
      <c r="L374" t="inlineStr">
        <is>
          <t>E 06 - D 04</t>
        </is>
      </c>
      <c r="M374" s="39" t="n">
        <v>57500</v>
      </c>
      <c r="N374" s="39" t="n">
        <v>57500</v>
      </c>
      <c r="S374" s="39" t="n"/>
      <c r="T374" s="39" t="n"/>
      <c r="Y374" s="39" t="n"/>
      <c r="Z374" s="39" t="n"/>
      <c r="AA374" t="inlineStr">
        <is>
          <t>David Edgar Valencia Cordova</t>
        </is>
      </c>
      <c r="AB374" t="inlineStr">
        <is>
          <t>41844906</t>
        </is>
      </c>
      <c r="AC374" t="inlineStr">
        <is>
          <t>P. Joven Año Nuevo Jr. Montero Rosas 860</t>
        </is>
      </c>
      <c r="AD374" t="n">
        <v>991846561</v>
      </c>
      <c r="AE374" t="inlineStr">
        <is>
          <t>991846561</t>
        </is>
      </c>
      <c r="AF374" t="inlineStr">
        <is>
          <t>davico29@gmail.com</t>
        </is>
      </c>
      <c r="AG374" t="inlineStr">
        <is>
          <t>LIMA</t>
        </is>
      </c>
      <c r="AH374" t="inlineStr">
        <is>
          <t>COMAS</t>
        </is>
      </c>
      <c r="AI374" s="116" t="n">
        <v>46052</v>
      </c>
      <c r="AJ374" s="116" t="n">
        <v>46043</v>
      </c>
      <c r="AK374" t="inlineStr">
        <is>
          <t>SALDO FINANCIAR</t>
        </is>
      </c>
      <c r="AL374" t="n">
        <v>12</v>
      </c>
      <c r="AM374" t="n">
        <v>34750</v>
      </c>
      <c r="AN374" t="n">
        <v>0</v>
      </c>
      <c r="AO374" t="n">
        <v>0</v>
      </c>
      <c r="AP374" s="39" t="n">
        <v>34750</v>
      </c>
      <c r="AQ374" s="39" t="n">
        <v>34750</v>
      </c>
      <c r="AR374" s="39" t="n">
        <v>0</v>
      </c>
      <c r="AS374" t="n">
        <v>0</v>
      </c>
      <c r="AT374" t="inlineStr">
        <is>
          <t>Crédito Hipotecario</t>
        </is>
      </c>
      <c r="AU374" t="inlineStr">
        <is>
          <t>Scotiabank Perú</t>
        </is>
      </c>
      <c r="AV374" t="inlineStr">
        <is>
          <t>000-2768484</t>
        </is>
      </c>
      <c r="AW374" t="inlineStr">
        <is>
          <t>TRANSFERENCIA BANCARIA</t>
        </is>
      </c>
      <c r="AX374" t="inlineStr">
        <is>
          <t>41844906</t>
        </is>
      </c>
      <c r="AY374" t="inlineStr">
        <is>
          <t>503251</t>
        </is>
      </c>
      <c r="AZ374" t="inlineStr">
        <is>
          <t>No</t>
        </is>
      </c>
      <c r="BA374" t="inlineStr">
        <is>
          <t>NO PRECISA</t>
        </is>
      </c>
      <c r="BB374" t="n">
        <v>4</v>
      </c>
      <c r="BC374" t="inlineStr">
        <is>
          <t>CANCELADO</t>
        </is>
      </c>
      <c r="BN374" t="inlineStr">
        <is>
          <t>Si</t>
        </is>
      </c>
      <c r="BO374" s="117" t="n">
        <v>45687.61736111111</v>
      </c>
      <c r="BP374" t="inlineStr">
        <is>
          <t>Carla Michue M</t>
        </is>
      </c>
      <c r="BR374" t="n">
        <v>38</v>
      </c>
      <c r="BS374" t="inlineStr">
        <is>
          <t>05/06/2026 11:16</t>
        </is>
      </c>
      <c r="BT374" t="n">
        <v>0</v>
      </c>
      <c r="BX374" t="inlineStr">
        <is>
          <t>Cobranzas_2026.csv</t>
        </is>
      </c>
      <c r="BY374" t="n">
        <v>2026</v>
      </c>
      <c r="BZ374" t="inlineStr">
        <is>
          <t>01/01/2024</t>
        </is>
      </c>
      <c r="CA374" t="inlineStr">
        <is>
          <t>30/09/2031</t>
        </is>
      </c>
    </row>
    <row r="375">
      <c r="A375" t="inlineStr">
        <is>
          <t>RESIDENCIAL PRADA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Estacionamiento</t>
        </is>
      </c>
      <c r="F375" t="inlineStr">
        <is>
          <t>E 20 - D 15</t>
        </is>
      </c>
      <c r="G375" s="39" t="n">
        <v>59300</v>
      </c>
      <c r="H375" s="39" t="n">
        <v>59300</v>
      </c>
      <c r="M375" s="39" t="n"/>
      <c r="N375" s="39" t="n"/>
      <c r="S375" s="39" t="n"/>
      <c r="T375" s="39" t="n"/>
      <c r="Y375" s="39" t="n"/>
      <c r="Z375" s="39" t="n"/>
      <c r="AA375" t="inlineStr">
        <is>
          <t>David Edgar Valencia Cordova</t>
        </is>
      </c>
      <c r="AB375" t="inlineStr">
        <is>
          <t>41844906</t>
        </is>
      </c>
      <c r="AC375" t="inlineStr">
        <is>
          <t xml:space="preserve">Jr. Casma 208 dpto. 301 </t>
        </is>
      </c>
      <c r="AD375" t="n">
        <v>0</v>
      </c>
      <c r="AE375" t="inlineStr">
        <is>
          <t>991846561</t>
        </is>
      </c>
      <c r="AF375" t="inlineStr">
        <is>
          <t>davico29@gmail.com</t>
        </is>
      </c>
      <c r="AG375" t="inlineStr">
        <is>
          <t>LIMA</t>
        </is>
      </c>
      <c r="AH375" t="inlineStr">
        <is>
          <t>LOS OLIVOS</t>
        </is>
      </c>
      <c r="AI375" s="116" t="n">
        <v>46035</v>
      </c>
      <c r="AJ375" s="116" t="n">
        <v>46035</v>
      </c>
      <c r="AK375" t="inlineStr">
        <is>
          <t>CUOTA INICIAL</t>
        </is>
      </c>
      <c r="AL375" t="n">
        <v>1</v>
      </c>
      <c r="AM375" t="n">
        <v>20000</v>
      </c>
      <c r="AN375" t="n">
        <v>0</v>
      </c>
      <c r="AO375" t="n">
        <v>0</v>
      </c>
      <c r="AP375" s="39" t="n">
        <v>20000</v>
      </c>
      <c r="AQ375" s="39" t="n">
        <v>20000</v>
      </c>
      <c r="AR375" s="39" t="n">
        <v>0</v>
      </c>
      <c r="AS375" t="n">
        <v>0</v>
      </c>
      <c r="AT375" t="inlineStr">
        <is>
          <t>Crédito Directo</t>
        </is>
      </c>
      <c r="AU375" t="inlineStr">
        <is>
          <t>Scotiabank Perú</t>
        </is>
      </c>
      <c r="AV375" t="inlineStr">
        <is>
          <t>000-2768484</t>
        </is>
      </c>
      <c r="AW375" t="inlineStr">
        <is>
          <t>TRANSFERENCIA BANCARIA</t>
        </is>
      </c>
      <c r="AY375" t="inlineStr">
        <is>
          <t>7844655545824</t>
        </is>
      </c>
      <c r="AZ375" t="inlineStr">
        <is>
          <t>Si</t>
        </is>
      </c>
      <c r="BB375" t="n">
        <v>4</v>
      </c>
      <c r="BC375" t="inlineStr">
        <is>
          <t>CANCELADO</t>
        </is>
      </c>
      <c r="BN375" t="inlineStr">
        <is>
          <t>Si</t>
        </is>
      </c>
      <c r="BO375" s="117" t="n">
        <v>46286.82222222222</v>
      </c>
      <c r="BP375" t="inlineStr">
        <is>
          <t>Magaly Guevara Perez</t>
        </is>
      </c>
      <c r="BR375" t="n">
        <v>66</v>
      </c>
      <c r="BS375" t="inlineStr">
        <is>
          <t>24/08/2026 11:23</t>
        </is>
      </c>
      <c r="BT375" t="n">
        <v>0</v>
      </c>
      <c r="BX375" t="inlineStr">
        <is>
          <t>Cobranzas_2026.csv</t>
        </is>
      </c>
      <c r="BY375" t="n">
        <v>2026</v>
      </c>
      <c r="BZ375" t="inlineStr">
        <is>
          <t>01/01/2024</t>
        </is>
      </c>
      <c r="CA375" t="inlineStr">
        <is>
          <t>30/09/2031</t>
        </is>
      </c>
    </row>
    <row r="376">
      <c r="A376" t="inlineStr">
        <is>
          <t>RESIDENCIAL PRADA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Estacionamiento</t>
        </is>
      </c>
      <c r="F376" t="inlineStr">
        <is>
          <t>E 20 - D 15</t>
        </is>
      </c>
      <c r="G376" s="39" t="n">
        <v>59300</v>
      </c>
      <c r="H376" s="39" t="n">
        <v>59300</v>
      </c>
      <c r="M376" s="39" t="n"/>
      <c r="N376" s="39" t="n"/>
      <c r="S376" s="39" t="n"/>
      <c r="T376" s="39" t="n"/>
      <c r="Y376" s="39" t="n"/>
      <c r="Z376" s="39" t="n"/>
      <c r="AA376" t="inlineStr">
        <is>
          <t>David Edgar Valencia Cordova</t>
        </is>
      </c>
      <c r="AB376" t="inlineStr">
        <is>
          <t>41844906</t>
        </is>
      </c>
      <c r="AC376" t="inlineStr">
        <is>
          <t xml:space="preserve">Jr. Casma 208 dpto. 301 </t>
        </is>
      </c>
      <c r="AD376" t="n">
        <v>0</v>
      </c>
      <c r="AE376" t="inlineStr">
        <is>
          <t>991846561</t>
        </is>
      </c>
      <c r="AF376" t="inlineStr">
        <is>
          <t>davico29@gmail.com</t>
        </is>
      </c>
      <c r="AG376" t="inlineStr">
        <is>
          <t>LIMA</t>
        </is>
      </c>
      <c r="AH376" t="inlineStr">
        <is>
          <t>LOS OLIVOS</t>
        </is>
      </c>
      <c r="AI376" s="116" t="n">
        <v>46066</v>
      </c>
      <c r="AJ376" s="116" t="n">
        <v>46066</v>
      </c>
      <c r="AK376" t="inlineStr">
        <is>
          <t>SALDO FINANCIAR</t>
        </is>
      </c>
      <c r="AL376" t="n">
        <v>1</v>
      </c>
      <c r="AM376" t="n">
        <v>9000</v>
      </c>
      <c r="AN376" t="n">
        <v>0</v>
      </c>
      <c r="AO376" t="n">
        <v>0</v>
      </c>
      <c r="AP376" s="39" t="n">
        <v>9000</v>
      </c>
      <c r="AQ376" s="39" t="n">
        <v>9000</v>
      </c>
      <c r="AR376" s="39" t="n">
        <v>0</v>
      </c>
      <c r="AS376" t="n">
        <v>0</v>
      </c>
      <c r="AT376" t="inlineStr">
        <is>
          <t>Crédito Directo</t>
        </is>
      </c>
      <c r="AU376" t="inlineStr">
        <is>
          <t>Scotiabank Perú</t>
        </is>
      </c>
      <c r="AV376" t="inlineStr">
        <is>
          <t>000-2768484</t>
        </is>
      </c>
      <c r="AW376" t="inlineStr">
        <is>
          <t>TRANSFERENCIA BANCARIA</t>
        </is>
      </c>
      <c r="AY376" t="inlineStr">
        <is>
          <t>7844655548275</t>
        </is>
      </c>
      <c r="AZ376" t="inlineStr">
        <is>
          <t>Si</t>
        </is>
      </c>
      <c r="BB376" t="n">
        <v>4</v>
      </c>
      <c r="BC376" t="inlineStr">
        <is>
          <t>CANCELADO</t>
        </is>
      </c>
      <c r="BN376" t="inlineStr">
        <is>
          <t>Si</t>
        </is>
      </c>
      <c r="BO376" s="117" t="n">
        <v>46286.82222222222</v>
      </c>
      <c r="BP376" t="inlineStr">
        <is>
          <t>Magaly Guevara Perez</t>
        </is>
      </c>
      <c r="BR376" t="n">
        <v>66</v>
      </c>
      <c r="BS376" t="inlineStr">
        <is>
          <t>24/08/2026 11:24</t>
        </is>
      </c>
      <c r="BT376" t="n">
        <v>0</v>
      </c>
      <c r="BX376" t="inlineStr">
        <is>
          <t>Cobranzas_2026.csv</t>
        </is>
      </c>
      <c r="BY376" t="n">
        <v>2026</v>
      </c>
      <c r="BZ376" t="inlineStr">
        <is>
          <t>01/01/2024</t>
        </is>
      </c>
      <c r="CA376" t="inlineStr">
        <is>
          <t>30/09/2031</t>
        </is>
      </c>
    </row>
    <row r="377">
      <c r="A377" t="inlineStr">
        <is>
          <t>RESIDENCIAL PRADA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Estacionamiento</t>
        </is>
      </c>
      <c r="F377" t="inlineStr">
        <is>
          <t>E 20 - D 15</t>
        </is>
      </c>
      <c r="G377" s="39" t="n">
        <v>59300</v>
      </c>
      <c r="H377" s="39" t="n">
        <v>59300</v>
      </c>
      <c r="M377" s="39" t="n"/>
      <c r="N377" s="39" t="n"/>
      <c r="S377" s="39" t="n"/>
      <c r="T377" s="39" t="n"/>
      <c r="Y377" s="39" t="n"/>
      <c r="Z377" s="39" t="n"/>
      <c r="AA377" t="inlineStr">
        <is>
          <t>David Edgar Valencia Cordova</t>
        </is>
      </c>
      <c r="AB377" t="inlineStr">
        <is>
          <t>41844906</t>
        </is>
      </c>
      <c r="AC377" t="inlineStr">
        <is>
          <t xml:space="preserve">Jr. Casma 208 dpto. 301 </t>
        </is>
      </c>
      <c r="AD377" t="n">
        <v>0</v>
      </c>
      <c r="AE377" t="inlineStr">
        <is>
          <t>991846561</t>
        </is>
      </c>
      <c r="AF377" t="inlineStr">
        <is>
          <t>davico29@gmail.com</t>
        </is>
      </c>
      <c r="AG377" t="inlineStr">
        <is>
          <t>LIMA</t>
        </is>
      </c>
      <c r="AH377" t="inlineStr">
        <is>
          <t>LOS OLIVOS</t>
        </is>
      </c>
      <c r="AI377" s="116" t="n">
        <v>46287</v>
      </c>
      <c r="AJ377" s="116" t="n">
        <v>46287</v>
      </c>
      <c r="AK377" t="inlineStr">
        <is>
          <t>SALDO FINANCIAR</t>
        </is>
      </c>
      <c r="AL377" t="n">
        <v>2</v>
      </c>
      <c r="AM377" t="n">
        <v>20000</v>
      </c>
      <c r="AN377" t="n">
        <v>0</v>
      </c>
      <c r="AO377" t="n">
        <v>0</v>
      </c>
      <c r="AP377" s="39" t="n">
        <v>20000</v>
      </c>
      <c r="AQ377" s="39" t="n">
        <v>20000</v>
      </c>
      <c r="AR377" s="39" t="n">
        <v>0</v>
      </c>
      <c r="AS377" t="n">
        <v>0</v>
      </c>
      <c r="AT377" t="inlineStr">
        <is>
          <t>Crédito Directo</t>
        </is>
      </c>
      <c r="AU377" t="inlineStr">
        <is>
          <t>Scotiabank Perú</t>
        </is>
      </c>
      <c r="AV377" t="inlineStr">
        <is>
          <t>000-2768484</t>
        </is>
      </c>
      <c r="AW377" t="inlineStr">
        <is>
          <t>TRANSFERENCIA BANCARIA</t>
        </is>
      </c>
      <c r="AY377" t="inlineStr">
        <is>
          <t>4655504006</t>
        </is>
      </c>
      <c r="AZ377" t="inlineStr">
        <is>
          <t>Si</t>
        </is>
      </c>
      <c r="BB377" t="n">
        <v>4</v>
      </c>
      <c r="BC377" t="inlineStr">
        <is>
          <t>CANCELADO</t>
        </is>
      </c>
      <c r="BN377" t="inlineStr">
        <is>
          <t>Si</t>
        </is>
      </c>
      <c r="BO377" s="117" t="n">
        <v>46286.82222222222</v>
      </c>
      <c r="BP377" t="inlineStr">
        <is>
          <t>Magaly Guevara Perez</t>
        </is>
      </c>
      <c r="BR377" t="n">
        <v>66</v>
      </c>
      <c r="BS377" t="inlineStr">
        <is>
          <t>23/09/2026 09:56</t>
        </is>
      </c>
      <c r="BT377" t="n">
        <v>0</v>
      </c>
      <c r="BX377" t="inlineStr">
        <is>
          <t>Cobranzas_2026.csv</t>
        </is>
      </c>
      <c r="BY377" t="n">
        <v>2026</v>
      </c>
      <c r="BZ377" t="inlineStr">
        <is>
          <t>01/01/2024</t>
        </is>
      </c>
      <c r="CA377" t="inlineStr">
        <is>
          <t>30/09/2031</t>
        </is>
      </c>
    </row>
    <row r="378">
      <c r="A378" t="inlineStr">
        <is>
          <t>RESIDENCIAL PRADA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39" t="n">
        <v>630000</v>
      </c>
      <c r="H378" s="39" t="n">
        <v>630000</v>
      </c>
      <c r="M378" s="39" t="n"/>
      <c r="N378" s="39" t="n"/>
      <c r="S378" s="39" t="n"/>
      <c r="T378" s="39" t="n"/>
      <c r="Y378" s="39" t="n"/>
      <c r="Z378" s="39" t="n"/>
      <c r="AA378" t="inlineStr">
        <is>
          <t>Denisse Estela Linares Suarez</t>
        </is>
      </c>
      <c r="AB378" t="inlineStr">
        <is>
          <t>44457800</t>
        </is>
      </c>
      <c r="AC378" t="inlineStr">
        <is>
          <t>Jr. Zorritos 1399 – Block 37 Dpto. 201 - Cercado Lima</t>
        </is>
      </c>
      <c r="AD378" t="n">
        <v>991810339</v>
      </c>
      <c r="AE378" t="inlineStr">
        <is>
          <t>991810339</t>
        </is>
      </c>
      <c r="AF378" t="inlineStr">
        <is>
          <t>dlinaressuarez@gmail.com</t>
        </is>
      </c>
      <c r="AG378" t="inlineStr">
        <is>
          <t>LIMA</t>
        </is>
      </c>
      <c r="AH378" t="inlineStr">
        <is>
          <t>CERCADO DE LIMA</t>
        </is>
      </c>
      <c r="AI378" s="116" t="n">
        <v>46081</v>
      </c>
      <c r="AJ378" s="116" t="n">
        <v>46053</v>
      </c>
      <c r="AK378" t="inlineStr">
        <is>
          <t>SALDO FINANCIAR</t>
        </is>
      </c>
      <c r="AL378" t="n">
        <v>1</v>
      </c>
      <c r="AM378" t="n">
        <v>504000</v>
      </c>
      <c r="AN378" t="n">
        <v>0</v>
      </c>
      <c r="AO378" t="n">
        <v>0</v>
      </c>
      <c r="AP378" s="39" t="n">
        <v>504000</v>
      </c>
      <c r="AQ378" s="39" t="n">
        <v>504000</v>
      </c>
      <c r="AR378" s="39" t="n">
        <v>0</v>
      </c>
      <c r="AS378" t="n">
        <v>0</v>
      </c>
      <c r="AT378" t="inlineStr">
        <is>
          <t>Ahorro</t>
        </is>
      </c>
      <c r="AU378" t="inlineStr">
        <is>
          <t>Scotiabank Perú</t>
        </is>
      </c>
      <c r="AV378" t="inlineStr">
        <is>
          <t>000-2768484</t>
        </is>
      </c>
      <c r="AW378" t="inlineStr">
        <is>
          <t>TRANSFERENCIA BANCARIA</t>
        </is>
      </c>
      <c r="AY378" t="inlineStr">
        <is>
          <t>02708000033</t>
        </is>
      </c>
      <c r="AZ378" t="inlineStr">
        <is>
          <t>No</t>
        </is>
      </c>
      <c r="BB378" t="n">
        <v>4</v>
      </c>
      <c r="BC378" t="inlineStr">
        <is>
          <t>CANCELADO</t>
        </is>
      </c>
      <c r="BN378" t="inlineStr">
        <is>
          <t>Si</t>
        </is>
      </c>
      <c r="BO378" s="117" t="n">
        <v>45880.51319444444</v>
      </c>
      <c r="BP378" t="inlineStr">
        <is>
          <t>Kenny Salazar S</t>
        </is>
      </c>
      <c r="BR378" t="n">
        <v>44</v>
      </c>
      <c r="BS378" t="inlineStr">
        <is>
          <t>07/07/2026 12:18</t>
        </is>
      </c>
      <c r="BT378" t="n">
        <v>0</v>
      </c>
      <c r="BX378" t="inlineStr">
        <is>
          <t>Cobranzas_2026.csv</t>
        </is>
      </c>
      <c r="BY378" t="n">
        <v>2026</v>
      </c>
      <c r="BZ378" t="inlineStr">
        <is>
          <t>01/01/2024</t>
        </is>
      </c>
      <c r="CA378" t="inlineStr">
        <is>
          <t>30/09/2031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1202</t>
        </is>
      </c>
      <c r="G379" s="39" t="n">
        <v>422000</v>
      </c>
      <c r="H379" s="39" t="n">
        <v>370000</v>
      </c>
      <c r="M379" s="39" t="n"/>
      <c r="N379" s="39" t="n"/>
      <c r="S379" s="39" t="n"/>
      <c r="T379" s="39" t="n"/>
      <c r="Y379" s="39" t="n"/>
      <c r="Z379" s="39" t="n"/>
      <c r="AA379" t="inlineStr">
        <is>
          <t>Diana Carolina Asmat Cuno</t>
        </is>
      </c>
      <c r="AB379" t="inlineStr">
        <is>
          <t>47198881</t>
        </is>
      </c>
      <c r="AC379" t="inlineStr">
        <is>
          <t>Jr. Las Cidras 684 Coop Las Flores</t>
        </is>
      </c>
      <c r="AD379" t="n">
        <v>0</v>
      </c>
      <c r="AE379" t="inlineStr">
        <is>
          <t>+61451852811</t>
        </is>
      </c>
      <c r="AF379" t="inlineStr">
        <is>
          <t>ianikro@outlook.com</t>
        </is>
      </c>
      <c r="AG379" t="inlineStr">
        <is>
          <t>LIMA</t>
        </is>
      </c>
      <c r="AH379" t="inlineStr">
        <is>
          <t>SAN JUAN DE LURIGANCHO</t>
        </is>
      </c>
      <c r="AI379" s="116" t="n">
        <v>46027</v>
      </c>
      <c r="AJ379" s="116" t="n">
        <v>46027</v>
      </c>
      <c r="AK379" t="inlineStr">
        <is>
          <t>SEPARACION</t>
        </is>
      </c>
      <c r="AL379" t="n">
        <v>1</v>
      </c>
      <c r="AM379" t="n">
        <v>5000</v>
      </c>
      <c r="AN379" t="n">
        <v>0</v>
      </c>
      <c r="AO379" t="n">
        <v>0</v>
      </c>
      <c r="AP379" s="39" t="n">
        <v>5000</v>
      </c>
      <c r="AQ379" s="39" t="n">
        <v>5000</v>
      </c>
      <c r="AR379" s="39" t="n">
        <v>0</v>
      </c>
      <c r="AS379" t="n">
        <v>0</v>
      </c>
      <c r="AT379" t="inlineStr">
        <is>
          <t>Crédito Directo</t>
        </is>
      </c>
      <c r="AU379" t="inlineStr">
        <is>
          <t>Banco de Credito del Perú</t>
        </is>
      </c>
      <c r="AV379" t="inlineStr">
        <is>
          <t>194-7325779-0-65</t>
        </is>
      </c>
      <c r="AW379" t="inlineStr">
        <is>
          <t>TRANSFERENCIA BANCARIA</t>
        </is>
      </c>
      <c r="AY379" t="inlineStr">
        <is>
          <t>03758507</t>
        </is>
      </c>
      <c r="AZ379" t="inlineStr">
        <is>
          <t>No</t>
        </is>
      </c>
      <c r="BB379" t="n">
        <v>4</v>
      </c>
      <c r="BC379" t="inlineStr">
        <is>
          <t>CANCELADO</t>
        </is>
      </c>
      <c r="BN379" t="inlineStr">
        <is>
          <t>Si</t>
        </is>
      </c>
      <c r="BO379" s="117" t="n">
        <v>46079.4375</v>
      </c>
      <c r="BP379" t="inlineStr">
        <is>
          <t>Magaly Guevara Perez</t>
        </is>
      </c>
      <c r="BR379" t="n">
        <v>15</v>
      </c>
      <c r="BS379" t="inlineStr">
        <is>
          <t>23/05/2026 21:55</t>
        </is>
      </c>
      <c r="BT379" t="n">
        <v>0</v>
      </c>
      <c r="BX379" t="inlineStr">
        <is>
          <t>Cobranzas_2026.csv</t>
        </is>
      </c>
      <c r="BY379" t="n">
        <v>2026</v>
      </c>
      <c r="BZ379" t="inlineStr">
        <is>
          <t>01/01/2024</t>
        </is>
      </c>
      <c r="CA379" t="inlineStr">
        <is>
          <t>30/09/2031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1202</t>
        </is>
      </c>
      <c r="G380" s="39" t="n">
        <v>422000</v>
      </c>
      <c r="H380" s="39" t="n">
        <v>370000</v>
      </c>
      <c r="M380" s="39" t="n"/>
      <c r="N380" s="39" t="n"/>
      <c r="S380" s="39" t="n"/>
      <c r="T380" s="39" t="n"/>
      <c r="Y380" s="39" t="n"/>
      <c r="Z380" s="39" t="n"/>
      <c r="AA380" t="inlineStr">
        <is>
          <t>Diana Carolina Asmat Cuno</t>
        </is>
      </c>
      <c r="AB380" t="inlineStr">
        <is>
          <t>47198881</t>
        </is>
      </c>
      <c r="AC380" t="inlineStr">
        <is>
          <t>Jr. Las Cidras 684 Coop Las Flores</t>
        </is>
      </c>
      <c r="AD380" t="n">
        <v>0</v>
      </c>
      <c r="AE380" t="inlineStr">
        <is>
          <t>+61451852811</t>
        </is>
      </c>
      <c r="AF380" t="inlineStr">
        <is>
          <t>ianikro@outlook.com</t>
        </is>
      </c>
      <c r="AG380" t="inlineStr">
        <is>
          <t>LIMA</t>
        </is>
      </c>
      <c r="AH380" t="inlineStr">
        <is>
          <t>SAN JUAN DE LURIGANCHO</t>
        </is>
      </c>
      <c r="AI380" s="116" t="n">
        <v>46079</v>
      </c>
      <c r="AJ380" s="116" t="n">
        <v>46079</v>
      </c>
      <c r="AK380" t="inlineStr">
        <is>
          <t>CUOTA INICIAL</t>
        </is>
      </c>
      <c r="AL380" t="n">
        <v>1</v>
      </c>
      <c r="AM380" t="n">
        <v>5000</v>
      </c>
      <c r="AN380" t="n">
        <v>0</v>
      </c>
      <c r="AO380" t="n">
        <v>0</v>
      </c>
      <c r="AP380" s="39" t="n">
        <v>5000</v>
      </c>
      <c r="AQ380" s="39" t="n">
        <v>5000</v>
      </c>
      <c r="AR380" s="39" t="n">
        <v>0</v>
      </c>
      <c r="AS380" t="n">
        <v>0</v>
      </c>
      <c r="AT380" t="inlineStr">
        <is>
          <t>Crédito Directo</t>
        </is>
      </c>
      <c r="AU380" t="inlineStr">
        <is>
          <t>Banco de Credito del Perú</t>
        </is>
      </c>
      <c r="AV380" t="inlineStr">
        <is>
          <t>194-7325779-0-65</t>
        </is>
      </c>
      <c r="AW380" t="inlineStr">
        <is>
          <t>TRANSFERENCIA BANCARIA</t>
        </is>
      </c>
      <c r="AY380" t="inlineStr">
        <is>
          <t>05503990</t>
        </is>
      </c>
      <c r="AZ380" t="inlineStr">
        <is>
          <t>No</t>
        </is>
      </c>
      <c r="BB380" t="n">
        <v>4</v>
      </c>
      <c r="BC380" t="inlineStr">
        <is>
          <t>CANCELADO</t>
        </is>
      </c>
      <c r="BN380" t="inlineStr">
        <is>
          <t>Si</t>
        </is>
      </c>
      <c r="BO380" s="117" t="n">
        <v>46079.4375</v>
      </c>
      <c r="BP380" t="inlineStr">
        <is>
          <t>Magaly Guevara Perez</t>
        </is>
      </c>
      <c r="BR380" t="n">
        <v>15</v>
      </c>
      <c r="BS380" t="inlineStr">
        <is>
          <t>23/05/2026 22:02</t>
        </is>
      </c>
      <c r="BT380" t="n">
        <v>0</v>
      </c>
      <c r="BX380" t="inlineStr">
        <is>
          <t>Cobranzas_2026.csv</t>
        </is>
      </c>
      <c r="BY380" t="n">
        <v>2026</v>
      </c>
      <c r="BZ380" t="inlineStr">
        <is>
          <t>01/01/2024</t>
        </is>
      </c>
      <c r="CA380" t="inlineStr">
        <is>
          <t>30/09/2031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1202</t>
        </is>
      </c>
      <c r="G381" s="39" t="n">
        <v>422000</v>
      </c>
      <c r="H381" s="39" t="n">
        <v>370000</v>
      </c>
      <c r="M381" s="39" t="n"/>
      <c r="N381" s="39" t="n"/>
      <c r="S381" s="39" t="n"/>
      <c r="T381" s="39" t="n"/>
      <c r="Y381" s="39" t="n"/>
      <c r="Z381" s="39" t="n"/>
      <c r="AA381" t="inlineStr">
        <is>
          <t>Diana Carolina Asmat Cuno</t>
        </is>
      </c>
      <c r="AB381" t="inlineStr">
        <is>
          <t>47198881</t>
        </is>
      </c>
      <c r="AC381" t="inlineStr">
        <is>
          <t>Jr. Las Cidras 684 Coop Las Flores</t>
        </is>
      </c>
      <c r="AD381" t="n">
        <v>0</v>
      </c>
      <c r="AE381" t="inlineStr">
        <is>
          <t>+61451852811</t>
        </is>
      </c>
      <c r="AF381" t="inlineStr">
        <is>
          <t>ianikro@outlook.com</t>
        </is>
      </c>
      <c r="AG381" t="inlineStr">
        <is>
          <t>LIMA</t>
        </is>
      </c>
      <c r="AH381" t="inlineStr">
        <is>
          <t>SAN JUAN DE LURIGANCHO</t>
        </is>
      </c>
      <c r="AI381" s="116" t="n">
        <v>46132</v>
      </c>
      <c r="AJ381" s="116" t="n">
        <v>46132</v>
      </c>
      <c r="AK381" t="inlineStr">
        <is>
          <t>CUOTA INICIAL</t>
        </is>
      </c>
      <c r="AL381" t="n">
        <v>2</v>
      </c>
      <c r="AM381" t="n">
        <v>20000</v>
      </c>
      <c r="AN381" t="n">
        <v>0</v>
      </c>
      <c r="AO381" t="n">
        <v>0</v>
      </c>
      <c r="AP381" s="39" t="n">
        <v>20000</v>
      </c>
      <c r="AQ381" s="39" t="n">
        <v>20000</v>
      </c>
      <c r="AR381" s="39" t="n">
        <v>0</v>
      </c>
      <c r="AS381" t="n">
        <v>0</v>
      </c>
      <c r="AT381" t="inlineStr">
        <is>
          <t>Crédito Directo</t>
        </is>
      </c>
      <c r="AU381" t="inlineStr">
        <is>
          <t>Banco de Credito del Perú</t>
        </is>
      </c>
      <c r="AV381" t="inlineStr">
        <is>
          <t>194-7325779-0-65</t>
        </is>
      </c>
      <c r="AW381" t="inlineStr">
        <is>
          <t>TRANSFERENCIA BANCARIA</t>
        </is>
      </c>
      <c r="AY381" t="inlineStr">
        <is>
          <t>06610290</t>
        </is>
      </c>
      <c r="AZ381" t="inlineStr">
        <is>
          <t>No</t>
        </is>
      </c>
      <c r="BB381" t="n">
        <v>4</v>
      </c>
      <c r="BC381" t="inlineStr">
        <is>
          <t>CANCELADO</t>
        </is>
      </c>
      <c r="BN381" t="inlineStr">
        <is>
          <t>Si</t>
        </is>
      </c>
      <c r="BO381" s="117" t="n">
        <v>46079.4375</v>
      </c>
      <c r="BP381" t="inlineStr">
        <is>
          <t>Magaly Guevara Perez</t>
        </is>
      </c>
      <c r="BR381" t="n">
        <v>15</v>
      </c>
      <c r="BS381" t="inlineStr">
        <is>
          <t>23/05/2026 22:03</t>
        </is>
      </c>
      <c r="BT381" t="n">
        <v>0</v>
      </c>
      <c r="BX381" t="inlineStr">
        <is>
          <t>Cobranzas_2026.csv</t>
        </is>
      </c>
      <c r="BY381" t="n">
        <v>2026</v>
      </c>
      <c r="BZ381" t="inlineStr">
        <is>
          <t>01/01/2024</t>
        </is>
      </c>
      <c r="CA381" t="inlineStr">
        <is>
          <t>30/09/2031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1202</t>
        </is>
      </c>
      <c r="G382" s="39" t="n">
        <v>422000</v>
      </c>
      <c r="H382" s="39" t="n">
        <v>370000</v>
      </c>
      <c r="M382" s="39" t="n"/>
      <c r="N382" s="39" t="n"/>
      <c r="S382" s="39" t="n"/>
      <c r="T382" s="39" t="n"/>
      <c r="Y382" s="39" t="n"/>
      <c r="Z382" s="39" t="n"/>
      <c r="AA382" t="inlineStr">
        <is>
          <t>Diana Carolina Asmat Cuno</t>
        </is>
      </c>
      <c r="AB382" t="inlineStr">
        <is>
          <t>47198881</t>
        </is>
      </c>
      <c r="AC382" t="inlineStr">
        <is>
          <t>Jr. Las Cidras 684 Coop Las Flores</t>
        </is>
      </c>
      <c r="AD382" t="n">
        <v>0</v>
      </c>
      <c r="AE382" t="inlineStr">
        <is>
          <t>+61451852811</t>
        </is>
      </c>
      <c r="AF382" t="inlineStr">
        <is>
          <t>ianikro@outlook.com</t>
        </is>
      </c>
      <c r="AG382" t="inlineStr">
        <is>
          <t>LIMA</t>
        </is>
      </c>
      <c r="AH382" t="inlineStr">
        <is>
          <t>SAN JUAN DE LURIGANCHO</t>
        </is>
      </c>
      <c r="AI382" s="116" t="n">
        <v>46234</v>
      </c>
      <c r="AJ382" s="116" t="n">
        <v>46288</v>
      </c>
      <c r="AK382" t="inlineStr">
        <is>
          <t>SALDO FINANCIAR</t>
        </is>
      </c>
      <c r="AL382" t="n">
        <v>1</v>
      </c>
      <c r="AM382" t="n">
        <v>0</v>
      </c>
      <c r="AN382" t="n">
        <v>0</v>
      </c>
      <c r="AO382" t="n">
        <v>0</v>
      </c>
      <c r="AP382" s="39" t="n">
        <v>99500</v>
      </c>
      <c r="AQ382" s="39" t="n">
        <v>29500</v>
      </c>
      <c r="AR382" s="39" t="n">
        <v>20000</v>
      </c>
      <c r="AS382" t="n">
        <v>0</v>
      </c>
      <c r="AT382" t="inlineStr">
        <is>
          <t>Crédito Directo</t>
        </is>
      </c>
      <c r="AZ382" t="inlineStr">
        <is>
          <t>No</t>
        </is>
      </c>
      <c r="BB382" t="n">
        <v>4</v>
      </c>
      <c r="BC382" t="inlineStr">
        <is>
          <t>VENCIDO - PARC. CANCELADO</t>
        </is>
      </c>
      <c r="BN382" t="inlineStr">
        <is>
          <t>Si</t>
        </is>
      </c>
      <c r="BO382" s="117" t="n">
        <v>46079.4375</v>
      </c>
      <c r="BP382" t="inlineStr">
        <is>
          <t>Magaly Guevara Perez</t>
        </is>
      </c>
      <c r="BR382" t="n">
        <v>15</v>
      </c>
      <c r="BS382" t="inlineStr">
        <is>
          <t>25/09/2026 12:40</t>
        </is>
      </c>
      <c r="BT382" t="n">
        <v>0</v>
      </c>
      <c r="BX382" t="inlineStr">
        <is>
          <t>Cobranzas_2026.csv</t>
        </is>
      </c>
      <c r="BY382" t="n">
        <v>2026</v>
      </c>
      <c r="BZ382" t="inlineStr">
        <is>
          <t>01/01/2024</t>
        </is>
      </c>
      <c r="CA382" t="inlineStr">
        <is>
          <t>30/09/2031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1202</t>
        </is>
      </c>
      <c r="G383" s="39" t="n">
        <v>422000</v>
      </c>
      <c r="H383" s="39" t="n">
        <v>370000</v>
      </c>
      <c r="M383" s="39" t="n"/>
      <c r="N383" s="39" t="n"/>
      <c r="S383" s="39" t="n"/>
      <c r="T383" s="39" t="n"/>
      <c r="Y383" s="39" t="n"/>
      <c r="Z383" s="39" t="n"/>
      <c r="AA383" t="inlineStr">
        <is>
          <t>Diana Carolina Asmat Cuno</t>
        </is>
      </c>
      <c r="AB383" t="inlineStr">
        <is>
          <t>47198881</t>
        </is>
      </c>
      <c r="AC383" t="inlineStr">
        <is>
          <t>Jr. Las Cidras 684 Coop Las Flores</t>
        </is>
      </c>
      <c r="AD383" t="n">
        <v>0</v>
      </c>
      <c r="AE383" t="inlineStr">
        <is>
          <t>+61451852811</t>
        </is>
      </c>
      <c r="AF383" t="inlineStr">
        <is>
          <t>ianikro@outlook.com</t>
        </is>
      </c>
      <c r="AG383" t="inlineStr">
        <is>
          <t>LIMA</t>
        </is>
      </c>
      <c r="AH383" t="inlineStr">
        <is>
          <t>SAN JUAN DE LURIGANCHO</t>
        </is>
      </c>
      <c r="AI383" s="116" t="n">
        <v>46234</v>
      </c>
      <c r="AJ383" s="116" t="n">
        <v>46290</v>
      </c>
      <c r="AK383" t="inlineStr">
        <is>
          <t>SALDO FINANCIAR</t>
        </is>
      </c>
      <c r="AL383" t="n">
        <v>1</v>
      </c>
      <c r="AM383" t="n">
        <v>99500</v>
      </c>
      <c r="AN383" t="n">
        <v>0</v>
      </c>
      <c r="AO383" t="n">
        <v>0</v>
      </c>
      <c r="AP383" s="39" t="n">
        <v>0</v>
      </c>
      <c r="AQ383" s="39" t="n">
        <v>25000</v>
      </c>
      <c r="AR383" s="39" t="n">
        <v>0</v>
      </c>
      <c r="AS383" t="n">
        <v>0</v>
      </c>
      <c r="AT383" t="inlineStr">
        <is>
          <t>Crédito Directo</t>
        </is>
      </c>
      <c r="AU383" t="inlineStr">
        <is>
          <t>Banco de Credito del Perú</t>
        </is>
      </c>
      <c r="AV383" t="inlineStr">
        <is>
          <t>194-7325779-0-65</t>
        </is>
      </c>
      <c r="AW383" t="inlineStr">
        <is>
          <t>TRANSFERENCIA BANCARIA</t>
        </is>
      </c>
      <c r="AZ383" t="inlineStr">
        <is>
          <t>No</t>
        </is>
      </c>
      <c r="BB383" t="n">
        <v>4</v>
      </c>
      <c r="BC383" t="inlineStr">
        <is>
          <t>VENCIDO</t>
        </is>
      </c>
      <c r="BN383" t="inlineStr">
        <is>
          <t>Si</t>
        </is>
      </c>
      <c r="BO383" s="117" t="n">
        <v>46079.4375</v>
      </c>
      <c r="BP383" t="inlineStr">
        <is>
          <t>Magaly Guevara Perez</t>
        </is>
      </c>
      <c r="BR383" t="n">
        <v>15</v>
      </c>
      <c r="BS383" t="inlineStr">
        <is>
          <t>25/09/2026 12:41</t>
        </is>
      </c>
      <c r="BT383" t="n">
        <v>0</v>
      </c>
      <c r="BX383" t="inlineStr">
        <is>
          <t>Cobranzas_2026.csv</t>
        </is>
      </c>
      <c r="BY383" t="n">
        <v>2026</v>
      </c>
      <c r="BZ383" t="inlineStr">
        <is>
          <t>01/01/2024</t>
        </is>
      </c>
      <c r="CA383" t="inlineStr">
        <is>
          <t>30/09/2031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1202</t>
        </is>
      </c>
      <c r="G384" s="39" t="n">
        <v>422000</v>
      </c>
      <c r="H384" s="39" t="n">
        <v>370000</v>
      </c>
      <c r="M384" s="39" t="n"/>
      <c r="N384" s="39" t="n"/>
      <c r="S384" s="39" t="n"/>
      <c r="T384" s="39" t="n"/>
      <c r="Y384" s="39" t="n"/>
      <c r="Z384" s="39" t="n"/>
      <c r="AA384" t="inlineStr">
        <is>
          <t>Diana Carolina Asmat Cuno</t>
        </is>
      </c>
      <c r="AB384" t="inlineStr">
        <is>
          <t>47198881</t>
        </is>
      </c>
      <c r="AC384" t="inlineStr">
        <is>
          <t>Jr. Las Cidras 684 Coop Las Flores</t>
        </is>
      </c>
      <c r="AD384" t="n">
        <v>0</v>
      </c>
      <c r="AE384" t="inlineStr">
        <is>
          <t>+61451852811</t>
        </is>
      </c>
      <c r="AF384" t="inlineStr">
        <is>
          <t>ianikro@outlook.com</t>
        </is>
      </c>
      <c r="AG384" t="inlineStr">
        <is>
          <t>LIMA</t>
        </is>
      </c>
      <c r="AH384" t="inlineStr">
        <is>
          <t>SAN JUAN DE LURIGANCHO</t>
        </is>
      </c>
      <c r="AI384" s="116" t="n">
        <v>46234</v>
      </c>
      <c r="AJ384" s="116" t="n">
        <v>46293</v>
      </c>
      <c r="AK384" t="inlineStr">
        <is>
          <t>SALDO FINANCIAR</t>
        </is>
      </c>
      <c r="AL384" t="n">
        <v>1</v>
      </c>
      <c r="AM384" t="n">
        <v>0</v>
      </c>
      <c r="AN384" t="n">
        <v>0</v>
      </c>
      <c r="AO384" t="n">
        <v>0</v>
      </c>
      <c r="AP384" s="39" t="n">
        <v>0</v>
      </c>
      <c r="AQ384" s="39" t="n">
        <v>25000</v>
      </c>
      <c r="AR384" s="39" t="n">
        <v>0</v>
      </c>
      <c r="AS384" t="n">
        <v>0</v>
      </c>
      <c r="AT384" t="inlineStr">
        <is>
          <t>Crédito Directo</t>
        </is>
      </c>
      <c r="AU384" t="inlineStr">
        <is>
          <t>Banco de Credito del Perú</t>
        </is>
      </c>
      <c r="AV384" t="inlineStr">
        <is>
          <t>194-7325779-0-65</t>
        </is>
      </c>
      <c r="AW384" t="inlineStr">
        <is>
          <t>TRANSFERENCIA BANCARIA</t>
        </is>
      </c>
      <c r="AY384" t="inlineStr">
        <is>
          <t>07182524</t>
        </is>
      </c>
      <c r="AZ384" t="inlineStr">
        <is>
          <t>No</t>
        </is>
      </c>
      <c r="BB384" t="n">
        <v>4</v>
      </c>
      <c r="BC384" t="inlineStr">
        <is>
          <t>VENCIDO</t>
        </is>
      </c>
      <c r="BN384" t="inlineStr">
        <is>
          <t>Si</t>
        </is>
      </c>
      <c r="BO384" s="117" t="n">
        <v>46079.4375</v>
      </c>
      <c r="BP384" t="inlineStr">
        <is>
          <t>Magaly Guevara Perez</t>
        </is>
      </c>
      <c r="BR384" t="n">
        <v>15</v>
      </c>
      <c r="BS384" t="inlineStr">
        <is>
          <t>29/09/2026 16:02</t>
        </is>
      </c>
      <c r="BT384" t="n">
        <v>0</v>
      </c>
      <c r="BX384" t="inlineStr">
        <is>
          <t>Cobranzas_2026.csv</t>
        </is>
      </c>
      <c r="BY384" t="n">
        <v>2026</v>
      </c>
      <c r="BZ384" t="inlineStr">
        <is>
          <t>01/01/2024</t>
        </is>
      </c>
      <c r="CA384" t="inlineStr">
        <is>
          <t>30/09/2031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701</t>
        </is>
      </c>
      <c r="G385" s="39" t="n">
        <v>475000</v>
      </c>
      <c r="H385" s="39" t="n">
        <v>475000</v>
      </c>
      <c r="I385" t="inlineStr">
        <is>
          <t>Edificio</t>
        </is>
      </c>
      <c r="J385" t="inlineStr">
        <is>
          <t>A</t>
        </is>
      </c>
      <c r="K385" t="inlineStr">
        <is>
          <t>Estacionamiento</t>
        </is>
      </c>
      <c r="L385" t="inlineStr">
        <is>
          <t>E 17</t>
        </is>
      </c>
      <c r="M385" s="39" t="n">
        <v>46800</v>
      </c>
      <c r="N385" s="39" t="n">
        <v>46800</v>
      </c>
      <c r="S385" s="39" t="n"/>
      <c r="T385" s="39" t="n"/>
      <c r="Y385" s="39" t="n"/>
      <c r="Z385" s="39" t="n"/>
      <c r="AA385" t="inlineStr">
        <is>
          <t>Dolores Lissett Castillo Diaz</t>
        </is>
      </c>
      <c r="AB385" t="inlineStr">
        <is>
          <t>43780263</t>
        </is>
      </c>
      <c r="AC385" t="inlineStr">
        <is>
          <t xml:space="preserve"> Sargento Lores 950      </t>
        </is>
      </c>
      <c r="AD385" t="n">
        <v>0</v>
      </c>
      <c r="AE385" t="inlineStr">
        <is>
          <t>920487874</t>
        </is>
      </c>
      <c r="AF385" t="inlineStr">
        <is>
          <t>licady2486@gmail.com</t>
        </is>
      </c>
      <c r="AG385" t="inlineStr">
        <is>
          <t>MAYNAS</t>
        </is>
      </c>
      <c r="AH385" t="inlineStr">
        <is>
          <t>IQUITOS</t>
        </is>
      </c>
      <c r="AI385" s="116" t="n">
        <v>46197.0125</v>
      </c>
      <c r="AJ385" s="116" t="n">
        <v>46003</v>
      </c>
      <c r="AK385" t="inlineStr">
        <is>
          <t>CUOTA INICIAL</t>
        </is>
      </c>
      <c r="AL385" t="n">
        <v>1</v>
      </c>
      <c r="AM385" t="n">
        <v>0</v>
      </c>
      <c r="AN385" t="n">
        <v>0</v>
      </c>
      <c r="AO385" t="n">
        <v>0</v>
      </c>
      <c r="AP385" s="39" t="n">
        <v>101360</v>
      </c>
      <c r="AQ385" s="39" t="n">
        <v>86440</v>
      </c>
      <c r="AR385" s="39" t="n">
        <v>0</v>
      </c>
      <c r="AS385" t="n">
        <v>0</v>
      </c>
      <c r="AT385" t="inlineStr">
        <is>
          <t>Ahorro</t>
        </is>
      </c>
      <c r="AU385" t="inlineStr">
        <is>
          <t>Banco de Credito del Perú</t>
        </is>
      </c>
      <c r="AV385" t="inlineStr">
        <is>
          <t>194-7325779-0-65</t>
        </is>
      </c>
      <c r="AW385" t="inlineStr">
        <is>
          <t>TRANSFERENCIA BANCARIA</t>
        </is>
      </c>
      <c r="AY385" t="inlineStr">
        <is>
          <t>0152562</t>
        </is>
      </c>
      <c r="AZ385" t="inlineStr">
        <is>
          <t>No</t>
        </is>
      </c>
      <c r="BB385" t="n">
        <v>4</v>
      </c>
      <c r="BC385" t="inlineStr">
        <is>
          <t>CANCELADO</t>
        </is>
      </c>
      <c r="BN385" t="inlineStr">
        <is>
          <t>Si</t>
        </is>
      </c>
      <c r="BO385" s="117" t="n">
        <v>46003.40833333333</v>
      </c>
      <c r="BP385" t="inlineStr">
        <is>
          <t>Magaly Guevara Perez</t>
        </is>
      </c>
      <c r="BR385" t="n">
        <v>21</v>
      </c>
      <c r="BS385" t="inlineStr">
        <is>
          <t>24/05/2026 00:22</t>
        </is>
      </c>
      <c r="BT385" t="n">
        <v>0</v>
      </c>
      <c r="BX385" t="inlineStr">
        <is>
          <t>Cobranzas_2026.csv</t>
        </is>
      </c>
      <c r="BY385" t="n">
        <v>2026</v>
      </c>
      <c r="BZ385" t="inlineStr">
        <is>
          <t>01/01/2024</t>
        </is>
      </c>
      <c r="CA385" t="inlineStr">
        <is>
          <t>30/09/2031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701</t>
        </is>
      </c>
      <c r="G386" s="39" t="n">
        <v>475000</v>
      </c>
      <c r="H386" s="39" t="n">
        <v>475000</v>
      </c>
      <c r="I386" t="inlineStr">
        <is>
          <t>Edificio</t>
        </is>
      </c>
      <c r="J386" t="inlineStr">
        <is>
          <t>A</t>
        </is>
      </c>
      <c r="K386" t="inlineStr">
        <is>
          <t>Estacionamiento</t>
        </is>
      </c>
      <c r="L386" t="inlineStr">
        <is>
          <t>E 17</t>
        </is>
      </c>
      <c r="M386" s="39" t="n">
        <v>46800</v>
      </c>
      <c r="N386" s="39" t="n">
        <v>46800</v>
      </c>
      <c r="S386" s="39" t="n"/>
      <c r="T386" s="39" t="n"/>
      <c r="Y386" s="39" t="n"/>
      <c r="Z386" s="39" t="n"/>
      <c r="AA386" t="inlineStr">
        <is>
          <t>Dolores Lissett Castillo Diaz</t>
        </is>
      </c>
      <c r="AB386" t="inlineStr">
        <is>
          <t>43780263</t>
        </is>
      </c>
      <c r="AC386" t="inlineStr">
        <is>
          <t xml:space="preserve"> Sargento Lores 950      </t>
        </is>
      </c>
      <c r="AD386" t="n">
        <v>0</v>
      </c>
      <c r="AE386" t="inlineStr">
        <is>
          <t>920487874</t>
        </is>
      </c>
      <c r="AF386" t="inlineStr">
        <is>
          <t>licady2486@gmail.com</t>
        </is>
      </c>
      <c r="AG386" t="inlineStr">
        <is>
          <t>MAYNAS</t>
        </is>
      </c>
      <c r="AH386" t="inlineStr">
        <is>
          <t>IQUITOS</t>
        </is>
      </c>
      <c r="AI386" s="116" t="n">
        <v>46197.0125</v>
      </c>
      <c r="AJ386" s="116" t="n">
        <v>46252</v>
      </c>
      <c r="AK386" t="inlineStr">
        <is>
          <t>CUOTA INICIAL</t>
        </is>
      </c>
      <c r="AL386" t="n">
        <v>1</v>
      </c>
      <c r="AM386" t="n">
        <v>101360</v>
      </c>
      <c r="AN386" t="n">
        <v>0</v>
      </c>
      <c r="AO386" t="n">
        <v>0</v>
      </c>
      <c r="AP386" s="39" t="n">
        <v>0</v>
      </c>
      <c r="AQ386" s="39" t="n">
        <v>14920</v>
      </c>
      <c r="AR386" s="39" t="n">
        <v>0</v>
      </c>
      <c r="AS386" t="n">
        <v>0</v>
      </c>
      <c r="AT386" t="inlineStr">
        <is>
          <t>Ahorro</t>
        </is>
      </c>
      <c r="AU386" t="inlineStr">
        <is>
          <t>Banco de Credito del Perú</t>
        </is>
      </c>
      <c r="AV386" t="inlineStr">
        <is>
          <t>194-7325779-0-65</t>
        </is>
      </c>
      <c r="AW386" t="inlineStr">
        <is>
          <t>TRANSFERENCIA BANCARIA</t>
        </is>
      </c>
      <c r="AY386" t="inlineStr">
        <is>
          <t>21419525</t>
        </is>
      </c>
      <c r="AZ386" t="inlineStr">
        <is>
          <t>No</t>
        </is>
      </c>
      <c r="BB386" t="n">
        <v>4</v>
      </c>
      <c r="BC386" t="inlineStr">
        <is>
          <t>CANCELADO</t>
        </is>
      </c>
      <c r="BN386" t="inlineStr">
        <is>
          <t>Si</t>
        </is>
      </c>
      <c r="BO386" s="117" t="n">
        <v>46003.40833333333</v>
      </c>
      <c r="BP386" t="inlineStr">
        <is>
          <t>Magaly Guevara Perez</t>
        </is>
      </c>
      <c r="BR386" t="n">
        <v>21</v>
      </c>
      <c r="BS386" t="inlineStr">
        <is>
          <t>20/08/2026 09:40</t>
        </is>
      </c>
      <c r="BT386" t="n">
        <v>0</v>
      </c>
      <c r="BX386" t="inlineStr">
        <is>
          <t>Cobranzas_2026.csv</t>
        </is>
      </c>
      <c r="BY386" t="n">
        <v>2026</v>
      </c>
      <c r="BZ386" t="inlineStr">
        <is>
          <t>01/01/2024</t>
        </is>
      </c>
      <c r="CA386" t="inlineStr">
        <is>
          <t>30/09/2031</t>
        </is>
      </c>
    </row>
    <row r="387">
      <c r="A387" t="inlineStr">
        <is>
          <t>RESIDENCIAL BEYOND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Departamento</t>
        </is>
      </c>
      <c r="F387" t="inlineStr">
        <is>
          <t>701</t>
        </is>
      </c>
      <c r="G387" s="39" t="n">
        <v>475000</v>
      </c>
      <c r="H387" s="39" t="n">
        <v>475000</v>
      </c>
      <c r="I387" t="inlineStr">
        <is>
          <t>Edificio</t>
        </is>
      </c>
      <c r="J387" t="inlineStr">
        <is>
          <t>A</t>
        </is>
      </c>
      <c r="K387" t="inlineStr">
        <is>
          <t>Estacionamiento</t>
        </is>
      </c>
      <c r="L387" t="inlineStr">
        <is>
          <t>E 17</t>
        </is>
      </c>
      <c r="M387" s="39" t="n">
        <v>46800</v>
      </c>
      <c r="N387" s="39" t="n">
        <v>46800</v>
      </c>
      <c r="S387" s="39" t="n"/>
      <c r="T387" s="39" t="n"/>
      <c r="Y387" s="39" t="n"/>
      <c r="Z387" s="39" t="n"/>
      <c r="AA387" t="inlineStr">
        <is>
          <t>Dolores Lissett Castillo Diaz</t>
        </is>
      </c>
      <c r="AB387" t="inlineStr">
        <is>
          <t>43780263</t>
        </is>
      </c>
      <c r="AC387" t="inlineStr">
        <is>
          <t xml:space="preserve"> Sargento Lores 950      </t>
        </is>
      </c>
      <c r="AD387" t="n">
        <v>0</v>
      </c>
      <c r="AE387" t="inlineStr">
        <is>
          <t>920487874</t>
        </is>
      </c>
      <c r="AF387" t="inlineStr">
        <is>
          <t>licady2486@gmail.com</t>
        </is>
      </c>
      <c r="AG387" t="inlineStr">
        <is>
          <t>MAYNAS</t>
        </is>
      </c>
      <c r="AH387" t="inlineStr">
        <is>
          <t>IQUITOS</t>
        </is>
      </c>
      <c r="AI387" s="116" t="n">
        <v>46227.0125</v>
      </c>
      <c r="AJ387" s="116" t="n"/>
      <c r="AK387" t="inlineStr">
        <is>
          <t>SALDO FINANCIAR</t>
        </is>
      </c>
      <c r="AL387" t="n">
        <v>1</v>
      </c>
      <c r="AM387" t="n">
        <v>417440</v>
      </c>
      <c r="AN387" t="n">
        <v>0</v>
      </c>
      <c r="AO387" t="n">
        <v>0</v>
      </c>
      <c r="AP387" s="39" t="n">
        <v>417440</v>
      </c>
      <c r="AQ387" s="39" t="n">
        <v>0</v>
      </c>
      <c r="AR387" s="39" t="n">
        <v>417440</v>
      </c>
      <c r="AT387" t="inlineStr">
        <is>
          <t>Ahorro</t>
        </is>
      </c>
      <c r="AZ387" t="inlineStr">
        <is>
          <t>No</t>
        </is>
      </c>
      <c r="BC387" t="inlineStr">
        <is>
          <t>VENCIDO</t>
        </is>
      </c>
      <c r="BN387" t="inlineStr">
        <is>
          <t>No</t>
        </is>
      </c>
      <c r="BO387" s="117" t="n">
        <v>46003.40833333333</v>
      </c>
      <c r="BP387" t="inlineStr">
        <is>
          <t>Magaly Guevara Perez</t>
        </is>
      </c>
      <c r="BR387" t="n">
        <v>21</v>
      </c>
      <c r="BT387" t="n">
        <v>0</v>
      </c>
      <c r="BX387" t="inlineStr">
        <is>
          <t>Cobranzas_2026.csv</t>
        </is>
      </c>
      <c r="BY387" t="n">
        <v>2026</v>
      </c>
      <c r="BZ387" t="inlineStr">
        <is>
          <t>01/01/2024</t>
        </is>
      </c>
      <c r="CA387" t="inlineStr">
        <is>
          <t>30/09/2031</t>
        </is>
      </c>
    </row>
    <row r="388">
      <c r="A388" t="inlineStr">
        <is>
          <t>RESIDENCIAL VENECIA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Departamento</t>
        </is>
      </c>
      <c r="F388" t="inlineStr">
        <is>
          <t>101</t>
        </is>
      </c>
      <c r="G388" s="39" t="n">
        <v>483000</v>
      </c>
      <c r="H388" s="39" t="n">
        <v>420000</v>
      </c>
      <c r="M388" s="39" t="n"/>
      <c r="N388" s="39" t="n"/>
      <c r="S388" s="39" t="n"/>
      <c r="T388" s="39" t="n"/>
      <c r="Y388" s="39" t="n"/>
      <c r="Z388" s="39" t="n"/>
      <c r="AA388" t="inlineStr">
        <is>
          <t>DROPER TUCTA MALDONADO</t>
        </is>
      </c>
      <c r="AB388" t="inlineStr">
        <is>
          <t>40277633</t>
        </is>
      </c>
      <c r="AC388" t="inlineStr">
        <is>
          <t>PROLONGACION LOS PALTOS S/N</t>
        </is>
      </c>
      <c r="AD388" t="n">
        <v>0</v>
      </c>
      <c r="AE388" t="inlineStr">
        <is>
          <t>934614220</t>
        </is>
      </c>
      <c r="AF388" t="inlineStr">
        <is>
          <t>droper-123tucta@hotmail.com</t>
        </is>
      </c>
      <c r="AG388" t="inlineStr">
        <is>
          <t>CAÑETE</t>
        </is>
      </c>
      <c r="AH388" t="inlineStr">
        <is>
          <t>MALA</t>
        </is>
      </c>
      <c r="AI388" s="116" t="n">
        <v>46190</v>
      </c>
      <c r="AJ388" s="116" t="n">
        <v>46190</v>
      </c>
      <c r="AK388" t="inlineStr">
        <is>
          <t>SEPARACION</t>
        </is>
      </c>
      <c r="AL388" t="n">
        <v>1</v>
      </c>
      <c r="AM388" t="n">
        <v>3000</v>
      </c>
      <c r="AN388" t="n">
        <v>0</v>
      </c>
      <c r="AO388" t="n">
        <v>0</v>
      </c>
      <c r="AP388" s="39" t="n">
        <v>3000</v>
      </c>
      <c r="AQ388" s="39" t="n">
        <v>3000</v>
      </c>
      <c r="AR388" s="39" t="n">
        <v>0</v>
      </c>
      <c r="AS388" t="n">
        <v>0</v>
      </c>
      <c r="AT388" t="inlineStr">
        <is>
          <t>Crédito Directo</t>
        </is>
      </c>
      <c r="AU388" t="inlineStr">
        <is>
          <t>Scotiabank Perú</t>
        </is>
      </c>
      <c r="AV388" t="inlineStr">
        <is>
          <t>0004071419</t>
        </is>
      </c>
      <c r="AW388" t="inlineStr">
        <is>
          <t>TRANSFERENCIA BANCARIA</t>
        </is>
      </c>
      <c r="AY388" t="inlineStr">
        <is>
          <t>01012461</t>
        </is>
      </c>
      <c r="AZ388" t="inlineStr">
        <is>
          <t>No</t>
        </is>
      </c>
      <c r="BB388" t="n">
        <v>4</v>
      </c>
      <c r="BC388" t="inlineStr">
        <is>
          <t>CANCELADO</t>
        </is>
      </c>
      <c r="BN388" t="inlineStr">
        <is>
          <t>Si</t>
        </is>
      </c>
      <c r="BO388" s="117" t="n">
        <v>46190.45694444444</v>
      </c>
      <c r="BP388" t="inlineStr">
        <is>
          <t>Magaly Guevara Perez</t>
        </is>
      </c>
      <c r="BR388" t="n">
        <v>21</v>
      </c>
      <c r="BS388" t="inlineStr">
        <is>
          <t>17/06/2026 10:58</t>
        </is>
      </c>
      <c r="BT388" t="n">
        <v>0</v>
      </c>
      <c r="BX388" t="inlineStr">
        <is>
          <t>Cobranzas_2026.csv</t>
        </is>
      </c>
      <c r="BY388" t="n">
        <v>2026</v>
      </c>
      <c r="BZ388" t="inlineStr">
        <is>
          <t>01/01/2024</t>
        </is>
      </c>
      <c r="CA388" t="inlineStr">
        <is>
          <t>30/09/2031</t>
        </is>
      </c>
    </row>
    <row r="389">
      <c r="A389" t="inlineStr">
        <is>
          <t>RESIDENCIAL VENECIA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Departamento</t>
        </is>
      </c>
      <c r="F389" t="inlineStr">
        <is>
          <t>101</t>
        </is>
      </c>
      <c r="G389" s="39" t="n">
        <v>483000</v>
      </c>
      <c r="H389" s="39" t="n">
        <v>420000</v>
      </c>
      <c r="M389" s="39" t="n"/>
      <c r="N389" s="39" t="n"/>
      <c r="S389" s="39" t="n"/>
      <c r="T389" s="39" t="n"/>
      <c r="Y389" s="39" t="n"/>
      <c r="Z389" s="39" t="n"/>
      <c r="AA389" t="inlineStr">
        <is>
          <t>DROPER TUCTA MALDONADO</t>
        </is>
      </c>
      <c r="AB389" t="inlineStr">
        <is>
          <t>40277633</t>
        </is>
      </c>
      <c r="AC389" t="inlineStr">
        <is>
          <t>PROLONGACION LOS PALTOS S/N</t>
        </is>
      </c>
      <c r="AD389" t="n">
        <v>0</v>
      </c>
      <c r="AE389" t="inlineStr">
        <is>
          <t>934614220</t>
        </is>
      </c>
      <c r="AF389" t="inlineStr">
        <is>
          <t>droper-123tucta@hotmail.com</t>
        </is>
      </c>
      <c r="AG389" t="inlineStr">
        <is>
          <t>CAÑETE</t>
        </is>
      </c>
      <c r="AH389" t="inlineStr">
        <is>
          <t>MALA</t>
        </is>
      </c>
      <c r="AI389" s="116" t="n">
        <v>46218</v>
      </c>
      <c r="AJ389" s="116" t="n">
        <v>46218</v>
      </c>
      <c r="AK389" t="inlineStr">
        <is>
          <t>CUOTA INICIAL</t>
        </is>
      </c>
      <c r="AL389" t="n">
        <v>1</v>
      </c>
      <c r="AM389" t="n">
        <v>137000</v>
      </c>
      <c r="AN389" t="n">
        <v>0</v>
      </c>
      <c r="AO389" t="n">
        <v>0</v>
      </c>
      <c r="AP389" s="39" t="n">
        <v>137000</v>
      </c>
      <c r="AQ389" s="39" t="n">
        <v>137000</v>
      </c>
      <c r="AR389" s="39" t="n">
        <v>0</v>
      </c>
      <c r="AS389" t="n">
        <v>0</v>
      </c>
      <c r="AT389" t="inlineStr">
        <is>
          <t>Crédito Directo</t>
        </is>
      </c>
      <c r="AU389" t="inlineStr">
        <is>
          <t>Scotiabank Perú</t>
        </is>
      </c>
      <c r="AV389" t="inlineStr">
        <is>
          <t>0004071419</t>
        </is>
      </c>
      <c r="AW389" t="inlineStr">
        <is>
          <t>TRANSFERENCIA BANCARIA</t>
        </is>
      </c>
      <c r="AY389" t="inlineStr">
        <is>
          <t>0102469</t>
        </is>
      </c>
      <c r="AZ389" t="inlineStr">
        <is>
          <t>No</t>
        </is>
      </c>
      <c r="BB389" t="n">
        <v>4</v>
      </c>
      <c r="BC389" t="inlineStr">
        <is>
          <t>CANCELADO</t>
        </is>
      </c>
      <c r="BN389" t="inlineStr">
        <is>
          <t>Si</t>
        </is>
      </c>
      <c r="BO389" s="117" t="n">
        <v>46190.45694444444</v>
      </c>
      <c r="BP389" t="inlineStr">
        <is>
          <t>Magaly Guevara Perez</t>
        </is>
      </c>
      <c r="BR389" t="n">
        <v>21</v>
      </c>
      <c r="BS389" t="inlineStr">
        <is>
          <t>27/07/2026 12:12</t>
        </is>
      </c>
      <c r="BT389" t="n">
        <v>0</v>
      </c>
      <c r="BX389" t="inlineStr">
        <is>
          <t>Cobranzas_2026.csv</t>
        </is>
      </c>
      <c r="BY389" t="n">
        <v>2026</v>
      </c>
      <c r="BZ389" t="inlineStr">
        <is>
          <t>01/01/2024</t>
        </is>
      </c>
      <c r="CA389" t="inlineStr">
        <is>
          <t>30/09/2031</t>
        </is>
      </c>
    </row>
    <row r="390">
      <c r="A390" t="inlineStr">
        <is>
          <t>RESIDENCIAL BEYOND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Departamento</t>
        </is>
      </c>
      <c r="F390" t="inlineStr">
        <is>
          <t>305</t>
        </is>
      </c>
      <c r="G390" s="39" t="n">
        <v>532100</v>
      </c>
      <c r="H390" s="39" t="n">
        <v>495000</v>
      </c>
      <c r="M390" s="39" t="n"/>
      <c r="N390" s="39" t="n"/>
      <c r="S390" s="39" t="n"/>
      <c r="T390" s="39" t="n"/>
      <c r="Y390" s="39" t="n"/>
      <c r="Z390" s="39" t="n"/>
      <c r="AA390" t="inlineStr">
        <is>
          <t>Dylan Alejandro De La Cruz Necochea</t>
        </is>
      </c>
      <c r="AB390" t="inlineStr">
        <is>
          <t>71128732</t>
        </is>
      </c>
      <c r="AC390" t="inlineStr">
        <is>
          <t>Av. Venezuela 1036 Dpto. 301</t>
        </is>
      </c>
      <c r="AD390" t="n">
        <v>0</v>
      </c>
      <c r="AE390" t="inlineStr">
        <is>
          <t>+19145079719</t>
        </is>
      </c>
      <c r="AF390" t="inlineStr">
        <is>
          <t>dylannecochea.2003@gmail.com</t>
        </is>
      </c>
      <c r="AG390" t="inlineStr">
        <is>
          <t>LIMA</t>
        </is>
      </c>
      <c r="AH390" t="inlineStr">
        <is>
          <t>BREÑA</t>
        </is>
      </c>
      <c r="AI390" s="116" t="n">
        <v>46135</v>
      </c>
      <c r="AJ390" s="116" t="n">
        <v>46135</v>
      </c>
      <c r="AK390" t="inlineStr">
        <is>
          <t>SEPARACION</t>
        </is>
      </c>
      <c r="AL390" t="n">
        <v>1</v>
      </c>
      <c r="AM390" t="n">
        <v>3000</v>
      </c>
      <c r="AN390" t="n">
        <v>0</v>
      </c>
      <c r="AO390" t="n">
        <v>0</v>
      </c>
      <c r="AP390" s="39" t="n">
        <v>3000</v>
      </c>
      <c r="AQ390" s="39" t="n">
        <v>3000</v>
      </c>
      <c r="AR390" s="39" t="n">
        <v>0</v>
      </c>
      <c r="AS390" t="n">
        <v>0</v>
      </c>
      <c r="AT390" t="inlineStr">
        <is>
          <t>Ahorro</t>
        </is>
      </c>
      <c r="AU390" t="inlineStr">
        <is>
          <t>Banco de Credito del Perú</t>
        </is>
      </c>
      <c r="AV390" t="inlineStr">
        <is>
          <t>194-7325779-0-65</t>
        </is>
      </c>
      <c r="AW390" t="inlineStr">
        <is>
          <t>TRANSFERENCIA BANCARIA</t>
        </is>
      </c>
      <c r="AY390" t="inlineStr">
        <is>
          <t>4157602</t>
        </is>
      </c>
      <c r="AZ390" t="inlineStr">
        <is>
          <t>No</t>
        </is>
      </c>
      <c r="BB390" t="n">
        <v>4</v>
      </c>
      <c r="BC390" t="inlineStr">
        <is>
          <t>CANCELADO</t>
        </is>
      </c>
      <c r="BN390" t="inlineStr">
        <is>
          <t>Si</t>
        </is>
      </c>
      <c r="BO390" s="117" t="n">
        <v>46172.36041666667</v>
      </c>
      <c r="BP390" t="inlineStr">
        <is>
          <t>Magaly Guevara Perez</t>
        </is>
      </c>
      <c r="BR390" t="n">
        <v>44</v>
      </c>
      <c r="BS390" t="inlineStr">
        <is>
          <t>01/09/2026 11:04</t>
        </is>
      </c>
      <c r="BT390" t="n">
        <v>0</v>
      </c>
      <c r="BX390" t="inlineStr">
        <is>
          <t>Cobranzas_2026.csv</t>
        </is>
      </c>
      <c r="BY390" t="n">
        <v>2026</v>
      </c>
      <c r="BZ390" t="inlineStr">
        <is>
          <t>01/01/2024</t>
        </is>
      </c>
      <c r="CA390" t="inlineStr">
        <is>
          <t>30/09/2031</t>
        </is>
      </c>
    </row>
    <row r="391">
      <c r="A391" t="inlineStr">
        <is>
          <t>RESIDENCIAL BEYOND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Departamento</t>
        </is>
      </c>
      <c r="F391" t="inlineStr">
        <is>
          <t>305</t>
        </is>
      </c>
      <c r="G391" s="39" t="n">
        <v>532100</v>
      </c>
      <c r="H391" s="39" t="n">
        <v>495000</v>
      </c>
      <c r="M391" s="39" t="n"/>
      <c r="N391" s="39" t="n"/>
      <c r="S391" s="39" t="n"/>
      <c r="T391" s="39" t="n"/>
      <c r="Y391" s="39" t="n"/>
      <c r="Z391" s="39" t="n"/>
      <c r="AA391" t="inlineStr">
        <is>
          <t>Dylan Alejandro De La Cruz Necochea</t>
        </is>
      </c>
      <c r="AB391" t="inlineStr">
        <is>
          <t>71128732</t>
        </is>
      </c>
      <c r="AC391" t="inlineStr">
        <is>
          <t>Av. Venezuela 1036 Dpto. 301</t>
        </is>
      </c>
      <c r="AD391" t="n">
        <v>0</v>
      </c>
      <c r="AE391" t="inlineStr">
        <is>
          <t>+19145079719</t>
        </is>
      </c>
      <c r="AF391" t="inlineStr">
        <is>
          <t>dylannecochea.2003@gmail.com</t>
        </is>
      </c>
      <c r="AG391" t="inlineStr">
        <is>
          <t>LIMA</t>
        </is>
      </c>
      <c r="AH391" t="inlineStr">
        <is>
          <t>BREÑA</t>
        </is>
      </c>
      <c r="AI391" s="116" t="n">
        <v>46172</v>
      </c>
      <c r="AJ391" s="116" t="n">
        <v>46172</v>
      </c>
      <c r="AK391" t="inlineStr">
        <is>
          <t>CUOTA INICIAL</t>
        </is>
      </c>
      <c r="AL391" t="n">
        <v>1</v>
      </c>
      <c r="AM391" t="n">
        <v>45880</v>
      </c>
      <c r="AN391" t="n">
        <v>0</v>
      </c>
      <c r="AO391" t="n">
        <v>0</v>
      </c>
      <c r="AP391" s="39" t="n">
        <v>45880</v>
      </c>
      <c r="AQ391" s="39" t="n">
        <v>45880</v>
      </c>
      <c r="AR391" s="39" t="n">
        <v>0</v>
      </c>
      <c r="AS391" t="n">
        <v>0</v>
      </c>
      <c r="AT391" t="inlineStr">
        <is>
          <t>Ahorro</t>
        </is>
      </c>
      <c r="AU391" t="inlineStr">
        <is>
          <t>Banco de Credito del Perú</t>
        </is>
      </c>
      <c r="AV391" t="inlineStr">
        <is>
          <t>194-7325779-0-65</t>
        </is>
      </c>
      <c r="AW391" t="inlineStr">
        <is>
          <t>TRANSFERENCIA BANCARIA</t>
        </is>
      </c>
      <c r="AY391" t="inlineStr">
        <is>
          <t>534345</t>
        </is>
      </c>
      <c r="AZ391" t="inlineStr">
        <is>
          <t>No</t>
        </is>
      </c>
      <c r="BB391" t="n">
        <v>4</v>
      </c>
      <c r="BC391" t="inlineStr">
        <is>
          <t>CANCELADO</t>
        </is>
      </c>
      <c r="BN391" t="inlineStr">
        <is>
          <t>Si</t>
        </is>
      </c>
      <c r="BO391" s="117" t="n">
        <v>46172.36041666667</v>
      </c>
      <c r="BP391" t="inlineStr">
        <is>
          <t>Magaly Guevara Perez</t>
        </is>
      </c>
      <c r="BR391" t="n">
        <v>44</v>
      </c>
      <c r="BS391" t="inlineStr">
        <is>
          <t>01/09/2026 11:05</t>
        </is>
      </c>
      <c r="BT391" t="n">
        <v>0</v>
      </c>
      <c r="BX391" t="inlineStr">
        <is>
          <t>Cobranzas_2026.csv</t>
        </is>
      </c>
      <c r="BY391" t="n">
        <v>2026</v>
      </c>
      <c r="BZ391" t="inlineStr">
        <is>
          <t>01/01/2024</t>
        </is>
      </c>
      <c r="CA391" t="inlineStr">
        <is>
          <t>30/09/2031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305</t>
        </is>
      </c>
      <c r="G392" s="39" t="n">
        <v>532100</v>
      </c>
      <c r="H392" s="39" t="n">
        <v>495000</v>
      </c>
      <c r="M392" s="39" t="n"/>
      <c r="N392" s="39" t="n"/>
      <c r="S392" s="39" t="n"/>
      <c r="T392" s="39" t="n"/>
      <c r="Y392" s="39" t="n"/>
      <c r="Z392" s="39" t="n"/>
      <c r="AA392" t="inlineStr">
        <is>
          <t>Dylan Alejandro De La Cruz Necochea</t>
        </is>
      </c>
      <c r="AB392" t="inlineStr">
        <is>
          <t>71128732</t>
        </is>
      </c>
      <c r="AC392" t="inlineStr">
        <is>
          <t>Av. Venezuela 1036 Dpto. 301</t>
        </is>
      </c>
      <c r="AD392" t="n">
        <v>0</v>
      </c>
      <c r="AE392" t="inlineStr">
        <is>
          <t>+19145079719</t>
        </is>
      </c>
      <c r="AF392" t="inlineStr">
        <is>
          <t>dylannecochea.2003@gmail.com</t>
        </is>
      </c>
      <c r="AG392" t="inlineStr">
        <is>
          <t>LIMA</t>
        </is>
      </c>
      <c r="AH392" t="inlineStr">
        <is>
          <t>BREÑA</t>
        </is>
      </c>
      <c r="AI392" s="116" t="n">
        <v>46325</v>
      </c>
      <c r="AJ392" s="116" t="n"/>
      <c r="AK392" t="inlineStr">
        <is>
          <t>CUOTA INICIAL</t>
        </is>
      </c>
      <c r="AL392" t="n">
        <v>2</v>
      </c>
      <c r="AM392" t="n">
        <v>48880</v>
      </c>
      <c r="AN392" t="n">
        <v>0</v>
      </c>
      <c r="AO392" t="n">
        <v>0</v>
      </c>
      <c r="AP392" s="39" t="n">
        <v>48880</v>
      </c>
      <c r="AQ392" s="39" t="n">
        <v>0</v>
      </c>
      <c r="AR392" s="39" t="n">
        <v>48880</v>
      </c>
      <c r="AT392" t="inlineStr">
        <is>
          <t>Ahorro</t>
        </is>
      </c>
      <c r="AZ392" t="inlineStr">
        <is>
          <t>No</t>
        </is>
      </c>
      <c r="BC392" t="inlineStr">
        <is>
          <t>PENDIENTE</t>
        </is>
      </c>
      <c r="BN392" t="inlineStr">
        <is>
          <t>No</t>
        </is>
      </c>
      <c r="BO392" s="117" t="n">
        <v>46172.36041666667</v>
      </c>
      <c r="BP392" t="inlineStr">
        <is>
          <t>Magaly Guevara Perez</t>
        </is>
      </c>
      <c r="BR392" t="n">
        <v>44</v>
      </c>
      <c r="BT392" t="n">
        <v>0</v>
      </c>
      <c r="BX392" t="inlineStr">
        <is>
          <t>Cobranzas_2026.csv</t>
        </is>
      </c>
      <c r="BY392" t="n">
        <v>2026</v>
      </c>
      <c r="BZ392" t="inlineStr">
        <is>
          <t>01/01/2024</t>
        </is>
      </c>
      <c r="CA392" t="inlineStr">
        <is>
          <t>30/09/2031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305</t>
        </is>
      </c>
      <c r="G393" s="39" t="n">
        <v>532100</v>
      </c>
      <c r="H393" s="39" t="n">
        <v>495000</v>
      </c>
      <c r="M393" s="39" t="n"/>
      <c r="N393" s="39" t="n"/>
      <c r="S393" s="39" t="n"/>
      <c r="T393" s="39" t="n"/>
      <c r="Y393" s="39" t="n"/>
      <c r="Z393" s="39" t="n"/>
      <c r="AA393" t="inlineStr">
        <is>
          <t>Dylan Alejandro De La Cruz Necochea</t>
        </is>
      </c>
      <c r="AB393" t="inlineStr">
        <is>
          <t>71128732</t>
        </is>
      </c>
      <c r="AC393" t="inlineStr">
        <is>
          <t>Av. Venezuela 1036 Dpto. 301</t>
        </is>
      </c>
      <c r="AD393" t="n">
        <v>0</v>
      </c>
      <c r="AE393" t="inlineStr">
        <is>
          <t>+19145079719</t>
        </is>
      </c>
      <c r="AF393" t="inlineStr">
        <is>
          <t>dylannecochea.2003@gmail.com</t>
        </is>
      </c>
      <c r="AG393" t="inlineStr">
        <is>
          <t>LIMA</t>
        </is>
      </c>
      <c r="AH393" t="inlineStr">
        <is>
          <t>BREÑA</t>
        </is>
      </c>
      <c r="AI393" s="116" t="n">
        <v>46326</v>
      </c>
      <c r="AJ393" s="116" t="n"/>
      <c r="AK393" t="inlineStr">
        <is>
          <t>SALDO FINANCIAR</t>
        </is>
      </c>
      <c r="AL393" t="n">
        <v>1</v>
      </c>
      <c r="AM393" t="n">
        <v>6200</v>
      </c>
      <c r="AN393" t="n">
        <v>0</v>
      </c>
      <c r="AO393" t="n">
        <v>0</v>
      </c>
      <c r="AP393" s="39" t="n">
        <v>6200</v>
      </c>
      <c r="AQ393" s="39" t="n">
        <v>0</v>
      </c>
      <c r="AR393" s="39" t="n">
        <v>6200</v>
      </c>
      <c r="AT393" t="inlineStr">
        <is>
          <t>Ahorro</t>
        </is>
      </c>
      <c r="AZ393" t="inlineStr">
        <is>
          <t>No</t>
        </is>
      </c>
      <c r="BC393" t="inlineStr">
        <is>
          <t>PENDIENTE</t>
        </is>
      </c>
      <c r="BN393" t="inlineStr">
        <is>
          <t>No</t>
        </is>
      </c>
      <c r="BO393" s="117" t="n">
        <v>46172.36041666667</v>
      </c>
      <c r="BP393" t="inlineStr">
        <is>
          <t>Magaly Guevara Perez</t>
        </is>
      </c>
      <c r="BR393" t="n">
        <v>44</v>
      </c>
      <c r="BT393" t="n">
        <v>0</v>
      </c>
      <c r="BX393" t="inlineStr">
        <is>
          <t>Cobranzas_2026.csv</t>
        </is>
      </c>
      <c r="BY393" t="n">
        <v>2026</v>
      </c>
      <c r="BZ393" t="inlineStr">
        <is>
          <t>01/01/2024</t>
        </is>
      </c>
      <c r="CA393" t="inlineStr">
        <is>
          <t>30/09/2031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305</t>
        </is>
      </c>
      <c r="G394" s="39" t="n">
        <v>532100</v>
      </c>
      <c r="H394" s="39" t="n">
        <v>495000</v>
      </c>
      <c r="M394" s="39" t="n"/>
      <c r="N394" s="39" t="n"/>
      <c r="S394" s="39" t="n"/>
      <c r="T394" s="39" t="n"/>
      <c r="Y394" s="39" t="n"/>
      <c r="Z394" s="39" t="n"/>
      <c r="AA394" t="inlineStr">
        <is>
          <t>Dylan Alejandro De La Cruz Necochea</t>
        </is>
      </c>
      <c r="AB394" t="inlineStr">
        <is>
          <t>71128732</t>
        </is>
      </c>
      <c r="AC394" t="inlineStr">
        <is>
          <t>Av. Venezuela 1036 Dpto. 301</t>
        </is>
      </c>
      <c r="AD394" t="n">
        <v>0</v>
      </c>
      <c r="AE394" t="inlineStr">
        <is>
          <t>+19145079719</t>
        </is>
      </c>
      <c r="AF394" t="inlineStr">
        <is>
          <t>dylannecochea.2003@gmail.com</t>
        </is>
      </c>
      <c r="AG394" t="inlineStr">
        <is>
          <t>LIMA</t>
        </is>
      </c>
      <c r="AH394" t="inlineStr">
        <is>
          <t>BREÑA</t>
        </is>
      </c>
      <c r="AI394" s="116" t="n">
        <v>46387</v>
      </c>
      <c r="AJ394" s="116" t="n"/>
      <c r="AK394" t="inlineStr">
        <is>
          <t>SALDO FINANCIAR</t>
        </is>
      </c>
      <c r="AL394" t="n">
        <v>2</v>
      </c>
      <c r="AM394" t="n">
        <v>391040</v>
      </c>
      <c r="AN394" t="n">
        <v>0</v>
      </c>
      <c r="AO394" t="n">
        <v>0</v>
      </c>
      <c r="AP394" s="39" t="n">
        <v>391040</v>
      </c>
      <c r="AQ394" s="39" t="n">
        <v>0</v>
      </c>
      <c r="AR394" s="39" t="n">
        <v>391040</v>
      </c>
      <c r="AT394" t="inlineStr">
        <is>
          <t>Ahorro</t>
        </is>
      </c>
      <c r="AZ394" t="inlineStr">
        <is>
          <t>No</t>
        </is>
      </c>
      <c r="BC394" t="inlineStr">
        <is>
          <t>PENDIENTE</t>
        </is>
      </c>
      <c r="BN394" t="inlineStr">
        <is>
          <t>No</t>
        </is>
      </c>
      <c r="BO394" s="117" t="n">
        <v>46172.36041666667</v>
      </c>
      <c r="BP394" t="inlineStr">
        <is>
          <t>Magaly Guevara Perez</t>
        </is>
      </c>
      <c r="BR394" t="n">
        <v>44</v>
      </c>
      <c r="BT394" t="n">
        <v>0</v>
      </c>
      <c r="BX394" t="inlineStr">
        <is>
          <t>Cobranzas_2026.csv</t>
        </is>
      </c>
      <c r="BY394" t="n">
        <v>2026</v>
      </c>
      <c r="BZ394" t="inlineStr">
        <is>
          <t>01/01/2024</t>
        </is>
      </c>
      <c r="CA394" t="inlineStr">
        <is>
          <t>30/09/2031</t>
        </is>
      </c>
    </row>
    <row r="395">
      <c r="A395" t="inlineStr">
        <is>
          <t>RESIDENCIAL PRADA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Estacionamiento</t>
        </is>
      </c>
      <c r="F395" t="inlineStr">
        <is>
          <t>E 10 - D 07</t>
        </is>
      </c>
      <c r="G395" s="39" t="n">
        <v>66300</v>
      </c>
      <c r="H395" s="39" t="n">
        <v>66300</v>
      </c>
      <c r="M395" s="39" t="n"/>
      <c r="N395" s="39" t="n"/>
      <c r="S395" s="39" t="n"/>
      <c r="T395" s="39" t="n"/>
      <c r="Y395" s="39" t="n"/>
      <c r="Z395" s="39" t="n"/>
      <c r="AA395" t="inlineStr">
        <is>
          <t>Edwin Modigliani Efrai Suclla Flores</t>
        </is>
      </c>
      <c r="AB395" t="inlineStr">
        <is>
          <t>08062531</t>
        </is>
      </c>
      <c r="AC395" t="inlineStr">
        <is>
          <t xml:space="preserve">Jr. Monitor Huascar Norte N° 551 Urb. Ventura Rossi  </t>
        </is>
      </c>
      <c r="AD395" t="n">
        <v>997463109</v>
      </c>
      <c r="AE395" t="inlineStr">
        <is>
          <t>997463109</t>
        </is>
      </c>
      <c r="AF395" t="inlineStr">
        <is>
          <t>efrainchbxpar@gmail.com</t>
        </is>
      </c>
      <c r="AG395" t="inlineStr">
        <is>
          <t>LIMA</t>
        </is>
      </c>
      <c r="AH395" t="inlineStr">
        <is>
          <t>RIMAC</t>
        </is>
      </c>
      <c r="AI395" s="116" t="n">
        <v>46051</v>
      </c>
      <c r="AJ395" s="116" t="n">
        <v>46048</v>
      </c>
      <c r="AK395" t="inlineStr">
        <is>
          <t>SALDO FINANCIAR</t>
        </is>
      </c>
      <c r="AL395" t="n">
        <v>7</v>
      </c>
      <c r="AM395" t="n">
        <v>7037.5</v>
      </c>
      <c r="AN395" t="n">
        <v>0</v>
      </c>
      <c r="AO395" t="n">
        <v>0</v>
      </c>
      <c r="AP395" s="39" t="n">
        <v>7037.5</v>
      </c>
      <c r="AQ395" s="39" t="n">
        <v>7037.5</v>
      </c>
      <c r="AR395" s="39" t="n">
        <v>0</v>
      </c>
      <c r="AS395" t="n">
        <v>0</v>
      </c>
      <c r="AT395" t="inlineStr">
        <is>
          <t>Crédito Directo</t>
        </is>
      </c>
      <c r="AU395" t="inlineStr">
        <is>
          <t>Scotiabank Perú</t>
        </is>
      </c>
      <c r="AV395" t="inlineStr">
        <is>
          <t>000-2768484</t>
        </is>
      </c>
      <c r="AW395" t="inlineStr">
        <is>
          <t>TRANSFERENCIA BANCARIA</t>
        </is>
      </c>
      <c r="AY395" t="inlineStr">
        <is>
          <t>7844655587482</t>
        </is>
      </c>
      <c r="AZ395" t="inlineStr">
        <is>
          <t>No</t>
        </is>
      </c>
      <c r="BB395" t="n">
        <v>4</v>
      </c>
      <c r="BC395" t="inlineStr">
        <is>
          <t>CANCELADO</t>
        </is>
      </c>
      <c r="BN395" t="inlineStr">
        <is>
          <t>Si</t>
        </is>
      </c>
      <c r="BO395" s="117" t="n">
        <v>45862.56597222222</v>
      </c>
      <c r="BP395" t="inlineStr">
        <is>
          <t>Magaly Guevara Perez</t>
        </is>
      </c>
      <c r="BR395" t="n">
        <v>55</v>
      </c>
      <c r="BS395" t="inlineStr">
        <is>
          <t>26/06/2026 17:06</t>
        </is>
      </c>
      <c r="BT395" t="n">
        <v>0</v>
      </c>
      <c r="BX395" t="inlineStr">
        <is>
          <t>Cobranzas_2026.csv</t>
        </is>
      </c>
      <c r="BY395" t="n">
        <v>2026</v>
      </c>
      <c r="BZ395" t="inlineStr">
        <is>
          <t>01/01/2024</t>
        </is>
      </c>
      <c r="CA395" t="inlineStr">
        <is>
          <t>30/09/2031</t>
        </is>
      </c>
    </row>
    <row r="396">
      <c r="A396" t="inlineStr">
        <is>
          <t>RESIDENCIAL PRADA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Estacionamiento</t>
        </is>
      </c>
      <c r="F396" t="inlineStr">
        <is>
          <t>E 10 - D 07</t>
        </is>
      </c>
      <c r="G396" s="39" t="n">
        <v>66300</v>
      </c>
      <c r="H396" s="39" t="n">
        <v>66300</v>
      </c>
      <c r="M396" s="39" t="n"/>
      <c r="N396" s="39" t="n"/>
      <c r="S396" s="39" t="n"/>
      <c r="T396" s="39" t="n"/>
      <c r="Y396" s="39" t="n"/>
      <c r="Z396" s="39" t="n"/>
      <c r="AA396" t="inlineStr">
        <is>
          <t>Edwin Modigliani Efrai Suclla Flores</t>
        </is>
      </c>
      <c r="AB396" t="inlineStr">
        <is>
          <t>08062531</t>
        </is>
      </c>
      <c r="AC396" t="inlineStr">
        <is>
          <t xml:space="preserve">Jr. Monitor Huascar Norte N° 551 Urb. Ventura Rossi  </t>
        </is>
      </c>
      <c r="AD396" t="n">
        <v>997463109</v>
      </c>
      <c r="AE396" t="inlineStr">
        <is>
          <t>997463109</t>
        </is>
      </c>
      <c r="AF396" t="inlineStr">
        <is>
          <t>efrainchbxpar@gmail.com</t>
        </is>
      </c>
      <c r="AG396" t="inlineStr">
        <is>
          <t>LIMA</t>
        </is>
      </c>
      <c r="AH396" t="inlineStr">
        <is>
          <t>RIMAC</t>
        </is>
      </c>
      <c r="AI396" s="116" t="n">
        <v>46081</v>
      </c>
      <c r="AJ396" s="116" t="n">
        <v>46078</v>
      </c>
      <c r="AK396" t="inlineStr">
        <is>
          <t>SALDO FINANCIAR</t>
        </is>
      </c>
      <c r="AL396" t="n">
        <v>8</v>
      </c>
      <c r="AM396" t="n">
        <v>7037.5</v>
      </c>
      <c r="AN396" t="n">
        <v>0</v>
      </c>
      <c r="AO396" t="n">
        <v>0</v>
      </c>
      <c r="AP396" s="39" t="n">
        <v>7037.5</v>
      </c>
      <c r="AQ396" s="39" t="n">
        <v>7037.5</v>
      </c>
      <c r="AR396" s="39" t="n">
        <v>0</v>
      </c>
      <c r="AS396" t="n">
        <v>0</v>
      </c>
      <c r="AT396" t="inlineStr">
        <is>
          <t>Crédito Directo</t>
        </is>
      </c>
      <c r="AU396" t="inlineStr">
        <is>
          <t>Scotiabank Perú</t>
        </is>
      </c>
      <c r="AV396" t="inlineStr">
        <is>
          <t>000-2768484</t>
        </is>
      </c>
      <c r="AW396" t="inlineStr">
        <is>
          <t>TRANSFERENCIA BANCARIA</t>
        </is>
      </c>
      <c r="AY396" t="inlineStr">
        <is>
          <t>7844655511642</t>
        </is>
      </c>
      <c r="AZ396" t="inlineStr">
        <is>
          <t>No</t>
        </is>
      </c>
      <c r="BB396" t="n">
        <v>4</v>
      </c>
      <c r="BC396" t="inlineStr">
        <is>
          <t>CANCELADO</t>
        </is>
      </c>
      <c r="BN396" t="inlineStr">
        <is>
          <t>Si</t>
        </is>
      </c>
      <c r="BO396" s="117" t="n">
        <v>45862.56597222222</v>
      </c>
      <c r="BP396" t="inlineStr">
        <is>
          <t>Magaly Guevara Perez</t>
        </is>
      </c>
      <c r="BR396" t="n">
        <v>55</v>
      </c>
      <c r="BS396" t="inlineStr">
        <is>
          <t>26/06/2026 17:07</t>
        </is>
      </c>
      <c r="BT396" t="n">
        <v>0</v>
      </c>
      <c r="BX396" t="inlineStr">
        <is>
          <t>Cobranzas_2026.csv</t>
        </is>
      </c>
      <c r="BY396" t="n">
        <v>2026</v>
      </c>
      <c r="BZ396" t="inlineStr">
        <is>
          <t>01/01/2024</t>
        </is>
      </c>
      <c r="CA396" t="inlineStr">
        <is>
          <t>30/09/2031</t>
        </is>
      </c>
    </row>
    <row r="397">
      <c r="A397" t="inlineStr">
        <is>
          <t>RESIDENCIAL PRADA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602</t>
        </is>
      </c>
      <c r="G397" s="39" t="n">
        <v>475000</v>
      </c>
      <c r="H397" s="39" t="n">
        <v>475000</v>
      </c>
      <c r="M397" s="39" t="n"/>
      <c r="N397" s="39" t="n"/>
      <c r="S397" s="39" t="n"/>
      <c r="T397" s="39" t="n"/>
      <c r="Y397" s="39" t="n"/>
      <c r="Z397" s="39" t="n"/>
      <c r="AA397" t="inlineStr">
        <is>
          <t>EDWIN VICTOR ASHTU ACOSTA</t>
        </is>
      </c>
      <c r="AB397" t="inlineStr">
        <is>
          <t>40910651</t>
        </is>
      </c>
      <c r="AC397" t="inlineStr">
        <is>
          <t>Psj. Ramon Castilla 146 , San Felipe</t>
        </is>
      </c>
      <c r="AD397" t="n">
        <v>943011992</v>
      </c>
      <c r="AE397" t="inlineStr">
        <is>
          <t>943011992</t>
        </is>
      </c>
      <c r="AF397" t="inlineStr">
        <is>
          <t>edwin.ashtu@gmail.com</t>
        </is>
      </c>
      <c r="AG397" t="inlineStr">
        <is>
          <t>LIMA</t>
        </is>
      </c>
      <c r="AH397" t="inlineStr">
        <is>
          <t>COMAS</t>
        </is>
      </c>
      <c r="AI397" s="116" t="n">
        <v>46096</v>
      </c>
      <c r="AJ397" s="116" t="n">
        <v>46096</v>
      </c>
      <c r="AK397" t="inlineStr">
        <is>
          <t>SEPARACION</t>
        </is>
      </c>
      <c r="AL397" t="n">
        <v>1</v>
      </c>
      <c r="AM397" t="n">
        <v>3000</v>
      </c>
      <c r="AN397" t="n">
        <v>0</v>
      </c>
      <c r="AO397" t="n">
        <v>0</v>
      </c>
      <c r="AP397" s="39" t="n">
        <v>3000</v>
      </c>
      <c r="AQ397" s="39" t="n">
        <v>3000</v>
      </c>
      <c r="AR397" s="39" t="n">
        <v>0</v>
      </c>
      <c r="AS397" t="n">
        <v>0</v>
      </c>
      <c r="AT397" t="inlineStr">
        <is>
          <t>Crédito Directo</t>
        </is>
      </c>
      <c r="AU397" t="inlineStr">
        <is>
          <t>Scotiabank Perú</t>
        </is>
      </c>
      <c r="AV397" t="inlineStr">
        <is>
          <t>000-2768484</t>
        </is>
      </c>
      <c r="AW397" t="inlineStr">
        <is>
          <t>POS VISA</t>
        </is>
      </c>
      <c r="AY397" t="inlineStr">
        <is>
          <t>430551</t>
        </is>
      </c>
      <c r="AZ397" t="inlineStr">
        <is>
          <t>Si</t>
        </is>
      </c>
      <c r="BB397" t="n">
        <v>4</v>
      </c>
      <c r="BC397" t="inlineStr">
        <is>
          <t>CANCELADO</t>
        </is>
      </c>
      <c r="BN397" t="inlineStr">
        <is>
          <t>Si</t>
        </is>
      </c>
      <c r="BO397" s="117" t="n">
        <v>46111.69375</v>
      </c>
      <c r="BP397" t="inlineStr">
        <is>
          <t>Kenny Salazar S</t>
        </is>
      </c>
      <c r="BR397" t="n">
        <v>29</v>
      </c>
      <c r="BS397" t="inlineStr">
        <is>
          <t>02/06/2026 17:37</t>
        </is>
      </c>
      <c r="BT397" t="n">
        <v>0</v>
      </c>
      <c r="BX397" t="inlineStr">
        <is>
          <t>Cobranzas_2026.csv</t>
        </is>
      </c>
      <c r="BY397" t="n">
        <v>2026</v>
      </c>
      <c r="BZ397" t="inlineStr">
        <is>
          <t>01/01/2024</t>
        </is>
      </c>
      <c r="CA397" t="inlineStr">
        <is>
          <t>30/09/2031</t>
        </is>
      </c>
    </row>
    <row r="398">
      <c r="A398" t="inlineStr">
        <is>
          <t>RESIDENCIAL PRADA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602</t>
        </is>
      </c>
      <c r="G398" s="39" t="n">
        <v>475000</v>
      </c>
      <c r="H398" s="39" t="n">
        <v>475000</v>
      </c>
      <c r="M398" s="39" t="n"/>
      <c r="N398" s="39" t="n"/>
      <c r="S398" s="39" t="n"/>
      <c r="T398" s="39" t="n"/>
      <c r="Y398" s="39" t="n"/>
      <c r="Z398" s="39" t="n"/>
      <c r="AA398" t="inlineStr">
        <is>
          <t>EDWIN VICTOR ASHTU ACOSTA</t>
        </is>
      </c>
      <c r="AB398" t="inlineStr">
        <is>
          <t>40910651</t>
        </is>
      </c>
      <c r="AC398" t="inlineStr">
        <is>
          <t>Psj. Ramon Castilla 146 , San Felipe</t>
        </is>
      </c>
      <c r="AD398" t="n">
        <v>943011992</v>
      </c>
      <c r="AE398" t="inlineStr">
        <is>
          <t>943011992</t>
        </is>
      </c>
      <c r="AF398" t="inlineStr">
        <is>
          <t>edwin.ashtu@gmail.com</t>
        </is>
      </c>
      <c r="AG398" t="inlineStr">
        <is>
          <t>LIMA</t>
        </is>
      </c>
      <c r="AH398" t="inlineStr">
        <is>
          <t>COMAS</t>
        </is>
      </c>
      <c r="AI398" s="116" t="n">
        <v>46112</v>
      </c>
      <c r="AJ398" s="116" t="n">
        <v>46112</v>
      </c>
      <c r="AK398" t="inlineStr">
        <is>
          <t>CUOTA INICIAL</t>
        </is>
      </c>
      <c r="AL398" t="n">
        <v>1</v>
      </c>
      <c r="AM398" t="n">
        <v>234500</v>
      </c>
      <c r="AN398" t="n">
        <v>0</v>
      </c>
      <c r="AO398" t="n">
        <v>0</v>
      </c>
      <c r="AP398" s="39" t="n">
        <v>234500</v>
      </c>
      <c r="AQ398" s="39" t="n">
        <v>100000</v>
      </c>
      <c r="AR398" s="39" t="n">
        <v>0</v>
      </c>
      <c r="AS398" t="n">
        <v>0</v>
      </c>
      <c r="AT398" t="inlineStr">
        <is>
          <t>Crédito Directo</t>
        </is>
      </c>
      <c r="AU398" t="inlineStr">
        <is>
          <t>Scotiabank Perú</t>
        </is>
      </c>
      <c r="AV398" t="inlineStr">
        <is>
          <t>000-2768484</t>
        </is>
      </c>
      <c r="AW398" t="inlineStr">
        <is>
          <t>TRANSFERENCIA BANCARIA</t>
        </is>
      </c>
      <c r="AY398" t="inlineStr">
        <is>
          <t>170000003308</t>
        </is>
      </c>
      <c r="AZ398" t="inlineStr">
        <is>
          <t>Si</t>
        </is>
      </c>
      <c r="BB398" t="n">
        <v>4</v>
      </c>
      <c r="BC398" t="inlineStr">
        <is>
          <t>CANCELADO</t>
        </is>
      </c>
      <c r="BN398" t="inlineStr">
        <is>
          <t>Si</t>
        </is>
      </c>
      <c r="BO398" s="117" t="n">
        <v>46111.69375</v>
      </c>
      <c r="BP398" t="inlineStr">
        <is>
          <t>Kenny Salazar S</t>
        </is>
      </c>
      <c r="BR398" t="n">
        <v>29</v>
      </c>
      <c r="BS398" t="inlineStr">
        <is>
          <t>09/06/2026 16:10</t>
        </is>
      </c>
      <c r="BT398" t="n">
        <v>0</v>
      </c>
      <c r="BX398" t="inlineStr">
        <is>
          <t>Cobranzas_2026.csv</t>
        </is>
      </c>
      <c r="BY398" t="n">
        <v>2026</v>
      </c>
      <c r="BZ398" t="inlineStr">
        <is>
          <t>01/01/2024</t>
        </is>
      </c>
      <c r="CA398" t="inlineStr">
        <is>
          <t>30/09/2031</t>
        </is>
      </c>
    </row>
    <row r="399">
      <c r="A399" t="inlineStr">
        <is>
          <t>RESIDENCIAL PRADA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602</t>
        </is>
      </c>
      <c r="G399" s="39" t="n">
        <v>475000</v>
      </c>
      <c r="H399" s="39" t="n">
        <v>475000</v>
      </c>
      <c r="M399" s="39" t="n"/>
      <c r="N399" s="39" t="n"/>
      <c r="S399" s="39" t="n"/>
      <c r="T399" s="39" t="n"/>
      <c r="Y399" s="39" t="n"/>
      <c r="Z399" s="39" t="n"/>
      <c r="AA399" t="inlineStr">
        <is>
          <t>EDWIN VICTOR ASHTU ACOSTA</t>
        </is>
      </c>
      <c r="AB399" t="inlineStr">
        <is>
          <t>40910651</t>
        </is>
      </c>
      <c r="AC399" t="inlineStr">
        <is>
          <t>Psj. Ramon Castilla 146 , San Felipe</t>
        </is>
      </c>
      <c r="AD399" t="n">
        <v>943011992</v>
      </c>
      <c r="AE399" t="inlineStr">
        <is>
          <t>943011992</t>
        </is>
      </c>
      <c r="AF399" t="inlineStr">
        <is>
          <t>edwin.ashtu@gmail.com</t>
        </is>
      </c>
      <c r="AG399" t="inlineStr">
        <is>
          <t>LIMA</t>
        </is>
      </c>
      <c r="AH399" t="inlineStr">
        <is>
          <t>COMAS</t>
        </is>
      </c>
      <c r="AI399" s="116" t="n">
        <v>46112</v>
      </c>
      <c r="AJ399" s="116" t="n">
        <v>46112</v>
      </c>
      <c r="AK399" t="inlineStr">
        <is>
          <t>CUOTA INICIAL</t>
        </is>
      </c>
      <c r="AL399" t="n">
        <v>1</v>
      </c>
      <c r="AM399" t="n">
        <v>0</v>
      </c>
      <c r="AN399" t="n">
        <v>0</v>
      </c>
      <c r="AO399" t="n">
        <v>0</v>
      </c>
      <c r="AP399" s="39" t="n">
        <v>0</v>
      </c>
      <c r="AQ399" s="39" t="n">
        <v>134500</v>
      </c>
      <c r="AR399" s="39" t="n">
        <v>0</v>
      </c>
      <c r="AS399" t="n">
        <v>0</v>
      </c>
      <c r="AT399" t="inlineStr">
        <is>
          <t>Crédito Directo</t>
        </is>
      </c>
      <c r="AU399" t="inlineStr">
        <is>
          <t>Scotiabank Perú</t>
        </is>
      </c>
      <c r="AV399" t="inlineStr">
        <is>
          <t>000-2768484</t>
        </is>
      </c>
      <c r="AW399" t="inlineStr">
        <is>
          <t>TRANSFERENCIA BANCARIA</t>
        </is>
      </c>
      <c r="AY399" t="inlineStr">
        <is>
          <t>210009</t>
        </is>
      </c>
      <c r="AZ399" t="inlineStr">
        <is>
          <t>Si</t>
        </is>
      </c>
      <c r="BB399" t="n">
        <v>4</v>
      </c>
      <c r="BC399" t="inlineStr">
        <is>
          <t>CANCELADO</t>
        </is>
      </c>
      <c r="BN399" t="inlineStr">
        <is>
          <t>Si</t>
        </is>
      </c>
      <c r="BO399" s="117" t="n">
        <v>46111.69375</v>
      </c>
      <c r="BP399" t="inlineStr">
        <is>
          <t>Kenny Salazar S</t>
        </is>
      </c>
      <c r="BR399" t="n">
        <v>29</v>
      </c>
      <c r="BS399" t="inlineStr">
        <is>
          <t>09/06/2026 16:12</t>
        </is>
      </c>
      <c r="BT399" t="n">
        <v>0</v>
      </c>
      <c r="BX399" t="inlineStr">
        <is>
          <t>Cobranzas_2026.csv</t>
        </is>
      </c>
      <c r="BY399" t="n">
        <v>2026</v>
      </c>
      <c r="BZ399" t="inlineStr">
        <is>
          <t>01/01/2024</t>
        </is>
      </c>
      <c r="CA399" t="inlineStr">
        <is>
          <t>30/09/2031</t>
        </is>
      </c>
    </row>
    <row r="400">
      <c r="A400" t="inlineStr">
        <is>
          <t>RESIDENCIAL PRADA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602</t>
        </is>
      </c>
      <c r="G400" s="39" t="n">
        <v>475000</v>
      </c>
      <c r="H400" s="39" t="n">
        <v>475000</v>
      </c>
      <c r="M400" s="39" t="n"/>
      <c r="N400" s="39" t="n"/>
      <c r="S400" s="39" t="n"/>
      <c r="T400" s="39" t="n"/>
      <c r="Y400" s="39" t="n"/>
      <c r="Z400" s="39" t="n"/>
      <c r="AA400" t="inlineStr">
        <is>
          <t>EDWIN VICTOR ASHTU ACOSTA</t>
        </is>
      </c>
      <c r="AB400" t="inlineStr">
        <is>
          <t>40910651</t>
        </is>
      </c>
      <c r="AC400" t="inlineStr">
        <is>
          <t>Psj. Ramon Castilla 146 , San Felipe</t>
        </is>
      </c>
      <c r="AD400" t="n">
        <v>943011992</v>
      </c>
      <c r="AE400" t="inlineStr">
        <is>
          <t>943011992</t>
        </is>
      </c>
      <c r="AF400" t="inlineStr">
        <is>
          <t>edwin.ashtu@gmail.com</t>
        </is>
      </c>
      <c r="AG400" t="inlineStr">
        <is>
          <t>LIMA</t>
        </is>
      </c>
      <c r="AH400" t="inlineStr">
        <is>
          <t>COMAS</t>
        </is>
      </c>
      <c r="AI400" s="116" t="n">
        <v>46188</v>
      </c>
      <c r="AJ400" s="116" t="n">
        <v>46188</v>
      </c>
      <c r="AK400" t="inlineStr">
        <is>
          <t>SALDO FINANCIAR</t>
        </is>
      </c>
      <c r="AL400" t="n">
        <v>1</v>
      </c>
      <c r="AM400" t="n">
        <v>237500</v>
      </c>
      <c r="AN400" t="n">
        <v>0</v>
      </c>
      <c r="AO400" t="n">
        <v>0</v>
      </c>
      <c r="AP400" s="39" t="n">
        <v>237500</v>
      </c>
      <c r="AQ400" s="39" t="n">
        <v>237500</v>
      </c>
      <c r="AR400" s="39" t="n">
        <v>0</v>
      </c>
      <c r="AS400" t="n">
        <v>0</v>
      </c>
      <c r="AT400" t="inlineStr">
        <is>
          <t>Crédito Directo</t>
        </is>
      </c>
      <c r="AU400" t="inlineStr">
        <is>
          <t>Scotiabank Perú</t>
        </is>
      </c>
      <c r="AV400" t="inlineStr">
        <is>
          <t>000-2768484</t>
        </is>
      </c>
      <c r="AW400" t="inlineStr">
        <is>
          <t>TRANSFERENCIA BANCARIA</t>
        </is>
      </c>
      <c r="AY400" t="inlineStr">
        <is>
          <t>9170</t>
        </is>
      </c>
      <c r="AZ400" t="inlineStr">
        <is>
          <t>Si</t>
        </is>
      </c>
      <c r="BB400" t="n">
        <v>4</v>
      </c>
      <c r="BC400" t="inlineStr">
        <is>
          <t>CANCELADO</t>
        </is>
      </c>
      <c r="BN400" t="inlineStr">
        <is>
          <t>Si</t>
        </is>
      </c>
      <c r="BO400" s="117" t="n">
        <v>46111.69375</v>
      </c>
      <c r="BP400" t="inlineStr">
        <is>
          <t>Kenny Salazar S</t>
        </is>
      </c>
      <c r="BR400" t="n">
        <v>29</v>
      </c>
      <c r="BS400" t="inlineStr">
        <is>
          <t>16/06/2026 09:13</t>
        </is>
      </c>
      <c r="BT400" t="n">
        <v>0</v>
      </c>
      <c r="BX400" t="inlineStr">
        <is>
          <t>Cobranzas_2026.csv</t>
        </is>
      </c>
      <c r="BY400" t="n">
        <v>2026</v>
      </c>
      <c r="BZ400" t="inlineStr">
        <is>
          <t>01/01/2024</t>
        </is>
      </c>
      <c r="CA400" t="inlineStr">
        <is>
          <t>30/09/2031</t>
        </is>
      </c>
    </row>
    <row r="401">
      <c r="A401" t="inlineStr">
        <is>
          <t>RESIDENCIAL PRADA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Estacionamiento</t>
        </is>
      </c>
      <c r="F401" t="inlineStr">
        <is>
          <t>E 44</t>
        </is>
      </c>
      <c r="G401" s="39" t="n">
        <v>50000</v>
      </c>
      <c r="H401" s="39" t="n">
        <v>50000</v>
      </c>
      <c r="M401" s="39" t="n"/>
      <c r="N401" s="39" t="n"/>
      <c r="S401" s="39" t="n"/>
      <c r="T401" s="39" t="n"/>
      <c r="Y401" s="39" t="n"/>
      <c r="Z401" s="39" t="n"/>
      <c r="AA401" t="inlineStr">
        <is>
          <t>EDWIN VICTOR ASHTU ACOSTA</t>
        </is>
      </c>
      <c r="AB401" t="inlineStr">
        <is>
          <t>40910651</t>
        </is>
      </c>
      <c r="AC401" t="inlineStr">
        <is>
          <t>Psj. Ramon Castilla 146 , San Felipe</t>
        </is>
      </c>
      <c r="AE401" t="inlineStr">
        <is>
          <t>943011992</t>
        </is>
      </c>
      <c r="AF401" t="inlineStr">
        <is>
          <t>edwin.ashtu@gmail.com</t>
        </is>
      </c>
      <c r="AG401" t="inlineStr">
        <is>
          <t>LIMA</t>
        </is>
      </c>
      <c r="AH401" t="inlineStr">
        <is>
          <t>COMAS</t>
        </is>
      </c>
      <c r="AI401" s="116" t="n">
        <v>46098</v>
      </c>
      <c r="AJ401" s="116" t="n">
        <v>46098</v>
      </c>
      <c r="AK401" t="inlineStr">
        <is>
          <t>SEPARACION</t>
        </is>
      </c>
      <c r="AL401" t="n">
        <v>1</v>
      </c>
      <c r="AM401" t="n">
        <v>3000</v>
      </c>
      <c r="AN401" t="n">
        <v>0</v>
      </c>
      <c r="AO401" t="n">
        <v>0</v>
      </c>
      <c r="AP401" s="39" t="n">
        <v>3000</v>
      </c>
      <c r="AQ401" s="39" t="n">
        <v>3000</v>
      </c>
      <c r="AR401" s="39" t="n">
        <v>0</v>
      </c>
      <c r="AS401" t="n">
        <v>0</v>
      </c>
      <c r="AT401" t="inlineStr">
        <is>
          <t>Crédito Directo</t>
        </is>
      </c>
      <c r="AU401" t="inlineStr">
        <is>
          <t>Scotiabank Perú</t>
        </is>
      </c>
      <c r="AV401" t="inlineStr">
        <is>
          <t>000-2768484</t>
        </is>
      </c>
      <c r="AW401" t="inlineStr">
        <is>
          <t>TRANSFERENCIA BANCARIA</t>
        </is>
      </c>
      <c r="AY401" t="inlineStr">
        <is>
          <t>17032026</t>
        </is>
      </c>
      <c r="AZ401" t="inlineStr">
        <is>
          <t>No</t>
        </is>
      </c>
      <c r="BB401" t="n">
        <v>4</v>
      </c>
      <c r="BC401" t="inlineStr">
        <is>
          <t>CANCELADO</t>
        </is>
      </c>
      <c r="BN401" t="inlineStr">
        <is>
          <t>Si</t>
        </is>
      </c>
      <c r="BO401" s="117" t="n">
        <v>46140.39583333334</v>
      </c>
      <c r="BP401" t="inlineStr">
        <is>
          <t>Carla Michue M</t>
        </is>
      </c>
      <c r="BR401" t="n">
        <v>23</v>
      </c>
      <c r="BS401" t="inlineStr">
        <is>
          <t>14/07/2026 09:38</t>
        </is>
      </c>
      <c r="BT401" t="n">
        <v>0</v>
      </c>
      <c r="BX401" t="inlineStr">
        <is>
          <t>Cobranzas_2026.csv</t>
        </is>
      </c>
      <c r="BY401" t="n">
        <v>2026</v>
      </c>
      <c r="BZ401" t="inlineStr">
        <is>
          <t>01/01/2024</t>
        </is>
      </c>
      <c r="CA401" t="inlineStr">
        <is>
          <t>30/09/2031</t>
        </is>
      </c>
    </row>
    <row r="402">
      <c r="A402" t="inlineStr">
        <is>
          <t>RESIDENCIAL PRADA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Estacionamiento</t>
        </is>
      </c>
      <c r="F402" t="inlineStr">
        <is>
          <t>E 44</t>
        </is>
      </c>
      <c r="G402" s="39" t="n">
        <v>50000</v>
      </c>
      <c r="H402" s="39" t="n">
        <v>50000</v>
      </c>
      <c r="M402" s="39" t="n"/>
      <c r="N402" s="39" t="n"/>
      <c r="S402" s="39" t="n"/>
      <c r="T402" s="39" t="n"/>
      <c r="Y402" s="39" t="n"/>
      <c r="Z402" s="39" t="n"/>
      <c r="AA402" t="inlineStr">
        <is>
          <t>EDWIN VICTOR ASHTU ACOSTA</t>
        </is>
      </c>
      <c r="AB402" t="inlineStr">
        <is>
          <t>40910651</t>
        </is>
      </c>
      <c r="AC402" t="inlineStr">
        <is>
          <t>Psj. Ramon Castilla 146 , San Felipe</t>
        </is>
      </c>
      <c r="AE402" t="inlineStr">
        <is>
          <t>943011992</t>
        </is>
      </c>
      <c r="AF402" t="inlineStr">
        <is>
          <t>edwin.ashtu@gmail.com</t>
        </is>
      </c>
      <c r="AG402" t="inlineStr">
        <is>
          <t>LIMA</t>
        </is>
      </c>
      <c r="AH402" t="inlineStr">
        <is>
          <t>COMAS</t>
        </is>
      </c>
      <c r="AI402" s="116" t="n">
        <v>46111</v>
      </c>
      <c r="AJ402" s="116" t="n">
        <v>46140</v>
      </c>
      <c r="AK402" t="inlineStr">
        <is>
          <t>CUOTA INICIAL</t>
        </is>
      </c>
      <c r="AL402" t="n">
        <v>2</v>
      </c>
      <c r="AM402" t="n">
        <v>17000</v>
      </c>
      <c r="AN402" t="n">
        <v>0</v>
      </c>
      <c r="AO402" t="n">
        <v>0</v>
      </c>
      <c r="AP402" s="39" t="n">
        <v>17000</v>
      </c>
      <c r="AQ402" s="39" t="n">
        <v>17000</v>
      </c>
      <c r="AR402" s="39" t="n">
        <v>0</v>
      </c>
      <c r="AS402" t="n">
        <v>0</v>
      </c>
      <c r="AT402" t="inlineStr">
        <is>
          <t>Crédito Directo</t>
        </is>
      </c>
      <c r="AU402" t="inlineStr">
        <is>
          <t>Scotiabank Perú</t>
        </is>
      </c>
      <c r="AV402" t="inlineStr">
        <is>
          <t>000-2768484</t>
        </is>
      </c>
      <c r="AW402" t="inlineStr">
        <is>
          <t>TRANSFERENCIA BANCARIA</t>
        </is>
      </c>
      <c r="AY402" t="inlineStr">
        <is>
          <t>00000235200000000</t>
        </is>
      </c>
      <c r="AZ402" t="inlineStr">
        <is>
          <t>No</t>
        </is>
      </c>
      <c r="BB402" t="n">
        <v>4</v>
      </c>
      <c r="BC402" t="inlineStr">
        <is>
          <t>CANCELADO</t>
        </is>
      </c>
      <c r="BN402" t="inlineStr">
        <is>
          <t>Si</t>
        </is>
      </c>
      <c r="BO402" s="117" t="n">
        <v>46140.39583333334</v>
      </c>
      <c r="BP402" t="inlineStr">
        <is>
          <t>Carla Michue M</t>
        </is>
      </c>
      <c r="BR402" t="n">
        <v>23</v>
      </c>
      <c r="BS402" t="inlineStr">
        <is>
          <t>14/07/2026 09:38</t>
        </is>
      </c>
      <c r="BT402" t="n">
        <v>0</v>
      </c>
      <c r="BX402" t="inlineStr">
        <is>
          <t>Cobranzas_2026.csv</t>
        </is>
      </c>
      <c r="BY402" t="n">
        <v>2026</v>
      </c>
      <c r="BZ402" t="inlineStr">
        <is>
          <t>01/01/2024</t>
        </is>
      </c>
      <c r="CA402" t="inlineStr">
        <is>
          <t>30/09/2031</t>
        </is>
      </c>
    </row>
    <row r="403">
      <c r="A403" t="inlineStr">
        <is>
          <t>RESIDENCIAL PRADA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Estacionamiento</t>
        </is>
      </c>
      <c r="F403" t="inlineStr">
        <is>
          <t>E 44</t>
        </is>
      </c>
      <c r="G403" s="39" t="n">
        <v>50000</v>
      </c>
      <c r="H403" s="39" t="n">
        <v>50000</v>
      </c>
      <c r="M403" s="39" t="n"/>
      <c r="N403" s="39" t="n"/>
      <c r="S403" s="39" t="n"/>
      <c r="T403" s="39" t="n"/>
      <c r="Y403" s="39" t="n"/>
      <c r="Z403" s="39" t="n"/>
      <c r="AA403" t="inlineStr">
        <is>
          <t>EDWIN VICTOR ASHTU ACOSTA</t>
        </is>
      </c>
      <c r="AB403" t="inlineStr">
        <is>
          <t>40910651</t>
        </is>
      </c>
      <c r="AC403" t="inlineStr">
        <is>
          <t>Psj. Ramon Castilla 146 , San Felipe</t>
        </is>
      </c>
      <c r="AE403" t="inlineStr">
        <is>
          <t>943011992</t>
        </is>
      </c>
      <c r="AF403" t="inlineStr">
        <is>
          <t>edwin.ashtu@gmail.com</t>
        </is>
      </c>
      <c r="AG403" t="inlineStr">
        <is>
          <t>LIMA</t>
        </is>
      </c>
      <c r="AH403" t="inlineStr">
        <is>
          <t>COMAS</t>
        </is>
      </c>
      <c r="AI403" s="116" t="n">
        <v>46268</v>
      </c>
      <c r="AJ403" s="116" t="n">
        <v>46188</v>
      </c>
      <c r="AK403" t="inlineStr">
        <is>
          <t>SALDO FINANCIAR</t>
        </is>
      </c>
      <c r="AL403" t="n">
        <v>1</v>
      </c>
      <c r="AM403" t="n">
        <v>15000</v>
      </c>
      <c r="AN403" t="n">
        <v>0</v>
      </c>
      <c r="AO403" t="n">
        <v>0</v>
      </c>
      <c r="AP403" s="39" t="n">
        <v>15000</v>
      </c>
      <c r="AQ403" s="39" t="n">
        <v>15000</v>
      </c>
      <c r="AR403" s="39" t="n">
        <v>0</v>
      </c>
      <c r="AS403" t="n">
        <v>0</v>
      </c>
      <c r="AT403" t="inlineStr">
        <is>
          <t>Crédito Directo</t>
        </is>
      </c>
      <c r="AU403" t="inlineStr">
        <is>
          <t>Scotiabank Perú</t>
        </is>
      </c>
      <c r="AV403" t="inlineStr">
        <is>
          <t>000-2768484</t>
        </is>
      </c>
      <c r="AW403" t="inlineStr">
        <is>
          <t>TRANSFERENCIA BANCARIA</t>
        </is>
      </c>
      <c r="AY403" t="inlineStr">
        <is>
          <t>5010431</t>
        </is>
      </c>
      <c r="AZ403" t="inlineStr">
        <is>
          <t>No</t>
        </is>
      </c>
      <c r="BB403" t="n">
        <v>4</v>
      </c>
      <c r="BC403" t="inlineStr">
        <is>
          <t>CANCELADO</t>
        </is>
      </c>
      <c r="BN403" t="inlineStr">
        <is>
          <t>Si</t>
        </is>
      </c>
      <c r="BO403" s="117" t="n">
        <v>46140.39583333334</v>
      </c>
      <c r="BP403" t="inlineStr">
        <is>
          <t>Carla Michue M</t>
        </is>
      </c>
      <c r="BR403" t="n">
        <v>23</v>
      </c>
      <c r="BS403" t="inlineStr">
        <is>
          <t>03/09/2026 17:34</t>
        </is>
      </c>
      <c r="BT403" t="n">
        <v>0</v>
      </c>
      <c r="BX403" t="inlineStr">
        <is>
          <t>Cobranzas_2026.csv</t>
        </is>
      </c>
      <c r="BY403" t="n">
        <v>2026</v>
      </c>
      <c r="BZ403" t="inlineStr">
        <is>
          <t>01/01/2024</t>
        </is>
      </c>
      <c r="CA403" t="inlineStr">
        <is>
          <t>30/09/2031</t>
        </is>
      </c>
    </row>
    <row r="404">
      <c r="A404" t="inlineStr">
        <is>
          <t>RESIDENCIAL PRADA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Estacionamiento</t>
        </is>
      </c>
      <c r="F404" t="inlineStr">
        <is>
          <t>E 44</t>
        </is>
      </c>
      <c r="G404" s="39" t="n">
        <v>50000</v>
      </c>
      <c r="H404" s="39" t="n">
        <v>50000</v>
      </c>
      <c r="M404" s="39" t="n"/>
      <c r="N404" s="39" t="n"/>
      <c r="S404" s="39" t="n"/>
      <c r="T404" s="39" t="n"/>
      <c r="Y404" s="39" t="n"/>
      <c r="Z404" s="39" t="n"/>
      <c r="AA404" t="inlineStr">
        <is>
          <t>EDWIN VICTOR ASHTU ACOSTA</t>
        </is>
      </c>
      <c r="AB404" t="inlineStr">
        <is>
          <t>40910651</t>
        </is>
      </c>
      <c r="AC404" t="inlineStr">
        <is>
          <t>Psj. Ramon Castilla 146 , San Felipe</t>
        </is>
      </c>
      <c r="AE404" t="inlineStr">
        <is>
          <t>943011992</t>
        </is>
      </c>
      <c r="AF404" t="inlineStr">
        <is>
          <t>edwin.ashtu@gmail.com</t>
        </is>
      </c>
      <c r="AG404" t="inlineStr">
        <is>
          <t>LIMA</t>
        </is>
      </c>
      <c r="AH404" t="inlineStr">
        <is>
          <t>COMAS</t>
        </is>
      </c>
      <c r="AI404" s="116" t="n">
        <v>46298</v>
      </c>
      <c r="AJ404" s="116" t="n">
        <v>46188</v>
      </c>
      <c r="AK404" t="inlineStr">
        <is>
          <t>SALDO FINANCIAR</t>
        </is>
      </c>
      <c r="AL404" t="n">
        <v>2</v>
      </c>
      <c r="AM404" t="n">
        <v>15000</v>
      </c>
      <c r="AN404" t="n">
        <v>0</v>
      </c>
      <c r="AO404" t="n">
        <v>0</v>
      </c>
      <c r="AP404" s="39" t="n">
        <v>15000</v>
      </c>
      <c r="AQ404" s="39" t="n">
        <v>10.2</v>
      </c>
      <c r="AR404" s="39" t="n">
        <v>14989.8</v>
      </c>
      <c r="AS404" t="n">
        <v>0</v>
      </c>
      <c r="AT404" t="inlineStr">
        <is>
          <t>Crédito Directo</t>
        </is>
      </c>
      <c r="AU404" t="inlineStr">
        <is>
          <t>Scotiabank Perú</t>
        </is>
      </c>
      <c r="AV404" t="inlineStr">
        <is>
          <t>000-2768484</t>
        </is>
      </c>
      <c r="AW404" t="inlineStr">
        <is>
          <t>TRANSFERENCIA BANCARIA</t>
        </is>
      </c>
      <c r="AY404" t="inlineStr">
        <is>
          <t>130044   3408</t>
        </is>
      </c>
      <c r="AZ404" t="inlineStr">
        <is>
          <t>No</t>
        </is>
      </c>
      <c r="BB404" t="n">
        <v>4</v>
      </c>
      <c r="BC404" t="inlineStr">
        <is>
          <t>PENDIENTE - PARC. CANCELADO</t>
        </is>
      </c>
      <c r="BN404" t="inlineStr">
        <is>
          <t>Si</t>
        </is>
      </c>
      <c r="BO404" s="117" t="n">
        <v>46140.39583333334</v>
      </c>
      <c r="BP404" t="inlineStr">
        <is>
          <t>Carla Michue M</t>
        </is>
      </c>
      <c r="BR404" t="n">
        <v>23</v>
      </c>
      <c r="BS404" t="inlineStr">
        <is>
          <t>03/09/2026 17:35</t>
        </is>
      </c>
      <c r="BT404" t="n">
        <v>0</v>
      </c>
      <c r="BX404" t="inlineStr">
        <is>
          <t>Cobranzas_2026.csv</t>
        </is>
      </c>
      <c r="BY404" t="n">
        <v>2026</v>
      </c>
      <c r="BZ404" t="inlineStr">
        <is>
          <t>01/01/2024</t>
        </is>
      </c>
      <c r="CA404" t="inlineStr">
        <is>
          <t>30/09/2031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801</t>
        </is>
      </c>
      <c r="G405" s="39" t="n">
        <v>531100</v>
      </c>
      <c r="H405" s="39" t="n">
        <v>493000</v>
      </c>
      <c r="M405" s="39" t="n"/>
      <c r="N405" s="39" t="n"/>
      <c r="S405" s="39" t="n"/>
      <c r="T405" s="39" t="n"/>
      <c r="Y405" s="39" t="n"/>
      <c r="Z405" s="39" t="n"/>
      <c r="AA405" t="inlineStr">
        <is>
          <t>Elizabeth Bertha Fierro Cancho</t>
        </is>
      </c>
      <c r="AB405" t="inlineStr">
        <is>
          <t>10599276</t>
        </is>
      </c>
      <c r="AC405" t="inlineStr">
        <is>
          <t>Calle uno Numero 270 Edif D Dpto. 301 – Urb. Los Parques del El Agustino</t>
        </is>
      </c>
      <c r="AD405" t="n">
        <v>0</v>
      </c>
      <c r="AE405" t="inlineStr">
        <is>
          <t>966794666</t>
        </is>
      </c>
      <c r="AF405" t="inlineStr">
        <is>
          <t>esdrasjoelpatillarojas@hotmail.com</t>
        </is>
      </c>
      <c r="AG405" t="inlineStr">
        <is>
          <t>LIMA</t>
        </is>
      </c>
      <c r="AH405" t="inlineStr">
        <is>
          <t>EL AGUSTINO</t>
        </is>
      </c>
      <c r="AI405" s="116" t="n">
        <v>46139</v>
      </c>
      <c r="AJ405" s="116" t="n">
        <v>46139</v>
      </c>
      <c r="AK405" t="inlineStr">
        <is>
          <t>SEPARACION</t>
        </is>
      </c>
      <c r="AL405" t="n">
        <v>1</v>
      </c>
      <c r="AM405" t="n">
        <v>3000</v>
      </c>
      <c r="AN405" t="n">
        <v>0</v>
      </c>
      <c r="AO405" t="n">
        <v>0</v>
      </c>
      <c r="AP405" s="39" t="n">
        <v>3000</v>
      </c>
      <c r="AQ405" s="39" t="n">
        <v>3000</v>
      </c>
      <c r="AR405" s="39" t="n">
        <v>0</v>
      </c>
      <c r="AS405" t="n">
        <v>0</v>
      </c>
      <c r="AT405" t="inlineStr">
        <is>
          <t>Ahorro</t>
        </is>
      </c>
      <c r="AU405" t="inlineStr">
        <is>
          <t>Banco de Credito del Perú</t>
        </is>
      </c>
      <c r="AV405" t="inlineStr">
        <is>
          <t>194-7325779-0-65</t>
        </is>
      </c>
      <c r="AW405" t="inlineStr">
        <is>
          <t>DEPOSITO EN CUENTA</t>
        </is>
      </c>
      <c r="AY405" t="inlineStr">
        <is>
          <t>0909063</t>
        </is>
      </c>
      <c r="AZ405" t="inlineStr">
        <is>
          <t>Si</t>
        </is>
      </c>
      <c r="BB405" t="n">
        <v>4</v>
      </c>
      <c r="BC405" t="inlineStr">
        <is>
          <t>CANCELADO</t>
        </is>
      </c>
      <c r="BN405" t="inlineStr">
        <is>
          <t>Si</t>
        </is>
      </c>
      <c r="BO405" s="117" t="n">
        <v>46142.41597222222</v>
      </c>
      <c r="BP405" t="inlineStr">
        <is>
          <t>Carla Michue M</t>
        </is>
      </c>
      <c r="BR405" t="n">
        <v>19</v>
      </c>
      <c r="BS405" t="inlineStr">
        <is>
          <t>18/05/2026 05:29</t>
        </is>
      </c>
      <c r="BT405" t="n">
        <v>0</v>
      </c>
      <c r="BX405" t="inlineStr">
        <is>
          <t>Cobranzas_2026.csv</t>
        </is>
      </c>
      <c r="BY405" t="n">
        <v>2026</v>
      </c>
      <c r="BZ405" t="inlineStr">
        <is>
          <t>01/01/2024</t>
        </is>
      </c>
      <c r="CA405" t="inlineStr">
        <is>
          <t>30/09/2031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801</t>
        </is>
      </c>
      <c r="G406" s="39" t="n">
        <v>531100</v>
      </c>
      <c r="H406" s="39" t="n">
        <v>493000</v>
      </c>
      <c r="M406" s="39" t="n"/>
      <c r="N406" s="39" t="n"/>
      <c r="S406" s="39" t="n"/>
      <c r="T406" s="39" t="n"/>
      <c r="Y406" s="39" t="n"/>
      <c r="Z406" s="39" t="n"/>
      <c r="AA406" t="inlineStr">
        <is>
          <t>Elizabeth Bertha Fierro Cancho</t>
        </is>
      </c>
      <c r="AB406" t="inlineStr">
        <is>
          <t>10599276</t>
        </is>
      </c>
      <c r="AC406" t="inlineStr">
        <is>
          <t>Calle uno Numero 270 Edif D Dpto. 301 – Urb. Los Parques del El Agustino</t>
        </is>
      </c>
      <c r="AD406" t="n">
        <v>0</v>
      </c>
      <c r="AE406" t="inlineStr">
        <is>
          <t>966794666</t>
        </is>
      </c>
      <c r="AF406" t="inlineStr">
        <is>
          <t>esdrasjoelpatillarojas@hotmail.com</t>
        </is>
      </c>
      <c r="AG406" t="inlineStr">
        <is>
          <t>LIMA</t>
        </is>
      </c>
      <c r="AH406" t="inlineStr">
        <is>
          <t>EL AGUSTINO</t>
        </is>
      </c>
      <c r="AI406" s="116" t="n">
        <v>46142</v>
      </c>
      <c r="AJ406" s="116" t="n">
        <v>46142</v>
      </c>
      <c r="AK406" t="inlineStr">
        <is>
          <t>CUOTA INICIAL</t>
        </is>
      </c>
      <c r="AL406" t="n">
        <v>1</v>
      </c>
      <c r="AM406" t="n">
        <v>30000</v>
      </c>
      <c r="AN406" t="n">
        <v>0</v>
      </c>
      <c r="AO406" t="n">
        <v>0</v>
      </c>
      <c r="AP406" s="39" t="n">
        <v>30000</v>
      </c>
      <c r="AQ406" s="39" t="n">
        <v>30000</v>
      </c>
      <c r="AR406" s="39" t="n">
        <v>0</v>
      </c>
      <c r="AS406" t="n">
        <v>0</v>
      </c>
      <c r="AT406" t="inlineStr">
        <is>
          <t>Ahorro</t>
        </is>
      </c>
      <c r="AU406" t="inlineStr">
        <is>
          <t>Banco de Credito del Perú</t>
        </is>
      </c>
      <c r="AV406" t="inlineStr">
        <is>
          <t>194-7325779-0-65</t>
        </is>
      </c>
      <c r="AW406" t="inlineStr">
        <is>
          <t>TRANSFERENCIA BANCARIA</t>
        </is>
      </c>
      <c r="AY406" t="inlineStr">
        <is>
          <t>0962588</t>
        </is>
      </c>
      <c r="AZ406" t="inlineStr">
        <is>
          <t>Si</t>
        </is>
      </c>
      <c r="BB406" t="n">
        <v>4</v>
      </c>
      <c r="BC406" t="inlineStr">
        <is>
          <t>CANCELADO</t>
        </is>
      </c>
      <c r="BN406" t="inlineStr">
        <is>
          <t>Si</t>
        </is>
      </c>
      <c r="BO406" s="117" t="n">
        <v>46142.41597222222</v>
      </c>
      <c r="BP406" t="inlineStr">
        <is>
          <t>Carla Michue M</t>
        </is>
      </c>
      <c r="BR406" t="n">
        <v>19</v>
      </c>
      <c r="BS406" t="inlineStr">
        <is>
          <t>23/05/2026 23:48</t>
        </is>
      </c>
      <c r="BT406" t="n">
        <v>0</v>
      </c>
      <c r="BX406" t="inlineStr">
        <is>
          <t>Cobranzas_2026.csv</t>
        </is>
      </c>
      <c r="BY406" t="n">
        <v>2026</v>
      </c>
      <c r="BZ406" t="inlineStr">
        <is>
          <t>01/01/2024</t>
        </is>
      </c>
      <c r="CA406" t="inlineStr">
        <is>
          <t>30/09/2031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801</t>
        </is>
      </c>
      <c r="G407" s="39" t="n">
        <v>531100</v>
      </c>
      <c r="H407" s="39" t="n">
        <v>493000</v>
      </c>
      <c r="M407" s="39" t="n"/>
      <c r="N407" s="39" t="n"/>
      <c r="S407" s="39" t="n"/>
      <c r="T407" s="39" t="n"/>
      <c r="Y407" s="39" t="n"/>
      <c r="Z407" s="39" t="n"/>
      <c r="AA407" t="inlineStr">
        <is>
          <t>Elizabeth Bertha Fierro Cancho</t>
        </is>
      </c>
      <c r="AB407" t="inlineStr">
        <is>
          <t>10599276</t>
        </is>
      </c>
      <c r="AC407" t="inlineStr">
        <is>
          <t>Calle uno Numero 270 Edif D Dpto. 301 – Urb. Los Parques del El Agustino</t>
        </is>
      </c>
      <c r="AD407" t="n">
        <v>0</v>
      </c>
      <c r="AE407" t="inlineStr">
        <is>
          <t>966794666</t>
        </is>
      </c>
      <c r="AF407" t="inlineStr">
        <is>
          <t>esdrasjoelpatillarojas@hotmail.com</t>
        </is>
      </c>
      <c r="AG407" t="inlineStr">
        <is>
          <t>LIMA</t>
        </is>
      </c>
      <c r="AH407" t="inlineStr">
        <is>
          <t>EL AGUSTINO</t>
        </is>
      </c>
      <c r="AI407" s="116" t="n">
        <v>46144</v>
      </c>
      <c r="AJ407" s="116" t="n">
        <v>46144</v>
      </c>
      <c r="AK407" t="inlineStr">
        <is>
          <t>CUOTA INICIAL</t>
        </is>
      </c>
      <c r="AL407" t="n">
        <v>2</v>
      </c>
      <c r="AM407" t="n">
        <v>40000</v>
      </c>
      <c r="AN407" t="n">
        <v>0</v>
      </c>
      <c r="AO407" t="n">
        <v>0</v>
      </c>
      <c r="AP407" s="39" t="n">
        <v>40000</v>
      </c>
      <c r="AQ407" s="39" t="n">
        <v>40000</v>
      </c>
      <c r="AR407" s="39" t="n">
        <v>0</v>
      </c>
      <c r="AS407" t="n">
        <v>0</v>
      </c>
      <c r="AT407" t="inlineStr">
        <is>
          <t>Ahorro</t>
        </is>
      </c>
      <c r="AU407" t="inlineStr">
        <is>
          <t>Banco de Credito del Perú</t>
        </is>
      </c>
      <c r="AV407" t="inlineStr">
        <is>
          <t>194-7325779-0-65</t>
        </is>
      </c>
      <c r="AW407" t="inlineStr">
        <is>
          <t>TRANSFERENCIA BANCARIA</t>
        </is>
      </c>
      <c r="AY407" t="inlineStr">
        <is>
          <t>0944792</t>
        </is>
      </c>
      <c r="AZ407" t="inlineStr">
        <is>
          <t>Si</t>
        </is>
      </c>
      <c r="BB407" t="n">
        <v>4</v>
      </c>
      <c r="BC407" t="inlineStr">
        <is>
          <t>CANCELADO</t>
        </is>
      </c>
      <c r="BN407" t="inlineStr">
        <is>
          <t>Si</t>
        </is>
      </c>
      <c r="BO407" s="117" t="n">
        <v>46142.41597222222</v>
      </c>
      <c r="BP407" t="inlineStr">
        <is>
          <t>Carla Michue M</t>
        </is>
      </c>
      <c r="BR407" t="n">
        <v>19</v>
      </c>
      <c r="BS407" t="inlineStr">
        <is>
          <t>23/05/2026 23:49</t>
        </is>
      </c>
      <c r="BT407" t="n">
        <v>0</v>
      </c>
      <c r="BX407" t="inlineStr">
        <is>
          <t>Cobranzas_2026.csv</t>
        </is>
      </c>
      <c r="BY407" t="n">
        <v>2026</v>
      </c>
      <c r="BZ407" t="inlineStr">
        <is>
          <t>01/01/2024</t>
        </is>
      </c>
      <c r="CA407" t="inlineStr">
        <is>
          <t>30/09/2031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801</t>
        </is>
      </c>
      <c r="G408" s="39" t="n">
        <v>531100</v>
      </c>
      <c r="H408" s="39" t="n">
        <v>493000</v>
      </c>
      <c r="M408" s="39" t="n"/>
      <c r="N408" s="39" t="n"/>
      <c r="S408" s="39" t="n"/>
      <c r="T408" s="39" t="n"/>
      <c r="Y408" s="39" t="n"/>
      <c r="Z408" s="39" t="n"/>
      <c r="AA408" t="inlineStr">
        <is>
          <t>Elizabeth Bertha Fierro Cancho</t>
        </is>
      </c>
      <c r="AB408" t="inlineStr">
        <is>
          <t>10599276</t>
        </is>
      </c>
      <c r="AC408" t="inlineStr">
        <is>
          <t>Calle uno Numero 270 Edif D Dpto. 301 – Urb. Los Parques del El Agustino</t>
        </is>
      </c>
      <c r="AD408" t="n">
        <v>0</v>
      </c>
      <c r="AE408" t="inlineStr">
        <is>
          <t>966794666</t>
        </is>
      </c>
      <c r="AF408" t="inlineStr">
        <is>
          <t>esdrasjoelpatillarojas@hotmail.com</t>
        </is>
      </c>
      <c r="AG408" t="inlineStr">
        <is>
          <t>LIMA</t>
        </is>
      </c>
      <c r="AH408" t="inlineStr">
        <is>
          <t>EL AGUSTINO</t>
        </is>
      </c>
      <c r="AI408" s="116" t="n">
        <v>46157</v>
      </c>
      <c r="AJ408" s="116" t="n">
        <v>46148</v>
      </c>
      <c r="AK408" t="inlineStr">
        <is>
          <t>CUOTA INICIAL</t>
        </is>
      </c>
      <c r="AL408" t="n">
        <v>3</v>
      </c>
      <c r="AM408" t="n">
        <v>53700</v>
      </c>
      <c r="AN408" t="n">
        <v>0</v>
      </c>
      <c r="AO408" t="n">
        <v>0</v>
      </c>
      <c r="AP408" s="39" t="n">
        <v>53700</v>
      </c>
      <c r="AQ408" s="39" t="n">
        <v>53700</v>
      </c>
      <c r="AR408" s="39" t="n">
        <v>0</v>
      </c>
      <c r="AS408" t="n">
        <v>0</v>
      </c>
      <c r="AT408" t="inlineStr">
        <is>
          <t>Ahorro</t>
        </is>
      </c>
      <c r="AU408" t="inlineStr">
        <is>
          <t>Banco de Credito del Perú</t>
        </is>
      </c>
      <c r="AV408" t="inlineStr">
        <is>
          <t>194-7325779-0-65</t>
        </is>
      </c>
      <c r="AW408" t="inlineStr">
        <is>
          <t>TRANSFERENCIA BANCARIA</t>
        </is>
      </c>
      <c r="AY408" t="inlineStr">
        <is>
          <t>0637495</t>
        </is>
      </c>
      <c r="AZ408" t="inlineStr">
        <is>
          <t>Si</t>
        </is>
      </c>
      <c r="BB408" t="n">
        <v>4</v>
      </c>
      <c r="BC408" t="inlineStr">
        <is>
          <t>CANCELADO</t>
        </is>
      </c>
      <c r="BN408" t="inlineStr">
        <is>
          <t>Si</t>
        </is>
      </c>
      <c r="BO408" s="117" t="n">
        <v>46142.41597222222</v>
      </c>
      <c r="BP408" t="inlineStr">
        <is>
          <t>Carla Michue M</t>
        </is>
      </c>
      <c r="BR408" t="n">
        <v>19</v>
      </c>
      <c r="BS408" t="inlineStr">
        <is>
          <t>09/06/2026 15:04</t>
        </is>
      </c>
      <c r="BT408" t="n">
        <v>0</v>
      </c>
      <c r="BX408" t="inlineStr">
        <is>
          <t>Cobranzas_2026.csv</t>
        </is>
      </c>
      <c r="BY408" t="n">
        <v>2026</v>
      </c>
      <c r="BZ408" t="inlineStr">
        <is>
          <t>01/01/2024</t>
        </is>
      </c>
      <c r="CA408" t="inlineStr">
        <is>
          <t>30/09/2031</t>
        </is>
      </c>
    </row>
    <row r="409">
      <c r="A409" t="inlineStr">
        <is>
          <t>RESIDENCIAL BEYOND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801</t>
        </is>
      </c>
      <c r="G409" s="39" t="n">
        <v>531100</v>
      </c>
      <c r="H409" s="39" t="n">
        <v>493000</v>
      </c>
      <c r="M409" s="39" t="n"/>
      <c r="N409" s="39" t="n"/>
      <c r="S409" s="39" t="n"/>
      <c r="T409" s="39" t="n"/>
      <c r="Y409" s="39" t="n"/>
      <c r="Z409" s="39" t="n"/>
      <c r="AA409" t="inlineStr">
        <is>
          <t>Elizabeth Bertha Fierro Cancho</t>
        </is>
      </c>
      <c r="AB409" t="inlineStr">
        <is>
          <t>10599276</t>
        </is>
      </c>
      <c r="AC409" t="inlineStr">
        <is>
          <t>Calle uno Numero 270 Edif D Dpto. 301 – Urb. Los Parques del El Agustino</t>
        </is>
      </c>
      <c r="AD409" t="n">
        <v>0</v>
      </c>
      <c r="AE409" t="inlineStr">
        <is>
          <t>966794666</t>
        </is>
      </c>
      <c r="AF409" t="inlineStr">
        <is>
          <t>esdrasjoelpatillarojas@hotmail.com</t>
        </is>
      </c>
      <c r="AG409" t="inlineStr">
        <is>
          <t>LIMA</t>
        </is>
      </c>
      <c r="AH409" t="inlineStr">
        <is>
          <t>EL AGUSTINO</t>
        </is>
      </c>
      <c r="AI409" s="116" t="n">
        <v>46233</v>
      </c>
      <c r="AJ409" s="116" t="n">
        <v>46154</v>
      </c>
      <c r="AK409" t="inlineStr">
        <is>
          <t>CUOTA INICIAL</t>
        </is>
      </c>
      <c r="AL409" t="n">
        <v>4</v>
      </c>
      <c r="AM409" t="n">
        <v>53700</v>
      </c>
      <c r="AN409" t="n">
        <v>0</v>
      </c>
      <c r="AO409" t="n">
        <v>0</v>
      </c>
      <c r="AP409" s="39" t="n">
        <v>53700</v>
      </c>
      <c r="AQ409" s="39" t="n">
        <v>53700</v>
      </c>
      <c r="AR409" s="39" t="n">
        <v>0</v>
      </c>
      <c r="AS409" t="n">
        <v>0</v>
      </c>
      <c r="AT409" t="inlineStr">
        <is>
          <t>Ahorro</t>
        </is>
      </c>
      <c r="AU409" t="inlineStr">
        <is>
          <t>Banco de Credito del Perú</t>
        </is>
      </c>
      <c r="AV409" t="inlineStr">
        <is>
          <t>194-7325779-0-65</t>
        </is>
      </c>
      <c r="AW409" t="inlineStr">
        <is>
          <t>TRANSFERENCIA BANCARIA</t>
        </is>
      </c>
      <c r="AY409" t="inlineStr">
        <is>
          <t>0950768</t>
        </is>
      </c>
      <c r="AZ409" t="inlineStr">
        <is>
          <t>Si</t>
        </is>
      </c>
      <c r="BB409" t="n">
        <v>4</v>
      </c>
      <c r="BC409" t="inlineStr">
        <is>
          <t>CANCELADO</t>
        </is>
      </c>
      <c r="BN409" t="inlineStr">
        <is>
          <t>Si</t>
        </is>
      </c>
      <c r="BO409" s="117" t="n">
        <v>46142.41597222222</v>
      </c>
      <c r="BP409" t="inlineStr">
        <is>
          <t>Carla Michue M</t>
        </is>
      </c>
      <c r="BR409" t="n">
        <v>19</v>
      </c>
      <c r="BS409" t="inlineStr">
        <is>
          <t>09/06/2026 15:05</t>
        </is>
      </c>
      <c r="BT409" t="n">
        <v>0</v>
      </c>
      <c r="BX409" t="inlineStr">
        <is>
          <t>Cobranzas_2026.csv</t>
        </is>
      </c>
      <c r="BY409" t="n">
        <v>2026</v>
      </c>
      <c r="BZ409" t="inlineStr">
        <is>
          <t>01/01/2024</t>
        </is>
      </c>
      <c r="CA409" t="inlineStr">
        <is>
          <t>30/09/2031</t>
        </is>
      </c>
    </row>
    <row r="410">
      <c r="A410" t="inlineStr">
        <is>
          <t>RESIDENCIAL BEYOND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801</t>
        </is>
      </c>
      <c r="G410" s="39" t="n">
        <v>531100</v>
      </c>
      <c r="H410" s="39" t="n">
        <v>493000</v>
      </c>
      <c r="M410" s="39" t="n"/>
      <c r="N410" s="39" t="n"/>
      <c r="S410" s="39" t="n"/>
      <c r="T410" s="39" t="n"/>
      <c r="Y410" s="39" t="n"/>
      <c r="Z410" s="39" t="n"/>
      <c r="AA410" t="inlineStr">
        <is>
          <t>Elizabeth Bertha Fierro Cancho</t>
        </is>
      </c>
      <c r="AB410" t="inlineStr">
        <is>
          <t>10599276</t>
        </is>
      </c>
      <c r="AC410" t="inlineStr">
        <is>
          <t>Calle uno Numero 270 Edif D Dpto. 301 – Urb. Los Parques del El Agustino</t>
        </is>
      </c>
      <c r="AD410" t="n">
        <v>0</v>
      </c>
      <c r="AE410" t="inlineStr">
        <is>
          <t>966794666</t>
        </is>
      </c>
      <c r="AF410" t="inlineStr">
        <is>
          <t>esdrasjoelpatillarojas@hotmail.com</t>
        </is>
      </c>
      <c r="AG410" t="inlineStr">
        <is>
          <t>LIMA</t>
        </is>
      </c>
      <c r="AH410" t="inlineStr">
        <is>
          <t>EL AGUSTINO</t>
        </is>
      </c>
      <c r="AI410" s="116" t="n">
        <v>46295</v>
      </c>
      <c r="AJ410" s="116" t="n"/>
      <c r="AK410" t="inlineStr">
        <is>
          <t>AHORRO CASA</t>
        </is>
      </c>
      <c r="AL410" t="n">
        <v>5</v>
      </c>
      <c r="AM410" t="n">
        <v>16800</v>
      </c>
      <c r="AN410" t="n">
        <v>0</v>
      </c>
      <c r="AO410" t="n">
        <v>0</v>
      </c>
      <c r="AP410" s="39" t="n">
        <v>16800</v>
      </c>
      <c r="AQ410" s="39" t="n">
        <v>0</v>
      </c>
      <c r="AR410" s="39" t="n">
        <v>16800</v>
      </c>
      <c r="AT410" t="inlineStr">
        <is>
          <t>Ahorro</t>
        </is>
      </c>
      <c r="AZ410" t="inlineStr">
        <is>
          <t>No</t>
        </is>
      </c>
      <c r="BC410" t="inlineStr">
        <is>
          <t>VENCIDO</t>
        </is>
      </c>
      <c r="BN410" t="inlineStr">
        <is>
          <t>No</t>
        </is>
      </c>
      <c r="BO410" s="117" t="n">
        <v>46142.41597222222</v>
      </c>
      <c r="BP410" t="inlineStr">
        <is>
          <t>Carla Michue M</t>
        </is>
      </c>
      <c r="BR410" t="n">
        <v>19</v>
      </c>
      <c r="BT410" t="n">
        <v>0</v>
      </c>
      <c r="BX410" t="inlineStr">
        <is>
          <t>Cobranzas_2026.csv</t>
        </is>
      </c>
      <c r="BY410" t="n">
        <v>2026</v>
      </c>
      <c r="BZ410" t="inlineStr">
        <is>
          <t>01/01/2024</t>
        </is>
      </c>
      <c r="CA410" t="inlineStr">
        <is>
          <t>30/09/2031</t>
        </is>
      </c>
    </row>
    <row r="411">
      <c r="A411" t="inlineStr">
        <is>
          <t>RESIDENCIAL BEYOND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801</t>
        </is>
      </c>
      <c r="G411" s="39" t="n">
        <v>531100</v>
      </c>
      <c r="H411" s="39" t="n">
        <v>493000</v>
      </c>
      <c r="M411" s="39" t="n"/>
      <c r="N411" s="39" t="n"/>
      <c r="S411" s="39" t="n"/>
      <c r="T411" s="39" t="n"/>
      <c r="Y411" s="39" t="n"/>
      <c r="Z411" s="39" t="n"/>
      <c r="AA411" t="inlineStr">
        <is>
          <t>Elizabeth Bertha Fierro Cancho</t>
        </is>
      </c>
      <c r="AB411" t="inlineStr">
        <is>
          <t>10599276</t>
        </is>
      </c>
      <c r="AC411" t="inlineStr">
        <is>
          <t>Calle uno Numero 270 Edif D Dpto. 301 – Urb. Los Parques del El Agustino</t>
        </is>
      </c>
      <c r="AD411" t="n">
        <v>0</v>
      </c>
      <c r="AE411" t="inlineStr">
        <is>
          <t>966794666</t>
        </is>
      </c>
      <c r="AF411" t="inlineStr">
        <is>
          <t>esdrasjoelpatillarojas@hotmail.com</t>
        </is>
      </c>
      <c r="AG411" t="inlineStr">
        <is>
          <t>LIMA</t>
        </is>
      </c>
      <c r="AH411" t="inlineStr">
        <is>
          <t>EL AGUSTINO</t>
        </is>
      </c>
      <c r="AI411" s="116" t="n">
        <v>46356</v>
      </c>
      <c r="AJ411" s="116" t="n"/>
      <c r="AK411" t="inlineStr">
        <is>
          <t>SALDO FINANCIAR</t>
        </is>
      </c>
      <c r="AL411" t="n">
        <v>1</v>
      </c>
      <c r="AM411" t="n">
        <v>295800</v>
      </c>
      <c r="AN411" t="n">
        <v>0</v>
      </c>
      <c r="AO411" t="n">
        <v>0</v>
      </c>
      <c r="AP411" s="39" t="n">
        <v>295800</v>
      </c>
      <c r="AQ411" s="39" t="n">
        <v>0</v>
      </c>
      <c r="AR411" s="39" t="n">
        <v>295800</v>
      </c>
      <c r="AT411" t="inlineStr">
        <is>
          <t>Ahorro</t>
        </is>
      </c>
      <c r="AZ411" t="inlineStr">
        <is>
          <t>No</t>
        </is>
      </c>
      <c r="BC411" t="inlineStr">
        <is>
          <t>PENDIENTE</t>
        </is>
      </c>
      <c r="BN411" t="inlineStr">
        <is>
          <t>No</t>
        </is>
      </c>
      <c r="BO411" s="117" t="n">
        <v>46142.41597222222</v>
      </c>
      <c r="BP411" t="inlineStr">
        <is>
          <t>Carla Michue M</t>
        </is>
      </c>
      <c r="BR411" t="n">
        <v>19</v>
      </c>
      <c r="BT411" t="n">
        <v>0</v>
      </c>
      <c r="BX411" t="inlineStr">
        <is>
          <t>Cobranzas_2026.csv</t>
        </is>
      </c>
      <c r="BY411" t="n">
        <v>2026</v>
      </c>
      <c r="BZ411" t="inlineStr">
        <is>
          <t>01/01/2024</t>
        </is>
      </c>
      <c r="CA411" t="inlineStr">
        <is>
          <t>30/09/2031</t>
        </is>
      </c>
    </row>
    <row r="412">
      <c r="A412" t="inlineStr">
        <is>
          <t>RESIDENCIAL BEYOND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26 - D 17</t>
        </is>
      </c>
      <c r="G412" s="39" t="n">
        <v>51000</v>
      </c>
      <c r="H412" s="39" t="n">
        <v>51000</v>
      </c>
      <c r="M412" s="39" t="n"/>
      <c r="N412" s="39" t="n"/>
      <c r="S412" s="39" t="n"/>
      <c r="T412" s="39" t="n"/>
      <c r="Y412" s="39" t="n"/>
      <c r="Z412" s="39" t="n"/>
      <c r="AA412" t="inlineStr">
        <is>
          <t>Elizabeth Bertha Fierro Cancho</t>
        </is>
      </c>
      <c r="AB412" t="inlineStr">
        <is>
          <t>10599276</t>
        </is>
      </c>
      <c r="AC412" t="inlineStr">
        <is>
          <t>Calle uno Numero 270 Edif D Dpto. 301 – Urb. Los Parques del El Agustino</t>
        </is>
      </c>
      <c r="AD412" t="n">
        <v>0</v>
      </c>
      <c r="AE412" t="inlineStr">
        <is>
          <t>966794666</t>
        </is>
      </c>
      <c r="AF412" t="inlineStr">
        <is>
          <t>esdrasjoelpatillarojas@hotmail.com</t>
        </is>
      </c>
      <c r="AG412" t="inlineStr">
        <is>
          <t>LIMA</t>
        </is>
      </c>
      <c r="AH412" t="inlineStr">
        <is>
          <t>EL AGUSTINO</t>
        </is>
      </c>
      <c r="AI412" s="116" t="n">
        <v>46141</v>
      </c>
      <c r="AJ412" s="116" t="n">
        <v>46141</v>
      </c>
      <c r="AK412" t="inlineStr">
        <is>
          <t>SEPARACION</t>
        </is>
      </c>
      <c r="AL412" t="n">
        <v>1</v>
      </c>
      <c r="AM412" t="n">
        <v>3000</v>
      </c>
      <c r="AN412" t="n">
        <v>0</v>
      </c>
      <c r="AO412" t="n">
        <v>0</v>
      </c>
      <c r="AP412" s="39" t="n">
        <v>3000</v>
      </c>
      <c r="AQ412" s="39" t="n">
        <v>3000</v>
      </c>
      <c r="AR412" s="39" t="n">
        <v>0</v>
      </c>
      <c r="AS412" t="n">
        <v>0</v>
      </c>
      <c r="AT412" t="inlineStr">
        <is>
          <t>Crédito Directo</t>
        </is>
      </c>
      <c r="AU412" t="inlineStr">
        <is>
          <t>Banco de Credito del Perú</t>
        </is>
      </c>
      <c r="AV412" t="inlineStr">
        <is>
          <t>194-7325779-0-65</t>
        </is>
      </c>
      <c r="AW412" t="inlineStr">
        <is>
          <t>TRANSFERENCIA BANCARIA</t>
        </is>
      </c>
      <c r="AY412" t="inlineStr">
        <is>
          <t>280033</t>
        </is>
      </c>
      <c r="AZ412" t="inlineStr">
        <is>
          <t>No</t>
        </is>
      </c>
      <c r="BA412" t="inlineStr">
        <is>
          <t>AHORROS PERSONALES</t>
        </is>
      </c>
      <c r="BB412" t="n">
        <v>4</v>
      </c>
      <c r="BC412" t="inlineStr">
        <is>
          <t>CANCELADO</t>
        </is>
      </c>
      <c r="BN412" t="inlineStr">
        <is>
          <t>Si</t>
        </is>
      </c>
      <c r="BO412" s="117" t="n">
        <v>46141.39236111111</v>
      </c>
      <c r="BP412" t="inlineStr">
        <is>
          <t>Carla Michue M</t>
        </is>
      </c>
      <c r="BR412" t="n">
        <v>49</v>
      </c>
      <c r="BS412" t="inlineStr">
        <is>
          <t>29/05/2026 14:10</t>
        </is>
      </c>
      <c r="BT412" t="n">
        <v>0</v>
      </c>
      <c r="BX412" t="inlineStr">
        <is>
          <t>Cobranzas_2026.csv</t>
        </is>
      </c>
      <c r="BY412" t="n">
        <v>2026</v>
      </c>
      <c r="BZ412" t="inlineStr">
        <is>
          <t>01/01/2024</t>
        </is>
      </c>
      <c r="CA412" t="inlineStr">
        <is>
          <t>30/09/2031</t>
        </is>
      </c>
    </row>
    <row r="413">
      <c r="A413" t="inlineStr">
        <is>
          <t>RESIDENCIAL BEYOND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26 - D 17</t>
        </is>
      </c>
      <c r="G413" s="39" t="n">
        <v>51000</v>
      </c>
      <c r="H413" s="39" t="n">
        <v>51000</v>
      </c>
      <c r="M413" s="39" t="n"/>
      <c r="N413" s="39" t="n"/>
      <c r="S413" s="39" t="n"/>
      <c r="T413" s="39" t="n"/>
      <c r="Y413" s="39" t="n"/>
      <c r="Z413" s="39" t="n"/>
      <c r="AA413" t="inlineStr">
        <is>
          <t>Elizabeth Bertha Fierro Cancho</t>
        </is>
      </c>
      <c r="AB413" t="inlineStr">
        <is>
          <t>10599276</t>
        </is>
      </c>
      <c r="AC413" t="inlineStr">
        <is>
          <t>Calle uno Numero 270 Edif D Dpto. 301 – Urb. Los Parques del El Agustino</t>
        </is>
      </c>
      <c r="AD413" t="n">
        <v>0</v>
      </c>
      <c r="AE413" t="inlineStr">
        <is>
          <t>966794666</t>
        </is>
      </c>
      <c r="AF413" t="inlineStr">
        <is>
          <t>esdrasjoelpatillarojas@hotmail.com</t>
        </is>
      </c>
      <c r="AG413" t="inlineStr">
        <is>
          <t>LIMA</t>
        </is>
      </c>
      <c r="AH413" t="inlineStr">
        <is>
          <t>EL AGUSTINO</t>
        </is>
      </c>
      <c r="AI413" s="116" t="n">
        <v>46141</v>
      </c>
      <c r="AJ413" s="116" t="n">
        <v>46141</v>
      </c>
      <c r="AK413" t="inlineStr">
        <is>
          <t>CUOTA INICIAL</t>
        </is>
      </c>
      <c r="AL413" t="n">
        <v>1</v>
      </c>
      <c r="AM413" t="n">
        <v>7000</v>
      </c>
      <c r="AN413" t="n">
        <v>0</v>
      </c>
      <c r="AO413" t="n">
        <v>0</v>
      </c>
      <c r="AP413" s="39" t="n">
        <v>7000</v>
      </c>
      <c r="AQ413" s="39" t="n">
        <v>7000</v>
      </c>
      <c r="AR413" s="39" t="n">
        <v>0</v>
      </c>
      <c r="AS413" t="n">
        <v>0</v>
      </c>
      <c r="AT413" t="inlineStr">
        <is>
          <t>Crédito Directo</t>
        </is>
      </c>
      <c r="AU413" t="inlineStr">
        <is>
          <t>Banco de Credito del Perú</t>
        </is>
      </c>
      <c r="AV413" t="inlineStr">
        <is>
          <t>194-7325779-0-65</t>
        </is>
      </c>
      <c r="AW413" t="inlineStr">
        <is>
          <t>TRANSFERENCIA BANCARIA</t>
        </is>
      </c>
      <c r="AY413" t="inlineStr">
        <is>
          <t>0280033</t>
        </is>
      </c>
      <c r="AZ413" t="inlineStr">
        <is>
          <t>No</t>
        </is>
      </c>
      <c r="BA413" t="inlineStr">
        <is>
          <t>AHORROS PERSONALES</t>
        </is>
      </c>
      <c r="BB413" t="n">
        <v>4</v>
      </c>
      <c r="BC413" t="inlineStr">
        <is>
          <t>CANCELADO</t>
        </is>
      </c>
      <c r="BN413" t="inlineStr">
        <is>
          <t>Si</t>
        </is>
      </c>
      <c r="BO413" s="117" t="n">
        <v>46141.39236111111</v>
      </c>
      <c r="BP413" t="inlineStr">
        <is>
          <t>Carla Michue M</t>
        </is>
      </c>
      <c r="BR413" t="n">
        <v>49</v>
      </c>
      <c r="BS413" t="inlineStr">
        <is>
          <t>25/08/2026 10:37</t>
        </is>
      </c>
      <c r="BT413" t="n">
        <v>0</v>
      </c>
      <c r="BX413" t="inlineStr">
        <is>
          <t>Cobranzas_2026.csv</t>
        </is>
      </c>
      <c r="BY413" t="n">
        <v>2026</v>
      </c>
      <c r="BZ413" t="inlineStr">
        <is>
          <t>01/01/2024</t>
        </is>
      </c>
      <c r="CA413" t="inlineStr">
        <is>
          <t>30/09/2031</t>
        </is>
      </c>
    </row>
    <row r="414">
      <c r="A414" t="inlineStr">
        <is>
          <t>RESIDENCIAL BEYOND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26 - D 17</t>
        </is>
      </c>
      <c r="G414" s="39" t="n">
        <v>51000</v>
      </c>
      <c r="H414" s="39" t="n">
        <v>51000</v>
      </c>
      <c r="M414" s="39" t="n"/>
      <c r="N414" s="39" t="n"/>
      <c r="S414" s="39" t="n"/>
      <c r="T414" s="39" t="n"/>
      <c r="Y414" s="39" t="n"/>
      <c r="Z414" s="39" t="n"/>
      <c r="AA414" t="inlineStr">
        <is>
          <t>Elizabeth Bertha Fierro Cancho</t>
        </is>
      </c>
      <c r="AB414" t="inlineStr">
        <is>
          <t>10599276</t>
        </is>
      </c>
      <c r="AC414" t="inlineStr">
        <is>
          <t>Calle uno Numero 270 Edif D Dpto. 301 – Urb. Los Parques del El Agustino</t>
        </is>
      </c>
      <c r="AD414" t="n">
        <v>0</v>
      </c>
      <c r="AE414" t="inlineStr">
        <is>
          <t>966794666</t>
        </is>
      </c>
      <c r="AF414" t="inlineStr">
        <is>
          <t>esdrasjoelpatillarojas@hotmail.com</t>
        </is>
      </c>
      <c r="AG414" t="inlineStr">
        <is>
          <t>LIMA</t>
        </is>
      </c>
      <c r="AH414" t="inlineStr">
        <is>
          <t>EL AGUSTINO</t>
        </is>
      </c>
      <c r="AI414" s="116" t="n">
        <v>46203</v>
      </c>
      <c r="AJ414" s="116" t="n">
        <v>46201</v>
      </c>
      <c r="AK414" t="inlineStr">
        <is>
          <t>SALDO FINANCIAR</t>
        </is>
      </c>
      <c r="AL414" t="n">
        <v>1</v>
      </c>
      <c r="AM414" t="n">
        <v>3000</v>
      </c>
      <c r="AN414" t="n">
        <v>0</v>
      </c>
      <c r="AO414" t="n">
        <v>0</v>
      </c>
      <c r="AP414" s="39" t="n">
        <v>3000</v>
      </c>
      <c r="AQ414" s="39" t="n">
        <v>3000</v>
      </c>
      <c r="AR414" s="39" t="n">
        <v>0</v>
      </c>
      <c r="AS414" t="n">
        <v>0</v>
      </c>
      <c r="AT414" t="inlineStr">
        <is>
          <t>Crédito Directo</t>
        </is>
      </c>
      <c r="AU414" t="inlineStr">
        <is>
          <t>Banco de Credito del Perú</t>
        </is>
      </c>
      <c r="AV414" t="inlineStr">
        <is>
          <t>194-7325779-0-65</t>
        </is>
      </c>
      <c r="AW414" t="inlineStr">
        <is>
          <t>TRANSFERENCIA BANCARIA</t>
        </is>
      </c>
      <c r="AY414" t="inlineStr">
        <is>
          <t>06163212</t>
        </is>
      </c>
      <c r="AZ414" t="inlineStr">
        <is>
          <t>No</t>
        </is>
      </c>
      <c r="BA414" t="inlineStr">
        <is>
          <t>AHORROS PERSONALES</t>
        </is>
      </c>
      <c r="BB414" t="n">
        <v>4</v>
      </c>
      <c r="BC414" t="inlineStr">
        <is>
          <t>CANCELADO</t>
        </is>
      </c>
      <c r="BN414" t="inlineStr">
        <is>
          <t>Si</t>
        </is>
      </c>
      <c r="BO414" s="117" t="n">
        <v>46141.39236111111</v>
      </c>
      <c r="BP414" t="inlineStr">
        <is>
          <t>Carla Michue M</t>
        </is>
      </c>
      <c r="BR414" t="n">
        <v>49</v>
      </c>
      <c r="BS414" t="inlineStr">
        <is>
          <t>29/08/2026 15:25</t>
        </is>
      </c>
      <c r="BT414" t="n">
        <v>0</v>
      </c>
      <c r="BX414" t="inlineStr">
        <is>
          <t>Cobranzas_2026.csv</t>
        </is>
      </c>
      <c r="BY414" t="n">
        <v>2026</v>
      </c>
      <c r="BZ414" t="inlineStr">
        <is>
          <t>01/01/2024</t>
        </is>
      </c>
      <c r="CA414" t="inlineStr">
        <is>
          <t>30/09/2031</t>
        </is>
      </c>
    </row>
    <row r="415">
      <c r="A415" t="inlineStr">
        <is>
          <t>RESIDENCIAL BEYOND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26 - D 17</t>
        </is>
      </c>
      <c r="G415" s="39" t="n">
        <v>51000</v>
      </c>
      <c r="H415" s="39" t="n">
        <v>51000</v>
      </c>
      <c r="M415" s="39" t="n"/>
      <c r="N415" s="39" t="n"/>
      <c r="S415" s="39" t="n"/>
      <c r="T415" s="39" t="n"/>
      <c r="Y415" s="39" t="n"/>
      <c r="Z415" s="39" t="n"/>
      <c r="AA415" t="inlineStr">
        <is>
          <t>Elizabeth Bertha Fierro Cancho</t>
        </is>
      </c>
      <c r="AB415" t="inlineStr">
        <is>
          <t>10599276</t>
        </is>
      </c>
      <c r="AC415" t="inlineStr">
        <is>
          <t>Calle uno Numero 270 Edif D Dpto. 301 – Urb. Los Parques del El Agustino</t>
        </is>
      </c>
      <c r="AD415" t="n">
        <v>0</v>
      </c>
      <c r="AE415" t="inlineStr">
        <is>
          <t>966794666</t>
        </is>
      </c>
      <c r="AF415" t="inlineStr">
        <is>
          <t>esdrasjoelpatillarojas@hotmail.com</t>
        </is>
      </c>
      <c r="AG415" t="inlineStr">
        <is>
          <t>LIMA</t>
        </is>
      </c>
      <c r="AH415" t="inlineStr">
        <is>
          <t>EL AGUSTINO</t>
        </is>
      </c>
      <c r="AI415" s="116" t="n">
        <v>46233</v>
      </c>
      <c r="AJ415" s="116" t="n">
        <v>46230</v>
      </c>
      <c r="AK415" t="inlineStr">
        <is>
          <t>SALDO FINANCIAR</t>
        </is>
      </c>
      <c r="AL415" t="n">
        <v>2</v>
      </c>
      <c r="AM415" t="n">
        <v>3000</v>
      </c>
      <c r="AN415" t="n">
        <v>0</v>
      </c>
      <c r="AO415" t="n">
        <v>0</v>
      </c>
      <c r="AP415" s="39" t="n">
        <v>3000</v>
      </c>
      <c r="AQ415" s="39" t="n">
        <v>3000</v>
      </c>
      <c r="AR415" s="39" t="n">
        <v>0</v>
      </c>
      <c r="AS415" t="n">
        <v>0</v>
      </c>
      <c r="AT415" t="inlineStr">
        <is>
          <t>Crédito Directo</t>
        </is>
      </c>
      <c r="AU415" t="inlineStr">
        <is>
          <t>Banco de Credito del Perú</t>
        </is>
      </c>
      <c r="AV415" t="inlineStr">
        <is>
          <t>194-7325779-0-65</t>
        </is>
      </c>
      <c r="AW415" t="inlineStr">
        <is>
          <t>DEPOSITO EN CUENTA</t>
        </is>
      </c>
      <c r="AY415" t="inlineStr">
        <is>
          <t>00521361</t>
        </is>
      </c>
      <c r="AZ415" t="inlineStr">
        <is>
          <t>No</t>
        </is>
      </c>
      <c r="BA415" t="inlineStr">
        <is>
          <t>AHORROS PERSONALES</t>
        </is>
      </c>
      <c r="BB415" t="n">
        <v>4</v>
      </c>
      <c r="BC415" t="inlineStr">
        <is>
          <t>CANCELADO</t>
        </is>
      </c>
      <c r="BN415" t="inlineStr">
        <is>
          <t>Si</t>
        </is>
      </c>
      <c r="BO415" s="117" t="n">
        <v>46141.39236111111</v>
      </c>
      <c r="BP415" t="inlineStr">
        <is>
          <t>Carla Michue M</t>
        </is>
      </c>
      <c r="BR415" t="n">
        <v>49</v>
      </c>
      <c r="BS415" t="inlineStr">
        <is>
          <t>29/08/2026 15:31</t>
        </is>
      </c>
      <c r="BT415" t="n">
        <v>0</v>
      </c>
      <c r="BX415" t="inlineStr">
        <is>
          <t>Cobranzas_2026.csv</t>
        </is>
      </c>
      <c r="BY415" t="n">
        <v>2026</v>
      </c>
      <c r="BZ415" t="inlineStr">
        <is>
          <t>01/01/2024</t>
        </is>
      </c>
      <c r="CA415" t="inlineStr">
        <is>
          <t>30/09/2031</t>
        </is>
      </c>
    </row>
    <row r="416">
      <c r="A416" t="inlineStr">
        <is>
          <t>RESIDENCIAL BEYOND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26 - D 17</t>
        </is>
      </c>
      <c r="G416" s="39" t="n">
        <v>51000</v>
      </c>
      <c r="H416" s="39" t="n">
        <v>51000</v>
      </c>
      <c r="M416" s="39" t="n"/>
      <c r="N416" s="39" t="n"/>
      <c r="S416" s="39" t="n"/>
      <c r="T416" s="39" t="n"/>
      <c r="Y416" s="39" t="n"/>
      <c r="Z416" s="39" t="n"/>
      <c r="AA416" t="inlineStr">
        <is>
          <t>Elizabeth Bertha Fierro Cancho</t>
        </is>
      </c>
      <c r="AB416" t="inlineStr">
        <is>
          <t>10599276</t>
        </is>
      </c>
      <c r="AC416" t="inlineStr">
        <is>
          <t>Calle uno Numero 270 Edif D Dpto. 301 – Urb. Los Parques del El Agustino</t>
        </is>
      </c>
      <c r="AD416" t="n">
        <v>0</v>
      </c>
      <c r="AE416" t="inlineStr">
        <is>
          <t>966794666</t>
        </is>
      </c>
      <c r="AF416" t="inlineStr">
        <is>
          <t>esdrasjoelpatillarojas@hotmail.com</t>
        </is>
      </c>
      <c r="AG416" t="inlineStr">
        <is>
          <t>LIMA</t>
        </is>
      </c>
      <c r="AH416" t="inlineStr">
        <is>
          <t>EL AGUSTINO</t>
        </is>
      </c>
      <c r="AI416" s="116" t="n">
        <v>46264</v>
      </c>
      <c r="AJ416" s="116" t="n">
        <v>46263</v>
      </c>
      <c r="AK416" t="inlineStr">
        <is>
          <t>SALDO FINANCIAR</t>
        </is>
      </c>
      <c r="AL416" t="n">
        <v>3</v>
      </c>
      <c r="AM416" t="n">
        <v>3000</v>
      </c>
      <c r="AN416" t="n">
        <v>0</v>
      </c>
      <c r="AO416" t="n">
        <v>0</v>
      </c>
      <c r="AP416" s="39" t="n">
        <v>3000</v>
      </c>
      <c r="AQ416" s="39" t="n">
        <v>3000</v>
      </c>
      <c r="AR416" s="39" t="n">
        <v>0</v>
      </c>
      <c r="AS416" t="n">
        <v>0</v>
      </c>
      <c r="AT416" t="inlineStr">
        <is>
          <t>Crédito Directo</t>
        </is>
      </c>
      <c r="AU416" t="inlineStr">
        <is>
          <t>Banco de Credito del Perú</t>
        </is>
      </c>
      <c r="AV416" t="inlineStr">
        <is>
          <t>194-7325779-0-65</t>
        </is>
      </c>
      <c r="AW416" t="inlineStr">
        <is>
          <t>DEPOSITO EN CUENTA</t>
        </is>
      </c>
      <c r="AY416" t="inlineStr">
        <is>
          <t>00777493</t>
        </is>
      </c>
      <c r="AZ416" t="inlineStr">
        <is>
          <t>No</t>
        </is>
      </c>
      <c r="BA416" t="inlineStr">
        <is>
          <t>AHORROS PERSONALES</t>
        </is>
      </c>
      <c r="BB416" t="n">
        <v>4</v>
      </c>
      <c r="BC416" t="inlineStr">
        <is>
          <t>CANCELADO</t>
        </is>
      </c>
      <c r="BN416" t="inlineStr">
        <is>
          <t>Si</t>
        </is>
      </c>
      <c r="BO416" s="117" t="n">
        <v>46141.39236111111</v>
      </c>
      <c r="BP416" t="inlineStr">
        <is>
          <t>Carla Michue M</t>
        </is>
      </c>
      <c r="BR416" t="n">
        <v>49</v>
      </c>
      <c r="BS416" t="inlineStr">
        <is>
          <t>01/09/2026 09:23</t>
        </is>
      </c>
      <c r="BT416" t="n">
        <v>0</v>
      </c>
      <c r="BX416" t="inlineStr">
        <is>
          <t>Cobranzas_2026.csv</t>
        </is>
      </c>
      <c r="BY416" t="n">
        <v>2026</v>
      </c>
      <c r="BZ416" t="inlineStr">
        <is>
          <t>01/01/2024</t>
        </is>
      </c>
      <c r="CA416" t="inlineStr">
        <is>
          <t>30/09/2031</t>
        </is>
      </c>
    </row>
    <row r="417">
      <c r="A417" t="inlineStr">
        <is>
          <t>RESIDENCIAL BEYOND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26 - D 17</t>
        </is>
      </c>
      <c r="G417" s="39" t="n">
        <v>51000</v>
      </c>
      <c r="H417" s="39" t="n">
        <v>51000</v>
      </c>
      <c r="M417" s="39" t="n"/>
      <c r="N417" s="39" t="n"/>
      <c r="S417" s="39" t="n"/>
      <c r="T417" s="39" t="n"/>
      <c r="Y417" s="39" t="n"/>
      <c r="Z417" s="39" t="n"/>
      <c r="AA417" t="inlineStr">
        <is>
          <t>Elizabeth Bertha Fierro Cancho</t>
        </is>
      </c>
      <c r="AB417" t="inlineStr">
        <is>
          <t>10599276</t>
        </is>
      </c>
      <c r="AC417" t="inlineStr">
        <is>
          <t>Calle uno Numero 270 Edif D Dpto. 301 – Urb. Los Parques del El Agustino</t>
        </is>
      </c>
      <c r="AD417" t="n">
        <v>0</v>
      </c>
      <c r="AE417" t="inlineStr">
        <is>
          <t>966794666</t>
        </is>
      </c>
      <c r="AF417" t="inlineStr">
        <is>
          <t>esdrasjoelpatillarojas@hotmail.com</t>
        </is>
      </c>
      <c r="AG417" t="inlineStr">
        <is>
          <t>LIMA</t>
        </is>
      </c>
      <c r="AH417" t="inlineStr">
        <is>
          <t>EL AGUSTINO</t>
        </is>
      </c>
      <c r="AI417" s="116" t="n">
        <v>46295</v>
      </c>
      <c r="AJ417" s="116" t="n"/>
      <c r="AK417" t="inlineStr">
        <is>
          <t>SALDO FINANCIAR</t>
        </is>
      </c>
      <c r="AL417" t="n">
        <v>4</v>
      </c>
      <c r="AM417" t="n">
        <v>3000</v>
      </c>
      <c r="AN417" t="n">
        <v>0</v>
      </c>
      <c r="AO417" t="n">
        <v>0</v>
      </c>
      <c r="AP417" s="39" t="n">
        <v>3000</v>
      </c>
      <c r="AQ417" s="39" t="n">
        <v>0</v>
      </c>
      <c r="AR417" s="39" t="n">
        <v>3000</v>
      </c>
      <c r="AT417" t="inlineStr">
        <is>
          <t>Crédito Directo</t>
        </is>
      </c>
      <c r="AZ417" t="inlineStr">
        <is>
          <t>No</t>
        </is>
      </c>
      <c r="BC417" t="inlineStr">
        <is>
          <t>VENCIDO</t>
        </is>
      </c>
      <c r="BN417" t="inlineStr">
        <is>
          <t>No</t>
        </is>
      </c>
      <c r="BO417" s="117" t="n">
        <v>46141.39236111111</v>
      </c>
      <c r="BP417" t="inlineStr">
        <is>
          <t>Carla Michue M</t>
        </is>
      </c>
      <c r="BR417" t="n">
        <v>49</v>
      </c>
      <c r="BT417" t="n">
        <v>0</v>
      </c>
      <c r="BX417" t="inlineStr">
        <is>
          <t>Cobranzas_2026.csv</t>
        </is>
      </c>
      <c r="BY417" t="n">
        <v>2026</v>
      </c>
      <c r="BZ417" t="inlineStr">
        <is>
          <t>01/01/2024</t>
        </is>
      </c>
      <c r="CA417" t="inlineStr">
        <is>
          <t>30/09/2031</t>
        </is>
      </c>
    </row>
    <row r="418">
      <c r="A418" t="inlineStr">
        <is>
          <t>RESIDENCIAL BEYOND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26 - D 17</t>
        </is>
      </c>
      <c r="G418" s="39" t="n">
        <v>51000</v>
      </c>
      <c r="H418" s="39" t="n">
        <v>51000</v>
      </c>
      <c r="M418" s="39" t="n"/>
      <c r="N418" s="39" t="n"/>
      <c r="S418" s="39" t="n"/>
      <c r="T418" s="39" t="n"/>
      <c r="Y418" s="39" t="n"/>
      <c r="Z418" s="39" t="n"/>
      <c r="AA418" t="inlineStr">
        <is>
          <t>Elizabeth Bertha Fierro Cancho</t>
        </is>
      </c>
      <c r="AB418" t="inlineStr">
        <is>
          <t>10599276</t>
        </is>
      </c>
      <c r="AC418" t="inlineStr">
        <is>
          <t>Calle uno Numero 270 Edif D Dpto. 301 – Urb. Los Parques del El Agustino</t>
        </is>
      </c>
      <c r="AD418" t="n">
        <v>0</v>
      </c>
      <c r="AE418" t="inlineStr">
        <is>
          <t>966794666</t>
        </is>
      </c>
      <c r="AF418" t="inlineStr">
        <is>
          <t>esdrasjoelpatillarojas@hotmail.com</t>
        </is>
      </c>
      <c r="AG418" t="inlineStr">
        <is>
          <t>LIMA</t>
        </is>
      </c>
      <c r="AH418" t="inlineStr">
        <is>
          <t>EL AGUSTINO</t>
        </is>
      </c>
      <c r="AI418" s="116" t="n">
        <v>46325</v>
      </c>
      <c r="AJ418" s="116" t="n"/>
      <c r="AK418" t="inlineStr">
        <is>
          <t>SALDO FINANCIAR</t>
        </is>
      </c>
      <c r="AL418" t="n">
        <v>5</v>
      </c>
      <c r="AM418" t="n">
        <v>3000</v>
      </c>
      <c r="AN418" t="n">
        <v>0</v>
      </c>
      <c r="AO418" t="n">
        <v>0</v>
      </c>
      <c r="AP418" s="39" t="n">
        <v>3000</v>
      </c>
      <c r="AQ418" s="39" t="n">
        <v>0</v>
      </c>
      <c r="AR418" s="39" t="n">
        <v>3000</v>
      </c>
      <c r="AT418" t="inlineStr">
        <is>
          <t>Crédito Directo</t>
        </is>
      </c>
      <c r="AZ418" t="inlineStr">
        <is>
          <t>No</t>
        </is>
      </c>
      <c r="BC418" t="inlineStr">
        <is>
          <t>PENDIENTE</t>
        </is>
      </c>
      <c r="BN418" t="inlineStr">
        <is>
          <t>No</t>
        </is>
      </c>
      <c r="BO418" s="117" t="n">
        <v>46141.39236111111</v>
      </c>
      <c r="BP418" t="inlineStr">
        <is>
          <t>Carla Michue M</t>
        </is>
      </c>
      <c r="BR418" t="n">
        <v>49</v>
      </c>
      <c r="BT418" t="n">
        <v>0</v>
      </c>
      <c r="BX418" t="inlineStr">
        <is>
          <t>Cobranzas_2026.csv</t>
        </is>
      </c>
      <c r="BY418" t="n">
        <v>2026</v>
      </c>
      <c r="BZ418" t="inlineStr">
        <is>
          <t>01/01/2024</t>
        </is>
      </c>
      <c r="CA418" t="inlineStr">
        <is>
          <t>30/09/2031</t>
        </is>
      </c>
    </row>
    <row r="419">
      <c r="A419" t="inlineStr">
        <is>
          <t>RESIDENCIAL BEYOND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26 - D 17</t>
        </is>
      </c>
      <c r="G419" s="39" t="n">
        <v>51000</v>
      </c>
      <c r="H419" s="39" t="n">
        <v>51000</v>
      </c>
      <c r="M419" s="39" t="n"/>
      <c r="N419" s="39" t="n"/>
      <c r="S419" s="39" t="n"/>
      <c r="T419" s="39" t="n"/>
      <c r="Y419" s="39" t="n"/>
      <c r="Z419" s="39" t="n"/>
      <c r="AA419" t="inlineStr">
        <is>
          <t>Elizabeth Bertha Fierro Cancho</t>
        </is>
      </c>
      <c r="AB419" t="inlineStr">
        <is>
          <t>10599276</t>
        </is>
      </c>
      <c r="AC419" t="inlineStr">
        <is>
          <t>Calle uno Numero 270 Edif D Dpto. 301 – Urb. Los Parques del El Agustino</t>
        </is>
      </c>
      <c r="AD419" t="n">
        <v>0</v>
      </c>
      <c r="AE419" t="inlineStr">
        <is>
          <t>966794666</t>
        </is>
      </c>
      <c r="AF419" t="inlineStr">
        <is>
          <t>esdrasjoelpatillarojas@hotmail.com</t>
        </is>
      </c>
      <c r="AG419" t="inlineStr">
        <is>
          <t>LIMA</t>
        </is>
      </c>
      <c r="AH419" t="inlineStr">
        <is>
          <t>EL AGUSTINO</t>
        </is>
      </c>
      <c r="AI419" s="116" t="n">
        <v>46356</v>
      </c>
      <c r="AJ419" s="116" t="n"/>
      <c r="AK419" t="inlineStr">
        <is>
          <t>SALDO FINANCIAR</t>
        </is>
      </c>
      <c r="AL419" t="n">
        <v>6</v>
      </c>
      <c r="AM419" t="n">
        <v>3000</v>
      </c>
      <c r="AN419" t="n">
        <v>0</v>
      </c>
      <c r="AO419" t="n">
        <v>0</v>
      </c>
      <c r="AP419" s="39" t="n">
        <v>3000</v>
      </c>
      <c r="AQ419" s="39" t="n">
        <v>0</v>
      </c>
      <c r="AR419" s="39" t="n">
        <v>3000</v>
      </c>
      <c r="AT419" t="inlineStr">
        <is>
          <t>Crédito Directo</t>
        </is>
      </c>
      <c r="AZ419" t="inlineStr">
        <is>
          <t>No</t>
        </is>
      </c>
      <c r="BC419" t="inlineStr">
        <is>
          <t>PENDIENTE</t>
        </is>
      </c>
      <c r="BN419" t="inlineStr">
        <is>
          <t>No</t>
        </is>
      </c>
      <c r="BO419" s="117" t="n">
        <v>46141.39236111111</v>
      </c>
      <c r="BP419" t="inlineStr">
        <is>
          <t>Carla Michue M</t>
        </is>
      </c>
      <c r="BR419" t="n">
        <v>49</v>
      </c>
      <c r="BT419" t="n">
        <v>0</v>
      </c>
      <c r="BX419" t="inlineStr">
        <is>
          <t>Cobranzas_2026.csv</t>
        </is>
      </c>
      <c r="BY419" t="n">
        <v>2026</v>
      </c>
      <c r="BZ419" t="inlineStr">
        <is>
          <t>01/01/2024</t>
        </is>
      </c>
      <c r="CA419" t="inlineStr">
        <is>
          <t>30/09/2031</t>
        </is>
      </c>
    </row>
    <row r="420">
      <c r="A420" t="inlineStr">
        <is>
          <t>RESIDENCIAL BEYOND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26 - D 17</t>
        </is>
      </c>
      <c r="G420" s="39" t="n">
        <v>51000</v>
      </c>
      <c r="H420" s="39" t="n">
        <v>51000</v>
      </c>
      <c r="M420" s="39" t="n"/>
      <c r="N420" s="39" t="n"/>
      <c r="S420" s="39" t="n"/>
      <c r="T420" s="39" t="n"/>
      <c r="Y420" s="39" t="n"/>
      <c r="Z420" s="39" t="n"/>
      <c r="AA420" t="inlineStr">
        <is>
          <t>Elizabeth Bertha Fierro Cancho</t>
        </is>
      </c>
      <c r="AB420" t="inlineStr">
        <is>
          <t>10599276</t>
        </is>
      </c>
      <c r="AC420" t="inlineStr">
        <is>
          <t>Calle uno Numero 270 Edif D Dpto. 301 – Urb. Los Parques del El Agustino</t>
        </is>
      </c>
      <c r="AD420" t="n">
        <v>0</v>
      </c>
      <c r="AE420" t="inlineStr">
        <is>
          <t>966794666</t>
        </is>
      </c>
      <c r="AF420" t="inlineStr">
        <is>
          <t>esdrasjoelpatillarojas@hotmail.com</t>
        </is>
      </c>
      <c r="AG420" t="inlineStr">
        <is>
          <t>LIMA</t>
        </is>
      </c>
      <c r="AH420" t="inlineStr">
        <is>
          <t>EL AGUSTINO</t>
        </is>
      </c>
      <c r="AI420" s="116" t="n">
        <v>46386</v>
      </c>
      <c r="AJ420" s="116" t="n"/>
      <c r="AK420" t="inlineStr">
        <is>
          <t>SALDO FINANCIAR</t>
        </is>
      </c>
      <c r="AL420" t="n">
        <v>7</v>
      </c>
      <c r="AM420" t="n">
        <v>3000</v>
      </c>
      <c r="AN420" t="n">
        <v>0</v>
      </c>
      <c r="AO420" t="n">
        <v>0</v>
      </c>
      <c r="AP420" s="39" t="n">
        <v>3000</v>
      </c>
      <c r="AQ420" s="39" t="n">
        <v>0</v>
      </c>
      <c r="AR420" s="39" t="n">
        <v>3000</v>
      </c>
      <c r="AT420" t="inlineStr">
        <is>
          <t>Crédito Directo</t>
        </is>
      </c>
      <c r="AZ420" t="inlineStr">
        <is>
          <t>No</t>
        </is>
      </c>
      <c r="BC420" t="inlineStr">
        <is>
          <t>PENDIENTE</t>
        </is>
      </c>
      <c r="BN420" t="inlineStr">
        <is>
          <t>No</t>
        </is>
      </c>
      <c r="BO420" s="117" t="n">
        <v>46141.39236111111</v>
      </c>
      <c r="BP420" t="inlineStr">
        <is>
          <t>Carla Michue M</t>
        </is>
      </c>
      <c r="BR420" t="n">
        <v>49</v>
      </c>
      <c r="BT420" t="n">
        <v>0</v>
      </c>
      <c r="BX420" t="inlineStr">
        <is>
          <t>Cobranzas_2026.csv</t>
        </is>
      </c>
      <c r="BY420" t="n">
        <v>2026</v>
      </c>
      <c r="BZ420" t="inlineStr">
        <is>
          <t>01/01/2024</t>
        </is>
      </c>
      <c r="CA420" t="inlineStr">
        <is>
          <t>30/09/2031</t>
        </is>
      </c>
    </row>
    <row r="421">
      <c r="A421" t="inlineStr">
        <is>
          <t>RESIDENCIAL BEYOND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Departamento</t>
        </is>
      </c>
      <c r="F421" t="inlineStr">
        <is>
          <t>1301</t>
        </is>
      </c>
      <c r="G421" s="39" t="n">
        <v>508500</v>
      </c>
      <c r="H421" s="39" t="n">
        <v>455500</v>
      </c>
      <c r="M421" s="39" t="n"/>
      <c r="N421" s="39" t="n"/>
      <c r="S421" s="39" t="n"/>
      <c r="T421" s="39" t="n"/>
      <c r="Y421" s="39" t="n"/>
      <c r="Z421" s="39" t="n"/>
      <c r="AA421" t="inlineStr">
        <is>
          <t>ELIZABETH MINDY DELGADO PEREYRA</t>
        </is>
      </c>
      <c r="AB421" t="inlineStr">
        <is>
          <t>44350777</t>
        </is>
      </c>
      <c r="AC421" t="inlineStr">
        <is>
          <t xml:space="preserve">Jr. Jorge Chavez 1219 </t>
        </is>
      </c>
      <c r="AD421" t="n">
        <v>0</v>
      </c>
      <c r="AE421" t="inlineStr">
        <is>
          <t>988599067</t>
        </is>
      </c>
      <c r="AF421" t="inlineStr">
        <is>
          <t>mindydelgado@hotmail.com</t>
        </is>
      </c>
      <c r="AG421" t="inlineStr">
        <is>
          <t>LIMA</t>
        </is>
      </c>
      <c r="AH421" t="inlineStr">
        <is>
          <t>BREÑA</t>
        </is>
      </c>
      <c r="AI421" s="116" t="n">
        <v>46066</v>
      </c>
      <c r="AJ421" s="116" t="n">
        <v>46066</v>
      </c>
      <c r="AK421" t="inlineStr">
        <is>
          <t>SEPARACION</t>
        </is>
      </c>
      <c r="AL421" t="n">
        <v>1</v>
      </c>
      <c r="AM421" t="n">
        <v>5000</v>
      </c>
      <c r="AN421" t="n">
        <v>0</v>
      </c>
      <c r="AO421" t="n">
        <v>0</v>
      </c>
      <c r="AP421" s="39" t="n">
        <v>5000</v>
      </c>
      <c r="AQ421" s="39" t="n">
        <v>5000</v>
      </c>
      <c r="AR421" s="39" t="n">
        <v>0</v>
      </c>
      <c r="AS421" t="n">
        <v>0</v>
      </c>
      <c r="AT421" t="inlineStr">
        <is>
          <t>Ahorro</t>
        </is>
      </c>
      <c r="AU421" t="inlineStr">
        <is>
          <t>Banco de Credito del Perú</t>
        </is>
      </c>
      <c r="AV421" t="inlineStr">
        <is>
          <t>194-7325779-0-65</t>
        </is>
      </c>
      <c r="AW421" t="inlineStr">
        <is>
          <t>POS VISA</t>
        </is>
      </c>
      <c r="AY421" t="inlineStr">
        <is>
          <t>095850</t>
        </is>
      </c>
      <c r="AZ421" t="inlineStr">
        <is>
          <t>No</t>
        </is>
      </c>
      <c r="BB421" t="n">
        <v>4</v>
      </c>
      <c r="BC421" t="inlineStr">
        <is>
          <t>CANCELADO</t>
        </is>
      </c>
      <c r="BN421" t="inlineStr">
        <is>
          <t>Si</t>
        </is>
      </c>
      <c r="BO421" s="117" t="n">
        <v>46101.43958333333</v>
      </c>
      <c r="BP421" t="inlineStr">
        <is>
          <t>Magaly Guevara Perez</t>
        </is>
      </c>
      <c r="BR421" t="n">
        <v>13</v>
      </c>
      <c r="BS421" t="inlineStr">
        <is>
          <t>23/05/2026 20:50</t>
        </is>
      </c>
      <c r="BT421" t="n">
        <v>0</v>
      </c>
      <c r="BX421" t="inlineStr">
        <is>
          <t>Cobranzas_2026.csv</t>
        </is>
      </c>
      <c r="BY421" t="n">
        <v>2026</v>
      </c>
      <c r="BZ421" t="inlineStr">
        <is>
          <t>01/01/2024</t>
        </is>
      </c>
      <c r="CA421" t="inlineStr">
        <is>
          <t>30/09/2031</t>
        </is>
      </c>
    </row>
    <row r="422">
      <c r="A422" t="inlineStr">
        <is>
          <t>RESIDENCIAL BEYOND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Departamento</t>
        </is>
      </c>
      <c r="F422" t="inlineStr">
        <is>
          <t>1301</t>
        </is>
      </c>
      <c r="G422" s="39" t="n">
        <v>508500</v>
      </c>
      <c r="H422" s="39" t="n">
        <v>455500</v>
      </c>
      <c r="M422" s="39" t="n"/>
      <c r="N422" s="39" t="n"/>
      <c r="S422" s="39" t="n"/>
      <c r="T422" s="39" t="n"/>
      <c r="Y422" s="39" t="n"/>
      <c r="Z422" s="39" t="n"/>
      <c r="AA422" t="inlineStr">
        <is>
          <t>ELIZABETH MINDY DELGADO PEREYRA</t>
        </is>
      </c>
      <c r="AB422" t="inlineStr">
        <is>
          <t>44350777</t>
        </is>
      </c>
      <c r="AC422" t="inlineStr">
        <is>
          <t xml:space="preserve">Jr. Jorge Chavez 1219 </t>
        </is>
      </c>
      <c r="AD422" t="n">
        <v>0</v>
      </c>
      <c r="AE422" t="inlineStr">
        <is>
          <t>988599067</t>
        </is>
      </c>
      <c r="AF422" t="inlineStr">
        <is>
          <t>mindydelgado@hotmail.com</t>
        </is>
      </c>
      <c r="AG422" t="inlineStr">
        <is>
          <t>LIMA</t>
        </is>
      </c>
      <c r="AH422" t="inlineStr">
        <is>
          <t>BREÑA</t>
        </is>
      </c>
      <c r="AI422" s="116" t="n">
        <v>46101</v>
      </c>
      <c r="AJ422" s="116" t="n">
        <v>46101</v>
      </c>
      <c r="AK422" t="inlineStr">
        <is>
          <t>CUOTA INICIAL</t>
        </is>
      </c>
      <c r="AL422" t="n">
        <v>1</v>
      </c>
      <c r="AM422" t="n">
        <v>8888</v>
      </c>
      <c r="AN422" t="n">
        <v>0</v>
      </c>
      <c r="AO422" t="n">
        <v>0</v>
      </c>
      <c r="AP422" s="39" t="n">
        <v>8888</v>
      </c>
      <c r="AQ422" s="39" t="n">
        <v>8888</v>
      </c>
      <c r="AR422" s="39" t="n">
        <v>0</v>
      </c>
      <c r="AS422" t="n">
        <v>0</v>
      </c>
      <c r="AT422" t="inlineStr">
        <is>
          <t>Ahorro</t>
        </is>
      </c>
      <c r="AU422" t="inlineStr">
        <is>
          <t>Banco de Credito del Perú</t>
        </is>
      </c>
      <c r="AV422" t="inlineStr">
        <is>
          <t>194-7325779-0-65</t>
        </is>
      </c>
      <c r="AW422" t="inlineStr">
        <is>
          <t>TRANSFERENCIA BANCARIA</t>
        </is>
      </c>
      <c r="AY422" t="inlineStr">
        <is>
          <t>0918237</t>
        </is>
      </c>
      <c r="AZ422" t="inlineStr">
        <is>
          <t>No</t>
        </is>
      </c>
      <c r="BB422" t="n">
        <v>4</v>
      </c>
      <c r="BC422" t="inlineStr">
        <is>
          <t>CANCELADO</t>
        </is>
      </c>
      <c r="BN422" t="inlineStr">
        <is>
          <t>Si</t>
        </is>
      </c>
      <c r="BO422" s="117" t="n">
        <v>46101.43958333333</v>
      </c>
      <c r="BP422" t="inlineStr">
        <is>
          <t>Magaly Guevara Perez</t>
        </is>
      </c>
      <c r="BR422" t="n">
        <v>13</v>
      </c>
      <c r="BS422" t="inlineStr">
        <is>
          <t>23/05/2026 20:52</t>
        </is>
      </c>
      <c r="BT422" t="n">
        <v>0</v>
      </c>
      <c r="BX422" t="inlineStr">
        <is>
          <t>Cobranzas_2026.csv</t>
        </is>
      </c>
      <c r="BY422" t="n">
        <v>2026</v>
      </c>
      <c r="BZ422" t="inlineStr">
        <is>
          <t>01/01/2024</t>
        </is>
      </c>
      <c r="CA422" t="inlineStr">
        <is>
          <t>30/09/2031</t>
        </is>
      </c>
    </row>
    <row r="423">
      <c r="A423" t="inlineStr">
        <is>
          <t>RESIDENCIAL BEYOND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Departamento</t>
        </is>
      </c>
      <c r="F423" t="inlineStr">
        <is>
          <t>1301</t>
        </is>
      </c>
      <c r="G423" s="39" t="n">
        <v>508500</v>
      </c>
      <c r="H423" s="39" t="n">
        <v>455500</v>
      </c>
      <c r="M423" s="39" t="n"/>
      <c r="N423" s="39" t="n"/>
      <c r="S423" s="39" t="n"/>
      <c r="T423" s="39" t="n"/>
      <c r="Y423" s="39" t="n"/>
      <c r="Z423" s="39" t="n"/>
      <c r="AA423" t="inlineStr">
        <is>
          <t>ELIZABETH MINDY DELGADO PEREYRA</t>
        </is>
      </c>
      <c r="AB423" t="inlineStr">
        <is>
          <t>44350777</t>
        </is>
      </c>
      <c r="AC423" t="inlineStr">
        <is>
          <t xml:space="preserve">Jr. Jorge Chavez 1219 </t>
        </is>
      </c>
      <c r="AD423" t="n">
        <v>0</v>
      </c>
      <c r="AE423" t="inlineStr">
        <is>
          <t>988599067</t>
        </is>
      </c>
      <c r="AF423" t="inlineStr">
        <is>
          <t>mindydelgado@hotmail.com</t>
        </is>
      </c>
      <c r="AG423" t="inlineStr">
        <is>
          <t>LIMA</t>
        </is>
      </c>
      <c r="AH423" t="inlineStr">
        <is>
          <t>BREÑA</t>
        </is>
      </c>
      <c r="AI423" s="116" t="n">
        <v>46142</v>
      </c>
      <c r="AJ423" s="116" t="n">
        <v>46139</v>
      </c>
      <c r="AK423" t="inlineStr">
        <is>
          <t>CUOTA INICIAL</t>
        </is>
      </c>
      <c r="AL423" t="n">
        <v>2</v>
      </c>
      <c r="AM423" t="n">
        <v>8888</v>
      </c>
      <c r="AN423" t="n">
        <v>0</v>
      </c>
      <c r="AO423" t="n">
        <v>0</v>
      </c>
      <c r="AP423" s="39" t="n">
        <v>8888</v>
      </c>
      <c r="AQ423" s="39" t="n">
        <v>8888</v>
      </c>
      <c r="AR423" s="39" t="n">
        <v>0</v>
      </c>
      <c r="AS423" t="n">
        <v>0</v>
      </c>
      <c r="AT423" t="inlineStr">
        <is>
          <t>Ahorro</t>
        </is>
      </c>
      <c r="AU423" t="inlineStr">
        <is>
          <t>Banco de Credito del Perú</t>
        </is>
      </c>
      <c r="AV423" t="inlineStr">
        <is>
          <t>194-7325779-0-65</t>
        </is>
      </c>
      <c r="AW423" t="inlineStr">
        <is>
          <t>TRANSFERENCIA BANCARIA</t>
        </is>
      </c>
      <c r="AY423" t="inlineStr">
        <is>
          <t>04691094</t>
        </is>
      </c>
      <c r="AZ423" t="inlineStr">
        <is>
          <t>No</t>
        </is>
      </c>
      <c r="BB423" t="n">
        <v>4</v>
      </c>
      <c r="BC423" t="inlineStr">
        <is>
          <t>CANCELADO</t>
        </is>
      </c>
      <c r="BN423" t="inlineStr">
        <is>
          <t>Si</t>
        </is>
      </c>
      <c r="BO423" s="117" t="n">
        <v>46101.43958333333</v>
      </c>
      <c r="BP423" t="inlineStr">
        <is>
          <t>Magaly Guevara Perez</t>
        </is>
      </c>
      <c r="BR423" t="n">
        <v>13</v>
      </c>
      <c r="BS423" t="inlineStr">
        <is>
          <t>23/05/2026 20:52</t>
        </is>
      </c>
      <c r="BT423" t="n">
        <v>0</v>
      </c>
      <c r="BX423" t="inlineStr">
        <is>
          <t>Cobranzas_2026.csv</t>
        </is>
      </c>
      <c r="BY423" t="n">
        <v>2026</v>
      </c>
      <c r="BZ423" t="inlineStr">
        <is>
          <t>01/01/2024</t>
        </is>
      </c>
      <c r="CA423" t="inlineStr">
        <is>
          <t>30/09/2031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1301</t>
        </is>
      </c>
      <c r="G424" s="39" t="n">
        <v>508500</v>
      </c>
      <c r="H424" s="39" t="n">
        <v>455500</v>
      </c>
      <c r="M424" s="39" t="n"/>
      <c r="N424" s="39" t="n"/>
      <c r="S424" s="39" t="n"/>
      <c r="T424" s="39" t="n"/>
      <c r="Y424" s="39" t="n"/>
      <c r="Z424" s="39" t="n"/>
      <c r="AA424" t="inlineStr">
        <is>
          <t>ELIZABETH MINDY DELGADO PEREYRA</t>
        </is>
      </c>
      <c r="AB424" t="inlineStr">
        <is>
          <t>44350777</t>
        </is>
      </c>
      <c r="AC424" t="inlineStr">
        <is>
          <t xml:space="preserve">Jr. Jorge Chavez 1219 </t>
        </is>
      </c>
      <c r="AD424" t="n">
        <v>0</v>
      </c>
      <c r="AE424" t="inlineStr">
        <is>
          <t>988599067</t>
        </is>
      </c>
      <c r="AF424" t="inlineStr">
        <is>
          <t>mindydelgado@hotmail.com</t>
        </is>
      </c>
      <c r="AG424" t="inlineStr">
        <is>
          <t>LIMA</t>
        </is>
      </c>
      <c r="AH424" t="inlineStr">
        <is>
          <t>BREÑA</t>
        </is>
      </c>
      <c r="AI424" s="116" t="n">
        <v>46295</v>
      </c>
      <c r="AJ424" s="116" t="n"/>
      <c r="AK424" t="inlineStr">
        <is>
          <t>AHORRO CASA</t>
        </is>
      </c>
      <c r="AL424" t="n">
        <v>3</v>
      </c>
      <c r="AM424" t="n">
        <v>22774</v>
      </c>
      <c r="AN424" t="n">
        <v>0</v>
      </c>
      <c r="AO424" t="n">
        <v>0</v>
      </c>
      <c r="AP424" s="39" t="n">
        <v>22774</v>
      </c>
      <c r="AQ424" s="39" t="n">
        <v>0</v>
      </c>
      <c r="AR424" s="39" t="n">
        <v>22774</v>
      </c>
      <c r="AT424" t="inlineStr">
        <is>
          <t>Ahorro</t>
        </is>
      </c>
      <c r="AZ424" t="inlineStr">
        <is>
          <t>No</t>
        </is>
      </c>
      <c r="BC424" t="inlineStr">
        <is>
          <t>VENCIDO</t>
        </is>
      </c>
      <c r="BN424" t="inlineStr">
        <is>
          <t>No</t>
        </is>
      </c>
      <c r="BO424" s="117" t="n">
        <v>46101.43958333333</v>
      </c>
      <c r="BP424" t="inlineStr">
        <is>
          <t>Magaly Guevara Perez</t>
        </is>
      </c>
      <c r="BR424" t="n">
        <v>13</v>
      </c>
      <c r="BT424" t="n">
        <v>0</v>
      </c>
      <c r="BX424" t="inlineStr">
        <is>
          <t>Cobranzas_2026.csv</t>
        </is>
      </c>
      <c r="BY424" t="n">
        <v>2026</v>
      </c>
      <c r="BZ424" t="inlineStr">
        <is>
          <t>01/01/2024</t>
        </is>
      </c>
      <c r="CA424" t="inlineStr">
        <is>
          <t>30/09/2031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1301</t>
        </is>
      </c>
      <c r="G425" s="39" t="n">
        <v>508500</v>
      </c>
      <c r="H425" s="39" t="n">
        <v>455500</v>
      </c>
      <c r="M425" s="39" t="n"/>
      <c r="N425" s="39" t="n"/>
      <c r="S425" s="39" t="n"/>
      <c r="T425" s="39" t="n"/>
      <c r="Y425" s="39" t="n"/>
      <c r="Z425" s="39" t="n"/>
      <c r="AA425" t="inlineStr">
        <is>
          <t>ELIZABETH MINDY DELGADO PEREYRA</t>
        </is>
      </c>
      <c r="AB425" t="inlineStr">
        <is>
          <t>44350777</t>
        </is>
      </c>
      <c r="AC425" t="inlineStr">
        <is>
          <t xml:space="preserve">Jr. Jorge Chavez 1219 </t>
        </is>
      </c>
      <c r="AD425" t="n">
        <v>0</v>
      </c>
      <c r="AE425" t="inlineStr">
        <is>
          <t>988599067</t>
        </is>
      </c>
      <c r="AF425" t="inlineStr">
        <is>
          <t>mindydelgado@hotmail.com</t>
        </is>
      </c>
      <c r="AG425" t="inlineStr">
        <is>
          <t>LIMA</t>
        </is>
      </c>
      <c r="AH425" t="inlineStr">
        <is>
          <t>BREÑA</t>
        </is>
      </c>
      <c r="AI425" s="116" t="n">
        <v>46356</v>
      </c>
      <c r="AJ425" s="116" t="n"/>
      <c r="AK425" t="inlineStr">
        <is>
          <t>SALDO FINANCIAR</t>
        </is>
      </c>
      <c r="AL425" t="n">
        <v>1</v>
      </c>
      <c r="AM425" t="n">
        <v>409950</v>
      </c>
      <c r="AN425" t="n">
        <v>0</v>
      </c>
      <c r="AO425" t="n">
        <v>0</v>
      </c>
      <c r="AP425" s="39" t="n">
        <v>409950</v>
      </c>
      <c r="AQ425" s="39" t="n">
        <v>0</v>
      </c>
      <c r="AR425" s="39" t="n">
        <v>409950</v>
      </c>
      <c r="AT425" t="inlineStr">
        <is>
          <t>Ahorro</t>
        </is>
      </c>
      <c r="AZ425" t="inlineStr">
        <is>
          <t>No</t>
        </is>
      </c>
      <c r="BC425" t="inlineStr">
        <is>
          <t>PENDIENTE</t>
        </is>
      </c>
      <c r="BN425" t="inlineStr">
        <is>
          <t>No</t>
        </is>
      </c>
      <c r="BO425" s="117" t="n">
        <v>46101.43958333333</v>
      </c>
      <c r="BP425" t="inlineStr">
        <is>
          <t>Magaly Guevara Perez</t>
        </is>
      </c>
      <c r="BR425" t="n">
        <v>13</v>
      </c>
      <c r="BT425" t="n">
        <v>0</v>
      </c>
      <c r="BX425" t="inlineStr">
        <is>
          <t>Cobranzas_2026.csv</t>
        </is>
      </c>
      <c r="BY425" t="n">
        <v>2026</v>
      </c>
      <c r="BZ425" t="inlineStr">
        <is>
          <t>01/01/2024</t>
        </is>
      </c>
      <c r="CA425" t="inlineStr">
        <is>
          <t>30/09/2031</t>
        </is>
      </c>
    </row>
    <row r="426">
      <c r="A426" t="inlineStr">
        <is>
          <t>RESIDENCIAL PRADA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Estacionamiento</t>
        </is>
      </c>
      <c r="F426" t="inlineStr">
        <is>
          <t>E 08</t>
        </is>
      </c>
      <c r="G426" s="39" t="n">
        <v>47500</v>
      </c>
      <c r="H426" s="39" t="n">
        <v>47500</v>
      </c>
      <c r="M426" s="39" t="n"/>
      <c r="N426" s="39" t="n"/>
      <c r="S426" s="39" t="n"/>
      <c r="T426" s="39" t="n"/>
      <c r="Y426" s="39" t="n"/>
      <c r="Z426" s="39" t="n"/>
      <c r="AA426" t="inlineStr">
        <is>
          <t>Elizabeth Rocio Urbina Ñañez</t>
        </is>
      </c>
      <c r="AB426" t="inlineStr">
        <is>
          <t>71404863</t>
        </is>
      </c>
      <c r="AC426" t="inlineStr">
        <is>
          <t>Av. Arequipa 2651</t>
        </is>
      </c>
      <c r="AD426" t="n">
        <v>0</v>
      </c>
      <c r="AE426" t="inlineStr">
        <is>
          <t>943921218</t>
        </is>
      </c>
      <c r="AF426" t="inlineStr">
        <is>
          <t>elizabethurbina9624@gmail.com</t>
        </is>
      </c>
      <c r="AG426" t="inlineStr">
        <is>
          <t>LIMA</t>
        </is>
      </c>
      <c r="AH426" t="inlineStr">
        <is>
          <t>LINCE</t>
        </is>
      </c>
      <c r="AI426" s="116" t="n">
        <v>46023</v>
      </c>
      <c r="AJ426" s="116" t="n">
        <v>46024</v>
      </c>
      <c r="AK426" t="inlineStr">
        <is>
          <t>SALDO FINANCIAR</t>
        </is>
      </c>
      <c r="AL426" t="n">
        <v>2</v>
      </c>
      <c r="AM426" t="n">
        <v>7000</v>
      </c>
      <c r="AN426" t="n">
        <v>0</v>
      </c>
      <c r="AO426" t="n">
        <v>0</v>
      </c>
      <c r="AP426" s="39" t="n">
        <v>7000</v>
      </c>
      <c r="AQ426" s="39" t="n">
        <v>7000</v>
      </c>
      <c r="AR426" s="39" t="n">
        <v>0</v>
      </c>
      <c r="AS426" t="n">
        <v>0</v>
      </c>
      <c r="AT426" t="inlineStr">
        <is>
          <t>Crédito Directo</t>
        </is>
      </c>
      <c r="AU426" t="inlineStr">
        <is>
          <t>Scotiabank Perú</t>
        </is>
      </c>
      <c r="AV426" t="inlineStr">
        <is>
          <t>000-2768484</t>
        </is>
      </c>
      <c r="AW426" t="inlineStr">
        <is>
          <t>TRANSFERENCIA BANCARIA</t>
        </is>
      </c>
      <c r="AY426" t="inlineStr">
        <is>
          <t>8047007</t>
        </is>
      </c>
      <c r="AZ426" t="inlineStr">
        <is>
          <t>No</t>
        </is>
      </c>
      <c r="BB426" t="n">
        <v>4</v>
      </c>
      <c r="BC426" t="inlineStr">
        <is>
          <t>CANCELADO</t>
        </is>
      </c>
      <c r="BN426" t="inlineStr">
        <is>
          <t>Si</t>
        </is>
      </c>
      <c r="BO426" s="117" t="n">
        <v>45903.68958333333</v>
      </c>
      <c r="BP426" t="inlineStr">
        <is>
          <t>Carla Michue M</t>
        </is>
      </c>
      <c r="BR426" t="n">
        <v>53</v>
      </c>
      <c r="BS426" t="inlineStr">
        <is>
          <t>03/07/2026 10:26</t>
        </is>
      </c>
      <c r="BT426" t="n">
        <v>0</v>
      </c>
      <c r="BX426" t="inlineStr">
        <is>
          <t>Cobranzas_2026.csv</t>
        </is>
      </c>
      <c r="BY426" t="n">
        <v>2026</v>
      </c>
      <c r="BZ426" t="inlineStr">
        <is>
          <t>01/01/2024</t>
        </is>
      </c>
      <c r="CA426" t="inlineStr">
        <is>
          <t>30/09/2031</t>
        </is>
      </c>
    </row>
    <row r="427">
      <c r="A427" t="inlineStr">
        <is>
          <t>RESIDENCIAL PRADA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Estacionamiento</t>
        </is>
      </c>
      <c r="F427" t="inlineStr">
        <is>
          <t>E 08</t>
        </is>
      </c>
      <c r="G427" s="39" t="n">
        <v>47500</v>
      </c>
      <c r="H427" s="39" t="n">
        <v>47500</v>
      </c>
      <c r="M427" s="39" t="n"/>
      <c r="N427" s="39" t="n"/>
      <c r="S427" s="39" t="n"/>
      <c r="T427" s="39" t="n"/>
      <c r="Y427" s="39" t="n"/>
      <c r="Z427" s="39" t="n"/>
      <c r="AA427" t="inlineStr">
        <is>
          <t>Elizabeth Rocio Urbina Ñañez</t>
        </is>
      </c>
      <c r="AB427" t="inlineStr">
        <is>
          <t>71404863</t>
        </is>
      </c>
      <c r="AC427" t="inlineStr">
        <is>
          <t>Av. Arequipa 2651</t>
        </is>
      </c>
      <c r="AD427" t="n">
        <v>0</v>
      </c>
      <c r="AE427" t="inlineStr">
        <is>
          <t>943921218</t>
        </is>
      </c>
      <c r="AF427" t="inlineStr">
        <is>
          <t>elizabethurbina9624@gmail.com</t>
        </is>
      </c>
      <c r="AG427" t="inlineStr">
        <is>
          <t>LIMA</t>
        </is>
      </c>
      <c r="AH427" t="inlineStr">
        <is>
          <t>LINCE</t>
        </is>
      </c>
      <c r="AI427" s="116" t="n">
        <v>46112</v>
      </c>
      <c r="AJ427" s="116" t="n">
        <v>46112</v>
      </c>
      <c r="AK427" t="inlineStr">
        <is>
          <t>SALDO FINANCIAR</t>
        </is>
      </c>
      <c r="AL427" t="n">
        <v>3</v>
      </c>
      <c r="AM427" t="n">
        <v>22500</v>
      </c>
      <c r="AN427" t="n">
        <v>0</v>
      </c>
      <c r="AO427" t="n">
        <v>0</v>
      </c>
      <c r="AP427" s="39" t="n">
        <v>22500</v>
      </c>
      <c r="AQ427" s="39" t="n">
        <v>22500</v>
      </c>
      <c r="AR427" s="39" t="n">
        <v>0</v>
      </c>
      <c r="AS427" t="n">
        <v>0</v>
      </c>
      <c r="AT427" t="inlineStr">
        <is>
          <t>Crédito Directo</t>
        </is>
      </c>
      <c r="AU427" t="inlineStr">
        <is>
          <t>Scotiabank Perú</t>
        </is>
      </c>
      <c r="AV427" t="inlineStr">
        <is>
          <t>000-2768484</t>
        </is>
      </c>
      <c r="AW427" t="inlineStr">
        <is>
          <t>TRANSFERENCIA BANCARIA</t>
        </is>
      </c>
      <c r="AY427" t="inlineStr">
        <is>
          <t>2798845</t>
        </is>
      </c>
      <c r="AZ427" t="inlineStr">
        <is>
          <t>No</t>
        </is>
      </c>
      <c r="BB427" t="n">
        <v>4</v>
      </c>
      <c r="BC427" t="inlineStr">
        <is>
          <t>CANCELADO</t>
        </is>
      </c>
      <c r="BN427" t="inlineStr">
        <is>
          <t>Si</t>
        </is>
      </c>
      <c r="BO427" s="117" t="n">
        <v>45903.68958333333</v>
      </c>
      <c r="BP427" t="inlineStr">
        <is>
          <t>Carla Michue M</t>
        </is>
      </c>
      <c r="BR427" t="n">
        <v>53</v>
      </c>
      <c r="BS427" t="inlineStr">
        <is>
          <t>03/07/2026 10:27</t>
        </is>
      </c>
      <c r="BT427" t="n">
        <v>0</v>
      </c>
      <c r="BX427" t="inlineStr">
        <is>
          <t>Cobranzas_2026.csv</t>
        </is>
      </c>
      <c r="BY427" t="n">
        <v>2026</v>
      </c>
      <c r="BZ427" t="inlineStr">
        <is>
          <t>01/01/2024</t>
        </is>
      </c>
      <c r="CA427" t="inlineStr">
        <is>
          <t>30/09/2031</t>
        </is>
      </c>
    </row>
    <row r="428">
      <c r="A428" t="inlineStr">
        <is>
          <t>RESIDENCIAL PRADA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Estacionamiento</t>
        </is>
      </c>
      <c r="F428" t="inlineStr">
        <is>
          <t>E 13 - D 10</t>
        </is>
      </c>
      <c r="G428" s="39" t="n">
        <v>57800</v>
      </c>
      <c r="H428" s="39" t="n">
        <v>57800</v>
      </c>
      <c r="M428" s="39" t="n"/>
      <c r="N428" s="39" t="n"/>
      <c r="S428" s="39" t="n"/>
      <c r="T428" s="39" t="n"/>
      <c r="Y428" s="39" t="n"/>
      <c r="Z428" s="39" t="n"/>
      <c r="AA428" t="inlineStr">
        <is>
          <t>Elmo Calatayud Chumbes</t>
        </is>
      </c>
      <c r="AB428" t="inlineStr">
        <is>
          <t>15580131</t>
        </is>
      </c>
      <c r="AC428" t="inlineStr">
        <is>
          <t>Avenida Tomas Valles 1530 Block 14 departamento 204</t>
        </is>
      </c>
      <c r="AD428" t="n">
        <v>955600933</v>
      </c>
      <c r="AE428" t="inlineStr">
        <is>
          <t>955600933</t>
        </is>
      </c>
      <c r="AF428" t="inlineStr">
        <is>
          <t>ec.calatayud@gmail.com</t>
        </is>
      </c>
      <c r="AG428" t="inlineStr">
        <is>
          <t>LIMA</t>
        </is>
      </c>
      <c r="AH428" t="inlineStr">
        <is>
          <t>LOS OLIVOS</t>
        </is>
      </c>
      <c r="AI428" s="116" t="n">
        <v>46083</v>
      </c>
      <c r="AJ428" s="116" t="n">
        <v>46083</v>
      </c>
      <c r="AK428" t="inlineStr">
        <is>
          <t>SALDO FINANCIAR</t>
        </is>
      </c>
      <c r="AL428" t="n">
        <v>1</v>
      </c>
      <c r="AM428" t="n">
        <v>10000</v>
      </c>
      <c r="AN428" t="n">
        <v>0</v>
      </c>
      <c r="AO428" t="n">
        <v>0</v>
      </c>
      <c r="AP428" s="39" t="n">
        <v>10000</v>
      </c>
      <c r="AQ428" s="39" t="n">
        <v>10000</v>
      </c>
      <c r="AR428" s="39" t="n">
        <v>0</v>
      </c>
      <c r="AS428" t="n">
        <v>0</v>
      </c>
      <c r="AT428" t="inlineStr">
        <is>
          <t>Crédito Directo</t>
        </is>
      </c>
      <c r="AU428" t="inlineStr">
        <is>
          <t>Scotiabank Perú</t>
        </is>
      </c>
      <c r="AV428" t="inlineStr">
        <is>
          <t>000-2768484</t>
        </is>
      </c>
      <c r="AW428" t="inlineStr">
        <is>
          <t>TRANSFERENCIA BANCARIA</t>
        </is>
      </c>
      <c r="AY428" t="inlineStr">
        <is>
          <t>7844655587205</t>
        </is>
      </c>
      <c r="AZ428" t="inlineStr">
        <is>
          <t>No</t>
        </is>
      </c>
      <c r="BB428" t="n">
        <v>4</v>
      </c>
      <c r="BC428" t="inlineStr">
        <is>
          <t>CANCELADO</t>
        </is>
      </c>
      <c r="BN428" t="inlineStr">
        <is>
          <t>Si</t>
        </is>
      </c>
      <c r="BO428" s="117" t="n">
        <v>46083.42569444444</v>
      </c>
      <c r="BP428" t="inlineStr">
        <is>
          <t>Magaly Guevara Perez</t>
        </is>
      </c>
      <c r="BR428" t="n">
        <v>61</v>
      </c>
      <c r="BS428" t="inlineStr">
        <is>
          <t>26/06/2026 15:30</t>
        </is>
      </c>
      <c r="BT428" t="n">
        <v>0</v>
      </c>
      <c r="BX428" t="inlineStr">
        <is>
          <t>Cobranzas_2026.csv</t>
        </is>
      </c>
      <c r="BY428" t="n">
        <v>2026</v>
      </c>
      <c r="BZ428" t="inlineStr">
        <is>
          <t>01/01/2024</t>
        </is>
      </c>
      <c r="CA428" t="inlineStr">
        <is>
          <t>30/09/2031</t>
        </is>
      </c>
    </row>
    <row r="429">
      <c r="A429" t="inlineStr">
        <is>
          <t>RESIDENCIAL PRADA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Estacionamiento</t>
        </is>
      </c>
      <c r="F429" t="inlineStr">
        <is>
          <t>E 13 - D 10</t>
        </is>
      </c>
      <c r="G429" s="39" t="n">
        <v>57800</v>
      </c>
      <c r="H429" s="39" t="n">
        <v>57800</v>
      </c>
      <c r="M429" s="39" t="n"/>
      <c r="N429" s="39" t="n"/>
      <c r="S429" s="39" t="n"/>
      <c r="T429" s="39" t="n"/>
      <c r="Y429" s="39" t="n"/>
      <c r="Z429" s="39" t="n"/>
      <c r="AA429" t="inlineStr">
        <is>
          <t>Elmo Calatayud Chumbes</t>
        </is>
      </c>
      <c r="AB429" t="inlineStr">
        <is>
          <t>15580131</t>
        </is>
      </c>
      <c r="AC429" t="inlineStr">
        <is>
          <t>Avenida Tomas Valles 1530 Block 14 departamento 204</t>
        </is>
      </c>
      <c r="AD429" t="n">
        <v>955600933</v>
      </c>
      <c r="AE429" t="inlineStr">
        <is>
          <t>955600933</t>
        </is>
      </c>
      <c r="AF429" t="inlineStr">
        <is>
          <t>ec.calatayud@gmail.com</t>
        </is>
      </c>
      <c r="AG429" t="inlineStr">
        <is>
          <t>LIMA</t>
        </is>
      </c>
      <c r="AH429" t="inlineStr">
        <is>
          <t>LOS OLIVOS</t>
        </is>
      </c>
      <c r="AI429" s="116" t="n">
        <v>46233</v>
      </c>
      <c r="AJ429" s="116" t="n"/>
      <c r="AK429" t="inlineStr">
        <is>
          <t>SALDO FINANCIAR</t>
        </is>
      </c>
      <c r="AL429" t="n">
        <v>2</v>
      </c>
      <c r="AM429" t="n">
        <v>18900</v>
      </c>
      <c r="AN429" t="n">
        <v>0</v>
      </c>
      <c r="AO429" t="n">
        <v>0</v>
      </c>
      <c r="AP429" s="39" t="n">
        <v>18900</v>
      </c>
      <c r="AQ429" s="39" t="n">
        <v>0</v>
      </c>
      <c r="AR429" s="39" t="n">
        <v>18900</v>
      </c>
      <c r="AT429" t="inlineStr">
        <is>
          <t>Crédito Directo</t>
        </is>
      </c>
      <c r="AZ429" t="inlineStr">
        <is>
          <t>No</t>
        </is>
      </c>
      <c r="BC429" t="inlineStr">
        <is>
          <t>VENCIDO</t>
        </is>
      </c>
      <c r="BN429" t="inlineStr">
        <is>
          <t>No</t>
        </is>
      </c>
      <c r="BO429" s="117" t="n">
        <v>46083.42569444444</v>
      </c>
      <c r="BP429" t="inlineStr">
        <is>
          <t>Magaly Guevara Perez</t>
        </is>
      </c>
      <c r="BR429" t="n">
        <v>61</v>
      </c>
      <c r="BT429" t="n">
        <v>0</v>
      </c>
      <c r="BX429" t="inlineStr">
        <is>
          <t>Cobranzas_2026.csv</t>
        </is>
      </c>
      <c r="BY429" t="n">
        <v>2026</v>
      </c>
      <c r="BZ429" t="inlineStr">
        <is>
          <t>01/01/2024</t>
        </is>
      </c>
      <c r="CA429" t="inlineStr">
        <is>
          <t>30/09/2031</t>
        </is>
      </c>
    </row>
    <row r="430">
      <c r="A430" t="inlineStr">
        <is>
          <t>RESIDENCIAL PRADA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Estacionamiento</t>
        </is>
      </c>
      <c r="F430" t="inlineStr">
        <is>
          <t>E 13 - D 10</t>
        </is>
      </c>
      <c r="G430" s="39" t="n">
        <v>57800</v>
      </c>
      <c r="H430" s="39" t="n">
        <v>57800</v>
      </c>
      <c r="M430" s="39" t="n"/>
      <c r="N430" s="39" t="n"/>
      <c r="S430" s="39" t="n"/>
      <c r="T430" s="39" t="n"/>
      <c r="Y430" s="39" t="n"/>
      <c r="Z430" s="39" t="n"/>
      <c r="AA430" t="inlineStr">
        <is>
          <t>Elmo Calatayud Chumbes</t>
        </is>
      </c>
      <c r="AB430" t="inlineStr">
        <is>
          <t>15580131</t>
        </is>
      </c>
      <c r="AC430" t="inlineStr">
        <is>
          <t>Avenida Tomas Valles 1530 Block 14 departamento 204</t>
        </is>
      </c>
      <c r="AD430" t="n">
        <v>955600933</v>
      </c>
      <c r="AE430" t="inlineStr">
        <is>
          <t>955600933</t>
        </is>
      </c>
      <c r="AF430" t="inlineStr">
        <is>
          <t>ec.calatayud@gmail.com</t>
        </is>
      </c>
      <c r="AG430" t="inlineStr">
        <is>
          <t>LIMA</t>
        </is>
      </c>
      <c r="AH430" t="inlineStr">
        <is>
          <t>LOS OLIVOS</t>
        </is>
      </c>
      <c r="AI430" s="116" t="n">
        <v>46295</v>
      </c>
      <c r="AJ430" s="116" t="n"/>
      <c r="AK430" t="inlineStr">
        <is>
          <t>SALDO FINANCIAR</t>
        </is>
      </c>
      <c r="AL430" t="n">
        <v>3</v>
      </c>
      <c r="AM430" t="n">
        <v>18900</v>
      </c>
      <c r="AN430" t="n">
        <v>0</v>
      </c>
      <c r="AO430" t="n">
        <v>0</v>
      </c>
      <c r="AP430" s="39" t="n">
        <v>18900</v>
      </c>
      <c r="AQ430" s="39" t="n">
        <v>0</v>
      </c>
      <c r="AR430" s="39" t="n">
        <v>18900</v>
      </c>
      <c r="AT430" t="inlineStr">
        <is>
          <t>Crédito Directo</t>
        </is>
      </c>
      <c r="AZ430" t="inlineStr">
        <is>
          <t>No</t>
        </is>
      </c>
      <c r="BC430" t="inlineStr">
        <is>
          <t>VENCIDO</t>
        </is>
      </c>
      <c r="BN430" t="inlineStr">
        <is>
          <t>No</t>
        </is>
      </c>
      <c r="BO430" s="117" t="n">
        <v>46083.42569444444</v>
      </c>
      <c r="BP430" t="inlineStr">
        <is>
          <t>Magaly Guevara Perez</t>
        </is>
      </c>
      <c r="BR430" t="n">
        <v>61</v>
      </c>
      <c r="BT430" t="n">
        <v>0</v>
      </c>
      <c r="BX430" t="inlineStr">
        <is>
          <t>Cobranzas_2026.csv</t>
        </is>
      </c>
      <c r="BY430" t="n">
        <v>2026</v>
      </c>
      <c r="BZ430" t="inlineStr">
        <is>
          <t>01/01/2024</t>
        </is>
      </c>
      <c r="CA430" t="inlineStr">
        <is>
          <t>30/09/2031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1406</t>
        </is>
      </c>
      <c r="G431" s="39" t="n">
        <v>333000</v>
      </c>
      <c r="H431" s="39" t="n">
        <v>285000</v>
      </c>
      <c r="M431" s="39" t="n"/>
      <c r="N431" s="39" t="n"/>
      <c r="S431" s="39" t="n"/>
      <c r="T431" s="39" t="n"/>
      <c r="Y431" s="39" t="n"/>
      <c r="Z431" s="39" t="n"/>
      <c r="AA431" t="inlineStr">
        <is>
          <t>Elsa Edelmira Aguirre Novoa</t>
        </is>
      </c>
      <c r="AB431" t="inlineStr">
        <is>
          <t>26632933</t>
        </is>
      </c>
      <c r="AC431" t="inlineStr">
        <is>
          <t xml:space="preserve"> Huascar 199 – Pacasmayo – LA Libertad - </t>
        </is>
      </c>
      <c r="AD431" t="n">
        <v>976531500</v>
      </c>
      <c r="AE431" t="inlineStr">
        <is>
          <t>976531500</t>
        </is>
      </c>
      <c r="AF431" t="inlineStr">
        <is>
          <t>elsaaguirrenovoa@yahoo.com</t>
        </is>
      </c>
      <c r="AG431" t="inlineStr">
        <is>
          <t>TRUJILLO</t>
        </is>
      </c>
      <c r="AH431" t="inlineStr">
        <is>
          <t>TRUJILLO</t>
        </is>
      </c>
      <c r="AI431" s="116" t="n">
        <v>46278</v>
      </c>
      <c r="AJ431" s="116" t="n">
        <v>46278</v>
      </c>
      <c r="AK431" t="inlineStr">
        <is>
          <t>SEPARACION</t>
        </is>
      </c>
      <c r="AL431" t="n">
        <v>1</v>
      </c>
      <c r="AM431" t="n">
        <v>3000</v>
      </c>
      <c r="AN431" t="n">
        <v>0</v>
      </c>
      <c r="AO431" t="n">
        <v>0</v>
      </c>
      <c r="AP431" s="39" t="n">
        <v>3000</v>
      </c>
      <c r="AQ431" s="39" t="n">
        <v>3000</v>
      </c>
      <c r="AR431" s="39" t="n">
        <v>0</v>
      </c>
      <c r="AS431" t="n">
        <v>0</v>
      </c>
      <c r="AT431" t="inlineStr">
        <is>
          <t>Crédito Directo</t>
        </is>
      </c>
      <c r="AU431" t="inlineStr">
        <is>
          <t>Banco de Credito del Perú</t>
        </is>
      </c>
      <c r="AV431" t="inlineStr">
        <is>
          <t>002-19400732577906596</t>
        </is>
      </c>
      <c r="AW431" t="inlineStr">
        <is>
          <t>TRANSFERENCIA BANCARIA</t>
        </is>
      </c>
      <c r="AY431" t="inlineStr">
        <is>
          <t>029726</t>
        </is>
      </c>
      <c r="AZ431" t="inlineStr">
        <is>
          <t>No</t>
        </is>
      </c>
      <c r="BB431" t="n">
        <v>4</v>
      </c>
      <c r="BC431" t="inlineStr">
        <is>
          <t>CANCELADO</t>
        </is>
      </c>
      <c r="BN431" t="inlineStr">
        <is>
          <t>Si</t>
        </is>
      </c>
      <c r="BO431" s="117" t="n">
        <v>46278.47361111111</v>
      </c>
      <c r="BP431" t="inlineStr">
        <is>
          <t>Carla Michue M</t>
        </is>
      </c>
      <c r="BR431" t="n">
        <v>62</v>
      </c>
      <c r="BS431" t="inlineStr">
        <is>
          <t>15/09/2026 11:22</t>
        </is>
      </c>
      <c r="BT431" t="n">
        <v>0</v>
      </c>
      <c r="BX431" t="inlineStr">
        <is>
          <t>Cobranzas_2026.csv</t>
        </is>
      </c>
      <c r="BY431" t="n">
        <v>2026</v>
      </c>
      <c r="BZ431" t="inlineStr">
        <is>
          <t>01/01/2024</t>
        </is>
      </c>
      <c r="CA431" t="inlineStr">
        <is>
          <t>30/09/2031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1406</t>
        </is>
      </c>
      <c r="G432" s="39" t="n">
        <v>333000</v>
      </c>
      <c r="H432" s="39" t="n">
        <v>285000</v>
      </c>
      <c r="M432" s="39" t="n"/>
      <c r="N432" s="39" t="n"/>
      <c r="S432" s="39" t="n"/>
      <c r="T432" s="39" t="n"/>
      <c r="Y432" s="39" t="n"/>
      <c r="Z432" s="39" t="n"/>
      <c r="AA432" t="inlineStr">
        <is>
          <t>Elsa Edelmira Aguirre Novoa</t>
        </is>
      </c>
      <c r="AB432" t="inlineStr">
        <is>
          <t>26632933</t>
        </is>
      </c>
      <c r="AC432" t="inlineStr">
        <is>
          <t xml:space="preserve"> Huascar 199 – Pacasmayo – LA Libertad - </t>
        </is>
      </c>
      <c r="AD432" t="n">
        <v>976531500</v>
      </c>
      <c r="AE432" t="inlineStr">
        <is>
          <t>976531500</t>
        </is>
      </c>
      <c r="AF432" t="inlineStr">
        <is>
          <t>elsaaguirrenovoa@yahoo.com</t>
        </is>
      </c>
      <c r="AG432" t="inlineStr">
        <is>
          <t>TRUJILLO</t>
        </is>
      </c>
      <c r="AH432" t="inlineStr">
        <is>
          <t>TRUJILLO</t>
        </is>
      </c>
      <c r="AI432" s="116" t="n">
        <v>46295</v>
      </c>
      <c r="AJ432" s="116" t="n"/>
      <c r="AK432" t="inlineStr">
        <is>
          <t>CUOTA INICIAL</t>
        </is>
      </c>
      <c r="AL432" t="n">
        <v>1</v>
      </c>
      <c r="AM432" t="n">
        <v>139500</v>
      </c>
      <c r="AN432" t="n">
        <v>0</v>
      </c>
      <c r="AO432" t="n">
        <v>0</v>
      </c>
      <c r="AP432" s="39" t="n">
        <v>139500</v>
      </c>
      <c r="AQ432" s="39" t="n">
        <v>0</v>
      </c>
      <c r="AR432" s="39" t="n">
        <v>139500</v>
      </c>
      <c r="AT432" t="inlineStr">
        <is>
          <t>Crédito Directo</t>
        </is>
      </c>
      <c r="AZ432" t="inlineStr">
        <is>
          <t>No</t>
        </is>
      </c>
      <c r="BC432" t="inlineStr">
        <is>
          <t>VENCIDO</t>
        </is>
      </c>
      <c r="BN432" t="inlineStr">
        <is>
          <t>No</t>
        </is>
      </c>
      <c r="BO432" s="117" t="n">
        <v>46278.47361111111</v>
      </c>
      <c r="BP432" t="inlineStr">
        <is>
          <t>Carla Michue M</t>
        </is>
      </c>
      <c r="BR432" t="n">
        <v>62</v>
      </c>
      <c r="BT432" t="n">
        <v>0</v>
      </c>
      <c r="BX432" t="inlineStr">
        <is>
          <t>Cobranzas_2026.csv</t>
        </is>
      </c>
      <c r="BY432" t="n">
        <v>2026</v>
      </c>
      <c r="BZ432" t="inlineStr">
        <is>
          <t>01/01/2024</t>
        </is>
      </c>
      <c r="CA432" t="inlineStr">
        <is>
          <t>30/09/2031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1406</t>
        </is>
      </c>
      <c r="G433" s="39" t="n">
        <v>333000</v>
      </c>
      <c r="H433" s="39" t="n">
        <v>285000</v>
      </c>
      <c r="M433" s="39" t="n"/>
      <c r="N433" s="39" t="n"/>
      <c r="S433" s="39" t="n"/>
      <c r="T433" s="39" t="n"/>
      <c r="Y433" s="39" t="n"/>
      <c r="Z433" s="39" t="n"/>
      <c r="AA433" t="inlineStr">
        <is>
          <t>Elsa Edelmira Aguirre Novoa</t>
        </is>
      </c>
      <c r="AB433" t="inlineStr">
        <is>
          <t>26632933</t>
        </is>
      </c>
      <c r="AC433" t="inlineStr">
        <is>
          <t xml:space="preserve"> Huascar 199 – Pacasmayo – LA Libertad - </t>
        </is>
      </c>
      <c r="AD433" t="n">
        <v>976531500</v>
      </c>
      <c r="AE433" t="inlineStr">
        <is>
          <t>976531500</t>
        </is>
      </c>
      <c r="AF433" t="inlineStr">
        <is>
          <t>elsaaguirrenovoa@yahoo.com</t>
        </is>
      </c>
      <c r="AG433" t="inlineStr">
        <is>
          <t>TRUJILLO</t>
        </is>
      </c>
      <c r="AH433" t="inlineStr">
        <is>
          <t>TRUJILLO</t>
        </is>
      </c>
      <c r="AI433" s="116" t="n">
        <v>46386</v>
      </c>
      <c r="AJ433" s="116" t="n"/>
      <c r="AK433" t="inlineStr">
        <is>
          <t>SALDO FINANCIAR</t>
        </is>
      </c>
      <c r="AL433" t="n">
        <v>1</v>
      </c>
      <c r="AM433" t="n">
        <v>47500</v>
      </c>
      <c r="AN433" t="n">
        <v>0</v>
      </c>
      <c r="AO433" t="n">
        <v>0</v>
      </c>
      <c r="AP433" s="39" t="n">
        <v>47500</v>
      </c>
      <c r="AQ433" s="39" t="n">
        <v>0</v>
      </c>
      <c r="AR433" s="39" t="n">
        <v>47500</v>
      </c>
      <c r="AT433" t="inlineStr">
        <is>
          <t>Crédito Directo</t>
        </is>
      </c>
      <c r="AZ433" t="inlineStr">
        <is>
          <t>No</t>
        </is>
      </c>
      <c r="BC433" t="inlineStr">
        <is>
          <t>PENDIENTE</t>
        </is>
      </c>
      <c r="BN433" t="inlineStr">
        <is>
          <t>No</t>
        </is>
      </c>
      <c r="BO433" s="117" t="n">
        <v>46278.47361111111</v>
      </c>
      <c r="BP433" t="inlineStr">
        <is>
          <t>Carla Michue M</t>
        </is>
      </c>
      <c r="BR433" t="n">
        <v>62</v>
      </c>
      <c r="BT433" t="n">
        <v>0</v>
      </c>
      <c r="BX433" t="inlineStr">
        <is>
          <t>Cobranzas_2026.csv</t>
        </is>
      </c>
      <c r="BY433" t="n">
        <v>2026</v>
      </c>
      <c r="BZ433" t="inlineStr">
        <is>
          <t>01/01/2024</t>
        </is>
      </c>
      <c r="CA433" t="inlineStr">
        <is>
          <t>30/09/2031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503</t>
        </is>
      </c>
      <c r="G434" s="39" t="n">
        <v>504700</v>
      </c>
      <c r="H434" s="39" t="n">
        <v>470000</v>
      </c>
      <c r="M434" s="39" t="n"/>
      <c r="N434" s="39" t="n"/>
      <c r="S434" s="39" t="n"/>
      <c r="T434" s="39" t="n"/>
      <c r="Y434" s="39" t="n"/>
      <c r="Z434" s="39" t="n"/>
      <c r="AA434" t="inlineStr">
        <is>
          <t>ERICK RAUL BEDOYA BACA</t>
        </is>
      </c>
      <c r="AB434" t="inlineStr">
        <is>
          <t>47551103</t>
        </is>
      </c>
      <c r="AC434" t="inlineStr">
        <is>
          <t>Urb. Virgen del Rosario I Etapa Mz D Lt 11</t>
        </is>
      </c>
      <c r="AD434" t="n">
        <v>0</v>
      </c>
      <c r="AE434" t="inlineStr">
        <is>
          <t>961968687</t>
        </is>
      </c>
      <c r="AF434" t="inlineStr">
        <is>
          <t>ebedoyaba@gmail.com</t>
        </is>
      </c>
      <c r="AG434" t="inlineStr">
        <is>
          <t>LIMA</t>
        </is>
      </c>
      <c r="AH434" t="inlineStr">
        <is>
          <t>SAN MARTIN DE PORRES</t>
        </is>
      </c>
      <c r="AI434" s="116" t="n">
        <v>46033</v>
      </c>
      <c r="AJ434" s="116" t="n">
        <v>46033</v>
      </c>
      <c r="AK434" t="inlineStr">
        <is>
          <t>CUOTA INICIAL</t>
        </is>
      </c>
      <c r="AL434" t="n">
        <v>1</v>
      </c>
      <c r="AM434" t="n">
        <v>3000</v>
      </c>
      <c r="AN434" t="n">
        <v>0</v>
      </c>
      <c r="AO434" t="n">
        <v>0</v>
      </c>
      <c r="AP434" s="39" t="n">
        <v>3000</v>
      </c>
      <c r="AQ434" s="39" t="n">
        <v>3000</v>
      </c>
      <c r="AR434" s="39" t="n">
        <v>0</v>
      </c>
      <c r="AS434" t="n">
        <v>0</v>
      </c>
      <c r="AT434" t="inlineStr">
        <is>
          <t>Crédito Hipotecario</t>
        </is>
      </c>
      <c r="AU434" t="inlineStr">
        <is>
          <t>Banco de Credito del Perú</t>
        </is>
      </c>
      <c r="AV434" t="inlineStr">
        <is>
          <t>194-7325779-0-65</t>
        </is>
      </c>
      <c r="AW434" t="inlineStr">
        <is>
          <t>TRANSFERENCIA BANCARIA</t>
        </is>
      </c>
      <c r="AY434" t="inlineStr">
        <is>
          <t>02283860</t>
        </is>
      </c>
      <c r="AZ434" t="inlineStr">
        <is>
          <t>No</t>
        </is>
      </c>
      <c r="BB434" t="n">
        <v>4</v>
      </c>
      <c r="BC434" t="inlineStr">
        <is>
          <t>CANCELADO</t>
        </is>
      </c>
      <c r="BN434" t="inlineStr">
        <is>
          <t>Si</t>
        </is>
      </c>
      <c r="BO434" s="117" t="n">
        <v>46049.39861111111</v>
      </c>
      <c r="BP434" t="inlineStr">
        <is>
          <t>Carla Michue M</t>
        </is>
      </c>
      <c r="BR434" t="n">
        <v>31</v>
      </c>
      <c r="BS434" t="inlineStr">
        <is>
          <t>01/09/2026 11:42</t>
        </is>
      </c>
      <c r="BT434" t="n">
        <v>0</v>
      </c>
      <c r="BX434" t="inlineStr">
        <is>
          <t>Cobranzas_2026.csv</t>
        </is>
      </c>
      <c r="BY434" t="n">
        <v>2026</v>
      </c>
      <c r="BZ434" t="inlineStr">
        <is>
          <t>01/01/2024</t>
        </is>
      </c>
      <c r="CA434" t="inlineStr">
        <is>
          <t>30/09/2031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503</t>
        </is>
      </c>
      <c r="G435" s="39" t="n">
        <v>504700</v>
      </c>
      <c r="H435" s="39" t="n">
        <v>470000</v>
      </c>
      <c r="M435" s="39" t="n"/>
      <c r="N435" s="39" t="n"/>
      <c r="S435" s="39" t="n"/>
      <c r="T435" s="39" t="n"/>
      <c r="Y435" s="39" t="n"/>
      <c r="Z435" s="39" t="n"/>
      <c r="AA435" t="inlineStr">
        <is>
          <t>ERICK RAUL BEDOYA BACA</t>
        </is>
      </c>
      <c r="AB435" t="inlineStr">
        <is>
          <t>47551103</t>
        </is>
      </c>
      <c r="AC435" t="inlineStr">
        <is>
          <t>Urb. Virgen del Rosario I Etapa Mz D Lt 11</t>
        </is>
      </c>
      <c r="AD435" t="n">
        <v>0</v>
      </c>
      <c r="AE435" t="inlineStr">
        <is>
          <t>961968687</t>
        </is>
      </c>
      <c r="AF435" t="inlineStr">
        <is>
          <t>ebedoyaba@gmail.com</t>
        </is>
      </c>
      <c r="AG435" t="inlineStr">
        <is>
          <t>LIMA</t>
        </is>
      </c>
      <c r="AH435" t="inlineStr">
        <is>
          <t>SAN MARTIN DE PORRES</t>
        </is>
      </c>
      <c r="AI435" s="116" t="n">
        <v>46049</v>
      </c>
      <c r="AJ435" s="116" t="n">
        <v>46049</v>
      </c>
      <c r="AK435" t="inlineStr">
        <is>
          <t>CUOTA INICIAL</t>
        </is>
      </c>
      <c r="AL435" t="n">
        <v>2</v>
      </c>
      <c r="AM435" t="n">
        <v>5500</v>
      </c>
      <c r="AN435" t="n">
        <v>0</v>
      </c>
      <c r="AO435" t="n">
        <v>0</v>
      </c>
      <c r="AP435" s="39" t="n">
        <v>5500</v>
      </c>
      <c r="AQ435" s="39" t="n">
        <v>5500</v>
      </c>
      <c r="AR435" s="39" t="n">
        <v>0</v>
      </c>
      <c r="AS435" t="n">
        <v>0</v>
      </c>
      <c r="AT435" t="inlineStr">
        <is>
          <t>Crédito Hipotecario</t>
        </is>
      </c>
      <c r="AU435" t="inlineStr">
        <is>
          <t>Banco de Credito del Perú</t>
        </is>
      </c>
      <c r="AV435" t="inlineStr">
        <is>
          <t>194-7325779-0-65</t>
        </is>
      </c>
      <c r="AW435" t="inlineStr">
        <is>
          <t>TRANSFERENCIA BANCARIA</t>
        </is>
      </c>
      <c r="AY435" t="inlineStr">
        <is>
          <t>00462579</t>
        </is>
      </c>
      <c r="AZ435" t="inlineStr">
        <is>
          <t>No</t>
        </is>
      </c>
      <c r="BB435" t="n">
        <v>4</v>
      </c>
      <c r="BC435" t="inlineStr">
        <is>
          <t>CANCELADO</t>
        </is>
      </c>
      <c r="BN435" t="inlineStr">
        <is>
          <t>Si</t>
        </is>
      </c>
      <c r="BO435" s="117" t="n">
        <v>46049.39861111111</v>
      </c>
      <c r="BP435" t="inlineStr">
        <is>
          <t>Carla Michue M</t>
        </is>
      </c>
      <c r="BR435" t="n">
        <v>31</v>
      </c>
      <c r="BS435" t="inlineStr">
        <is>
          <t>01/09/2026 11:45</t>
        </is>
      </c>
      <c r="BT435" t="n">
        <v>0</v>
      </c>
      <c r="BX435" t="inlineStr">
        <is>
          <t>Cobranzas_2026.csv</t>
        </is>
      </c>
      <c r="BY435" t="n">
        <v>2026</v>
      </c>
      <c r="BZ435" t="inlineStr">
        <is>
          <t>01/01/2024</t>
        </is>
      </c>
      <c r="CA435" t="inlineStr">
        <is>
          <t>30/09/2031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503</t>
        </is>
      </c>
      <c r="G436" s="39" t="n">
        <v>504700</v>
      </c>
      <c r="H436" s="39" t="n">
        <v>470000</v>
      </c>
      <c r="M436" s="39" t="n"/>
      <c r="N436" s="39" t="n"/>
      <c r="S436" s="39" t="n"/>
      <c r="T436" s="39" t="n"/>
      <c r="Y436" s="39" t="n"/>
      <c r="Z436" s="39" t="n"/>
      <c r="AA436" t="inlineStr">
        <is>
          <t>ERICK RAUL BEDOYA BACA</t>
        </is>
      </c>
      <c r="AB436" t="inlineStr">
        <is>
          <t>47551103</t>
        </is>
      </c>
      <c r="AC436" t="inlineStr">
        <is>
          <t>Urb. Virgen del Rosario I Etapa Mz D Lt 11</t>
        </is>
      </c>
      <c r="AD436" t="n">
        <v>0</v>
      </c>
      <c r="AE436" t="inlineStr">
        <is>
          <t>961968687</t>
        </is>
      </c>
      <c r="AF436" t="inlineStr">
        <is>
          <t>ebedoyaba@gmail.com</t>
        </is>
      </c>
      <c r="AG436" t="inlineStr">
        <is>
          <t>LIMA</t>
        </is>
      </c>
      <c r="AH436" t="inlineStr">
        <is>
          <t>SAN MARTIN DE PORRES</t>
        </is>
      </c>
      <c r="AI436" s="116" t="n">
        <v>46049</v>
      </c>
      <c r="AJ436" s="116" t="n">
        <v>46049</v>
      </c>
      <c r="AK436" t="inlineStr">
        <is>
          <t>CUOTA INICIAL</t>
        </is>
      </c>
      <c r="AL436" t="n">
        <v>3</v>
      </c>
      <c r="AM436" t="n">
        <v>30000</v>
      </c>
      <c r="AN436" t="n">
        <v>0</v>
      </c>
      <c r="AO436" t="n">
        <v>0</v>
      </c>
      <c r="AP436" s="39" t="n">
        <v>30000</v>
      </c>
      <c r="AQ436" s="39" t="n">
        <v>30000</v>
      </c>
      <c r="AR436" s="39" t="n">
        <v>0</v>
      </c>
      <c r="AS436" t="n">
        <v>0</v>
      </c>
      <c r="AT436" t="inlineStr">
        <is>
          <t>Crédito Hipotecario</t>
        </is>
      </c>
      <c r="AU436" t="inlineStr">
        <is>
          <t>Banco de Credito del Perú</t>
        </is>
      </c>
      <c r="AV436" t="inlineStr">
        <is>
          <t>194-7325779-0-65</t>
        </is>
      </c>
      <c r="AW436" t="inlineStr">
        <is>
          <t>TRANSFERENCIA BANCARIA</t>
        </is>
      </c>
      <c r="AY436" t="inlineStr">
        <is>
          <t>000076518</t>
        </is>
      </c>
      <c r="AZ436" t="inlineStr">
        <is>
          <t>No</t>
        </is>
      </c>
      <c r="BB436" t="n">
        <v>4</v>
      </c>
      <c r="BC436" t="inlineStr">
        <is>
          <t>CANCELADO</t>
        </is>
      </c>
      <c r="BN436" t="inlineStr">
        <is>
          <t>Si</t>
        </is>
      </c>
      <c r="BO436" s="117" t="n">
        <v>46049.39861111111</v>
      </c>
      <c r="BP436" t="inlineStr">
        <is>
          <t>Carla Michue M</t>
        </is>
      </c>
      <c r="BR436" t="n">
        <v>31</v>
      </c>
      <c r="BS436" t="inlineStr">
        <is>
          <t>01/09/2026 11:46</t>
        </is>
      </c>
      <c r="BT436" t="n">
        <v>0</v>
      </c>
      <c r="BX436" t="inlineStr">
        <is>
          <t>Cobranzas_2026.csv</t>
        </is>
      </c>
      <c r="BY436" t="n">
        <v>2026</v>
      </c>
      <c r="BZ436" t="inlineStr">
        <is>
          <t>01/01/2024</t>
        </is>
      </c>
      <c r="CA436" t="inlineStr">
        <is>
          <t>30/09/2031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503</t>
        </is>
      </c>
      <c r="G437" s="39" t="n">
        <v>504700</v>
      </c>
      <c r="H437" s="39" t="n">
        <v>470000</v>
      </c>
      <c r="M437" s="39" t="n"/>
      <c r="N437" s="39" t="n"/>
      <c r="S437" s="39" t="n"/>
      <c r="T437" s="39" t="n"/>
      <c r="Y437" s="39" t="n"/>
      <c r="Z437" s="39" t="n"/>
      <c r="AA437" t="inlineStr">
        <is>
          <t>ERICK RAUL BEDOYA BACA</t>
        </is>
      </c>
      <c r="AB437" t="inlineStr">
        <is>
          <t>47551103</t>
        </is>
      </c>
      <c r="AC437" t="inlineStr">
        <is>
          <t>Urb. Virgen del Rosario I Etapa Mz D Lt 11</t>
        </is>
      </c>
      <c r="AD437" t="n">
        <v>0</v>
      </c>
      <c r="AE437" t="inlineStr">
        <is>
          <t>961968687</t>
        </is>
      </c>
      <c r="AF437" t="inlineStr">
        <is>
          <t>ebedoyaba@gmail.com</t>
        </is>
      </c>
      <c r="AG437" t="inlineStr">
        <is>
          <t>LIMA</t>
        </is>
      </c>
      <c r="AH437" t="inlineStr">
        <is>
          <t>SAN MARTIN DE PORRES</t>
        </is>
      </c>
      <c r="AI437" s="116" t="n">
        <v>46050</v>
      </c>
      <c r="AJ437" s="116" t="n">
        <v>46050</v>
      </c>
      <c r="AK437" t="inlineStr">
        <is>
          <t>CUOTA INICIAL</t>
        </is>
      </c>
      <c r="AL437" t="n">
        <v>4</v>
      </c>
      <c r="AM437" t="n">
        <v>30000</v>
      </c>
      <c r="AN437" t="n">
        <v>0</v>
      </c>
      <c r="AO437" t="n">
        <v>0</v>
      </c>
      <c r="AP437" s="39" t="n">
        <v>30000</v>
      </c>
      <c r="AQ437" s="39" t="n">
        <v>30000</v>
      </c>
      <c r="AR437" s="39" t="n">
        <v>0</v>
      </c>
      <c r="AS437" t="n">
        <v>0</v>
      </c>
      <c r="AT437" t="inlineStr">
        <is>
          <t>Crédito Hipotecario</t>
        </is>
      </c>
      <c r="AU437" t="inlineStr">
        <is>
          <t>Banco de Credito del Perú</t>
        </is>
      </c>
      <c r="AV437" t="inlineStr">
        <is>
          <t>194-7325779-0-65</t>
        </is>
      </c>
      <c r="AW437" t="inlineStr">
        <is>
          <t>TRANSFERENCIA BANCARIA</t>
        </is>
      </c>
      <c r="AY437" t="inlineStr">
        <is>
          <t>000098161</t>
        </is>
      </c>
      <c r="AZ437" t="inlineStr">
        <is>
          <t>No</t>
        </is>
      </c>
      <c r="BB437" t="n">
        <v>4</v>
      </c>
      <c r="BC437" t="inlineStr">
        <is>
          <t>CANCELADO</t>
        </is>
      </c>
      <c r="BN437" t="inlineStr">
        <is>
          <t>Si</t>
        </is>
      </c>
      <c r="BO437" s="117" t="n">
        <v>46049.39861111111</v>
      </c>
      <c r="BP437" t="inlineStr">
        <is>
          <t>Carla Michue M</t>
        </is>
      </c>
      <c r="BR437" t="n">
        <v>31</v>
      </c>
      <c r="BS437" t="inlineStr">
        <is>
          <t>01/09/2026 11:46</t>
        </is>
      </c>
      <c r="BT437" t="n">
        <v>0</v>
      </c>
      <c r="BX437" t="inlineStr">
        <is>
          <t>Cobranzas_2026.csv</t>
        </is>
      </c>
      <c r="BY437" t="n">
        <v>2026</v>
      </c>
      <c r="BZ437" t="inlineStr">
        <is>
          <t>01/01/2024</t>
        </is>
      </c>
      <c r="CA437" t="inlineStr">
        <is>
          <t>30/09/2031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503</t>
        </is>
      </c>
      <c r="G438" s="39" t="n">
        <v>504700</v>
      </c>
      <c r="H438" s="39" t="n">
        <v>470000</v>
      </c>
      <c r="M438" s="39" t="n"/>
      <c r="N438" s="39" t="n"/>
      <c r="S438" s="39" t="n"/>
      <c r="T438" s="39" t="n"/>
      <c r="Y438" s="39" t="n"/>
      <c r="Z438" s="39" t="n"/>
      <c r="AA438" t="inlineStr">
        <is>
          <t>ERICK RAUL BEDOYA BACA</t>
        </is>
      </c>
      <c r="AB438" t="inlineStr">
        <is>
          <t>47551103</t>
        </is>
      </c>
      <c r="AC438" t="inlineStr">
        <is>
          <t>Urb. Virgen del Rosario I Etapa Mz D Lt 11</t>
        </is>
      </c>
      <c r="AD438" t="n">
        <v>0</v>
      </c>
      <c r="AE438" t="inlineStr">
        <is>
          <t>961968687</t>
        </is>
      </c>
      <c r="AF438" t="inlineStr">
        <is>
          <t>ebedoyaba@gmail.com</t>
        </is>
      </c>
      <c r="AG438" t="inlineStr">
        <is>
          <t>LIMA</t>
        </is>
      </c>
      <c r="AH438" t="inlineStr">
        <is>
          <t>SAN MARTIN DE PORRES</t>
        </is>
      </c>
      <c r="AI438" s="116" t="n">
        <v>46051</v>
      </c>
      <c r="AJ438" s="116" t="n">
        <v>46051</v>
      </c>
      <c r="AK438" t="inlineStr">
        <is>
          <t>CUOTA INICIAL</t>
        </is>
      </c>
      <c r="AL438" t="n">
        <v>5</v>
      </c>
      <c r="AM438" t="n">
        <v>2000</v>
      </c>
      <c r="AN438" t="n">
        <v>0</v>
      </c>
      <c r="AO438" t="n">
        <v>0</v>
      </c>
      <c r="AP438" s="39" t="n">
        <v>2000</v>
      </c>
      <c r="AQ438" s="39" t="n">
        <v>2000</v>
      </c>
      <c r="AR438" s="39" t="n">
        <v>0</v>
      </c>
      <c r="AS438" t="n">
        <v>0</v>
      </c>
      <c r="AT438" t="inlineStr">
        <is>
          <t>Crédito Hipotecario</t>
        </is>
      </c>
      <c r="AU438" t="inlineStr">
        <is>
          <t>Banco de Credito del Perú</t>
        </is>
      </c>
      <c r="AV438" t="inlineStr">
        <is>
          <t>194-7325779-0-65</t>
        </is>
      </c>
      <c r="AW438" t="inlineStr">
        <is>
          <t>TRANSFERENCIA BANCARIA</t>
        </is>
      </c>
      <c r="AZ438" t="inlineStr">
        <is>
          <t>No</t>
        </is>
      </c>
      <c r="BB438" t="n">
        <v>4</v>
      </c>
      <c r="BC438" t="inlineStr">
        <is>
          <t>CANCELADO</t>
        </is>
      </c>
      <c r="BN438" t="inlineStr">
        <is>
          <t>Si</t>
        </is>
      </c>
      <c r="BO438" s="117" t="n">
        <v>46049.39861111111</v>
      </c>
      <c r="BP438" t="inlineStr">
        <is>
          <t>Carla Michue M</t>
        </is>
      </c>
      <c r="BR438" t="n">
        <v>31</v>
      </c>
      <c r="BS438" t="inlineStr">
        <is>
          <t>01/09/2026 11:47</t>
        </is>
      </c>
      <c r="BT438" t="n">
        <v>0</v>
      </c>
      <c r="BX438" t="inlineStr">
        <is>
          <t>Cobranzas_2026.csv</t>
        </is>
      </c>
      <c r="BY438" t="n">
        <v>2026</v>
      </c>
      <c r="BZ438" t="inlineStr">
        <is>
          <t>01/01/2024</t>
        </is>
      </c>
      <c r="CA438" t="inlineStr">
        <is>
          <t>30/09/2031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503</t>
        </is>
      </c>
      <c r="G439" s="39" t="n">
        <v>504700</v>
      </c>
      <c r="H439" s="39" t="n">
        <v>470000</v>
      </c>
      <c r="M439" s="39" t="n"/>
      <c r="N439" s="39" t="n"/>
      <c r="S439" s="39" t="n"/>
      <c r="T439" s="39" t="n"/>
      <c r="Y439" s="39" t="n"/>
      <c r="Z439" s="39" t="n"/>
      <c r="AA439" t="inlineStr">
        <is>
          <t>ERICK RAUL BEDOYA BACA</t>
        </is>
      </c>
      <c r="AB439" t="inlineStr">
        <is>
          <t>47551103</t>
        </is>
      </c>
      <c r="AC439" t="inlineStr">
        <is>
          <t>Urb. Virgen del Rosario I Etapa Mz D Lt 11</t>
        </is>
      </c>
      <c r="AD439" t="n">
        <v>0</v>
      </c>
      <c r="AE439" t="inlineStr">
        <is>
          <t>961968687</t>
        </is>
      </c>
      <c r="AF439" t="inlineStr">
        <is>
          <t>ebedoyaba@gmail.com</t>
        </is>
      </c>
      <c r="AG439" t="inlineStr">
        <is>
          <t>LIMA</t>
        </is>
      </c>
      <c r="AH439" t="inlineStr">
        <is>
          <t>SAN MARTIN DE PORRES</t>
        </is>
      </c>
      <c r="AI439" s="116" t="n">
        <v>46112</v>
      </c>
      <c r="AJ439" s="116" t="n"/>
      <c r="AK439" t="inlineStr">
        <is>
          <t>SALDO FINANCIAR</t>
        </is>
      </c>
      <c r="AL439" t="n">
        <v>1</v>
      </c>
      <c r="AM439" t="n">
        <v>399500</v>
      </c>
      <c r="AN439" t="n">
        <v>0</v>
      </c>
      <c r="AO439" t="n">
        <v>0</v>
      </c>
      <c r="AP439" s="39" t="n">
        <v>399500</v>
      </c>
      <c r="AQ439" s="39" t="n">
        <v>0</v>
      </c>
      <c r="AR439" s="39" t="n">
        <v>399500</v>
      </c>
      <c r="AT439" t="inlineStr">
        <is>
          <t>Crédito Hipotecario</t>
        </is>
      </c>
      <c r="AZ439" t="inlineStr">
        <is>
          <t>No</t>
        </is>
      </c>
      <c r="BC439" t="inlineStr">
        <is>
          <t>VENCIDO</t>
        </is>
      </c>
      <c r="BN439" t="inlineStr">
        <is>
          <t>No</t>
        </is>
      </c>
      <c r="BO439" s="117" t="n">
        <v>46049.39861111111</v>
      </c>
      <c r="BP439" t="inlineStr">
        <is>
          <t>Carla Michue M</t>
        </is>
      </c>
      <c r="BR439" t="n">
        <v>31</v>
      </c>
      <c r="BT439" t="n">
        <v>0</v>
      </c>
      <c r="BX439" t="inlineStr">
        <is>
          <t>Cobranzas_2026.csv</t>
        </is>
      </c>
      <c r="BY439" t="n">
        <v>2026</v>
      </c>
      <c r="BZ439" t="inlineStr">
        <is>
          <t>01/01/2024</t>
        </is>
      </c>
      <c r="CA439" t="inlineStr">
        <is>
          <t>30/09/2031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Estacionamiento</t>
        </is>
      </c>
      <c r="F440" t="inlineStr">
        <is>
          <t>E 12 - D 10</t>
        </is>
      </c>
      <c r="G440" s="39" t="n">
        <v>51500</v>
      </c>
      <c r="H440" s="39" t="n">
        <v>51500</v>
      </c>
      <c r="M440" s="39" t="n"/>
      <c r="N440" s="39" t="n"/>
      <c r="S440" s="39" t="n"/>
      <c r="T440" s="39" t="n"/>
      <c r="Y440" s="39" t="n"/>
      <c r="Z440" s="39" t="n"/>
      <c r="AA440" t="inlineStr">
        <is>
          <t>ERICK RAUL BEDOYA BACA</t>
        </is>
      </c>
      <c r="AB440" t="inlineStr">
        <is>
          <t>47551103</t>
        </is>
      </c>
      <c r="AC440" t="inlineStr">
        <is>
          <t>Urb. Virgen del Rosario I Etapa Mz D Lt 11</t>
        </is>
      </c>
      <c r="AD440" t="n">
        <v>0</v>
      </c>
      <c r="AE440" t="inlineStr">
        <is>
          <t>961968687</t>
        </is>
      </c>
      <c r="AF440" t="inlineStr">
        <is>
          <t>ebedoyaba@gmail.com</t>
        </is>
      </c>
      <c r="AG440" t="inlineStr">
        <is>
          <t>LIMA</t>
        </is>
      </c>
      <c r="AH440" t="inlineStr">
        <is>
          <t>SAN MARTIN DE PORRES</t>
        </is>
      </c>
      <c r="AI440" s="116" t="n">
        <v>46059</v>
      </c>
      <c r="AJ440" s="116" t="n">
        <v>46059</v>
      </c>
      <c r="AK440" t="inlineStr">
        <is>
          <t>SEPARACION</t>
        </is>
      </c>
      <c r="AL440" t="n">
        <v>1</v>
      </c>
      <c r="AM440" t="n">
        <v>3000</v>
      </c>
      <c r="AN440" t="n">
        <v>0</v>
      </c>
      <c r="AO440" t="n">
        <v>0</v>
      </c>
      <c r="AP440" s="39" t="n">
        <v>3000</v>
      </c>
      <c r="AQ440" s="39" t="n">
        <v>3000</v>
      </c>
      <c r="AR440" s="39" t="n">
        <v>0</v>
      </c>
      <c r="AS440" t="n">
        <v>0</v>
      </c>
      <c r="AT440" t="inlineStr">
        <is>
          <t>Crédito Directo</t>
        </is>
      </c>
      <c r="AU440" t="inlineStr">
        <is>
          <t>Banco de Credito del Perú</t>
        </is>
      </c>
      <c r="AV440" t="inlineStr">
        <is>
          <t>194-7325779-0-65</t>
        </is>
      </c>
      <c r="AW440" t="inlineStr">
        <is>
          <t>TRANSFERENCIA BANCARIA</t>
        </is>
      </c>
      <c r="AY440" t="inlineStr">
        <is>
          <t>01039447</t>
        </is>
      </c>
      <c r="AZ440" t="inlineStr">
        <is>
          <t>No</t>
        </is>
      </c>
      <c r="BB440" t="n">
        <v>4</v>
      </c>
      <c r="BC440" t="inlineStr">
        <is>
          <t>CANCELADO</t>
        </is>
      </c>
      <c r="BN440" t="inlineStr">
        <is>
          <t>Si</t>
        </is>
      </c>
      <c r="BO440" s="117" t="n">
        <v>46059.48333333333</v>
      </c>
      <c r="BP440" t="inlineStr">
        <is>
          <t>Magaly Guevara Perez</t>
        </is>
      </c>
      <c r="BR440" t="n">
        <v>61</v>
      </c>
      <c r="BS440" t="inlineStr">
        <is>
          <t>01/09/2026 11:50</t>
        </is>
      </c>
      <c r="BT440" t="n">
        <v>0</v>
      </c>
      <c r="BX440" t="inlineStr">
        <is>
          <t>Cobranzas_2026.csv</t>
        </is>
      </c>
      <c r="BY440" t="n">
        <v>2026</v>
      </c>
      <c r="BZ440" t="inlineStr">
        <is>
          <t>01/01/2024</t>
        </is>
      </c>
      <c r="CA440" t="inlineStr">
        <is>
          <t>30/09/2031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Estacionamiento</t>
        </is>
      </c>
      <c r="F441" t="inlineStr">
        <is>
          <t>E 12 - D 10</t>
        </is>
      </c>
      <c r="G441" s="39" t="n">
        <v>51500</v>
      </c>
      <c r="H441" s="39" t="n">
        <v>51500</v>
      </c>
      <c r="M441" s="39" t="n"/>
      <c r="N441" s="39" t="n"/>
      <c r="S441" s="39" t="n"/>
      <c r="T441" s="39" t="n"/>
      <c r="Y441" s="39" t="n"/>
      <c r="Z441" s="39" t="n"/>
      <c r="AA441" t="inlineStr">
        <is>
          <t>ERICK RAUL BEDOYA BACA</t>
        </is>
      </c>
      <c r="AB441" t="inlineStr">
        <is>
          <t>47551103</t>
        </is>
      </c>
      <c r="AC441" t="inlineStr">
        <is>
          <t>Urb. Virgen del Rosario I Etapa Mz D Lt 11</t>
        </is>
      </c>
      <c r="AD441" t="n">
        <v>0</v>
      </c>
      <c r="AE441" t="inlineStr">
        <is>
          <t>961968687</t>
        </is>
      </c>
      <c r="AF441" t="inlineStr">
        <is>
          <t>ebedoyaba@gmail.com</t>
        </is>
      </c>
      <c r="AG441" t="inlineStr">
        <is>
          <t>LIMA</t>
        </is>
      </c>
      <c r="AH441" t="inlineStr">
        <is>
          <t>SAN MARTIN DE PORRES</t>
        </is>
      </c>
      <c r="AI441" s="116" t="n">
        <v>46059</v>
      </c>
      <c r="AJ441" s="116" t="n">
        <v>46059</v>
      </c>
      <c r="AK441" t="inlineStr">
        <is>
          <t>CUOTA INICIAL</t>
        </is>
      </c>
      <c r="AL441" t="n">
        <v>1</v>
      </c>
      <c r="AM441" t="n">
        <v>7000</v>
      </c>
      <c r="AN441" t="n">
        <v>0</v>
      </c>
      <c r="AO441" t="n">
        <v>0</v>
      </c>
      <c r="AP441" s="39" t="n">
        <v>7000</v>
      </c>
      <c r="AQ441" s="39" t="n">
        <v>7000</v>
      </c>
      <c r="AR441" s="39" t="n">
        <v>0</v>
      </c>
      <c r="AS441" t="n">
        <v>0</v>
      </c>
      <c r="AT441" t="inlineStr">
        <is>
          <t>Crédito Directo</t>
        </is>
      </c>
      <c r="AU441" t="inlineStr">
        <is>
          <t>Banco de Credito del Perú</t>
        </is>
      </c>
      <c r="AV441" t="inlineStr">
        <is>
          <t>194-7325779-0-65</t>
        </is>
      </c>
      <c r="AW441" t="inlineStr">
        <is>
          <t>TRANSFERENCIA BANCARIA</t>
        </is>
      </c>
      <c r="AY441" t="inlineStr">
        <is>
          <t>01039447</t>
        </is>
      </c>
      <c r="AZ441" t="inlineStr">
        <is>
          <t>No</t>
        </is>
      </c>
      <c r="BB441" t="n">
        <v>4</v>
      </c>
      <c r="BC441" t="inlineStr">
        <is>
          <t>CANCELADO</t>
        </is>
      </c>
      <c r="BN441" t="inlineStr">
        <is>
          <t>Si</t>
        </is>
      </c>
      <c r="BO441" s="117" t="n">
        <v>46059.48333333333</v>
      </c>
      <c r="BP441" t="inlineStr">
        <is>
          <t>Magaly Guevara Perez</t>
        </is>
      </c>
      <c r="BR441" t="n">
        <v>61</v>
      </c>
      <c r="BS441" t="inlineStr">
        <is>
          <t>01/09/2026 11:50</t>
        </is>
      </c>
      <c r="BT441" t="n">
        <v>0</v>
      </c>
      <c r="BX441" t="inlineStr">
        <is>
          <t>Cobranzas_2026.csv</t>
        </is>
      </c>
      <c r="BY441" t="n">
        <v>2026</v>
      </c>
      <c r="BZ441" t="inlineStr">
        <is>
          <t>01/01/2024</t>
        </is>
      </c>
      <c r="CA441" t="inlineStr">
        <is>
          <t>30/09/2031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Estacionamiento</t>
        </is>
      </c>
      <c r="F442" t="inlineStr">
        <is>
          <t>E 12 - D 10</t>
        </is>
      </c>
      <c r="G442" s="39" t="n">
        <v>51500</v>
      </c>
      <c r="H442" s="39" t="n">
        <v>51500</v>
      </c>
      <c r="M442" s="39" t="n"/>
      <c r="N442" s="39" t="n"/>
      <c r="S442" s="39" t="n"/>
      <c r="T442" s="39" t="n"/>
      <c r="Y442" s="39" t="n"/>
      <c r="Z442" s="39" t="n"/>
      <c r="AA442" t="inlineStr">
        <is>
          <t>ERICK RAUL BEDOYA BACA</t>
        </is>
      </c>
      <c r="AB442" t="inlineStr">
        <is>
          <t>47551103</t>
        </is>
      </c>
      <c r="AC442" t="inlineStr">
        <is>
          <t>Urb. Virgen del Rosario I Etapa Mz D Lt 11</t>
        </is>
      </c>
      <c r="AD442" t="n">
        <v>0</v>
      </c>
      <c r="AE442" t="inlineStr">
        <is>
          <t>961968687</t>
        </is>
      </c>
      <c r="AF442" t="inlineStr">
        <is>
          <t>ebedoyaba@gmail.com</t>
        </is>
      </c>
      <c r="AG442" t="inlineStr">
        <is>
          <t>LIMA</t>
        </is>
      </c>
      <c r="AH442" t="inlineStr">
        <is>
          <t>SAN MARTIN DE PORRES</t>
        </is>
      </c>
      <c r="AI442" s="116" t="n">
        <v>46234</v>
      </c>
      <c r="AJ442" s="116" t="n">
        <v>46234</v>
      </c>
      <c r="AK442" t="inlineStr">
        <is>
          <t>SALDO FINANCIAR</t>
        </is>
      </c>
      <c r="AL442" t="n">
        <v>1</v>
      </c>
      <c r="AM442" t="n">
        <v>10000</v>
      </c>
      <c r="AN442" t="n">
        <v>0</v>
      </c>
      <c r="AO442" t="n">
        <v>0</v>
      </c>
      <c r="AP442" s="39" t="n">
        <v>10000</v>
      </c>
      <c r="AQ442" s="39" t="n">
        <v>10000</v>
      </c>
      <c r="AR442" s="39" t="n">
        <v>0</v>
      </c>
      <c r="AS442" t="n">
        <v>0</v>
      </c>
      <c r="AT442" t="inlineStr">
        <is>
          <t>Crédito Directo</t>
        </is>
      </c>
      <c r="AU442" t="inlineStr">
        <is>
          <t>Banco de Credito del Perú</t>
        </is>
      </c>
      <c r="AV442" t="inlineStr">
        <is>
          <t>194-7325779-0-65</t>
        </is>
      </c>
      <c r="AW442" t="inlineStr">
        <is>
          <t>TRANSFERENCIA BANCARIA</t>
        </is>
      </c>
      <c r="AY442" t="inlineStr">
        <is>
          <t>00547264</t>
        </is>
      </c>
      <c r="AZ442" t="inlineStr">
        <is>
          <t>No</t>
        </is>
      </c>
      <c r="BB442" t="n">
        <v>4</v>
      </c>
      <c r="BC442" t="inlineStr">
        <is>
          <t>CANCELADO</t>
        </is>
      </c>
      <c r="BN442" t="inlineStr">
        <is>
          <t>Si</t>
        </is>
      </c>
      <c r="BO442" s="117" t="n">
        <v>46059.48333333333</v>
      </c>
      <c r="BP442" t="inlineStr">
        <is>
          <t>Magaly Guevara Perez</t>
        </is>
      </c>
      <c r="BR442" t="n">
        <v>61</v>
      </c>
      <c r="BS442" t="inlineStr">
        <is>
          <t>01/09/2026 11:51</t>
        </is>
      </c>
      <c r="BT442" t="n">
        <v>0</v>
      </c>
      <c r="BX442" t="inlineStr">
        <is>
          <t>Cobranzas_2026.csv</t>
        </is>
      </c>
      <c r="BY442" t="n">
        <v>2026</v>
      </c>
      <c r="BZ442" t="inlineStr">
        <is>
          <t>01/01/2024</t>
        </is>
      </c>
      <c r="CA442" t="inlineStr">
        <is>
          <t>30/09/2031</t>
        </is>
      </c>
    </row>
    <row r="443">
      <c r="A443" t="inlineStr">
        <is>
          <t>RESIDENCIAL BEYOND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Estacionamiento</t>
        </is>
      </c>
      <c r="F443" t="inlineStr">
        <is>
          <t>E 12 - D 10</t>
        </is>
      </c>
      <c r="G443" s="39" t="n">
        <v>51500</v>
      </c>
      <c r="H443" s="39" t="n">
        <v>51500</v>
      </c>
      <c r="M443" s="39" t="n"/>
      <c r="N443" s="39" t="n"/>
      <c r="S443" s="39" t="n"/>
      <c r="T443" s="39" t="n"/>
      <c r="Y443" s="39" t="n"/>
      <c r="Z443" s="39" t="n"/>
      <c r="AA443" t="inlineStr">
        <is>
          <t>ERICK RAUL BEDOYA BACA</t>
        </is>
      </c>
      <c r="AB443" t="inlineStr">
        <is>
          <t>47551103</t>
        </is>
      </c>
      <c r="AC443" t="inlineStr">
        <is>
          <t>Urb. Virgen del Rosario I Etapa Mz D Lt 11</t>
        </is>
      </c>
      <c r="AD443" t="n">
        <v>0</v>
      </c>
      <c r="AE443" t="inlineStr">
        <is>
          <t>961968687</t>
        </is>
      </c>
      <c r="AF443" t="inlineStr">
        <is>
          <t>ebedoyaba@gmail.com</t>
        </is>
      </c>
      <c r="AG443" t="inlineStr">
        <is>
          <t>LIMA</t>
        </is>
      </c>
      <c r="AH443" t="inlineStr">
        <is>
          <t>SAN MARTIN DE PORRES</t>
        </is>
      </c>
      <c r="AI443" s="116" t="n">
        <v>46387</v>
      </c>
      <c r="AJ443" s="116" t="n"/>
      <c r="AK443" t="inlineStr">
        <is>
          <t>SALDO FINANCIAR</t>
        </is>
      </c>
      <c r="AL443" t="n">
        <v>2</v>
      </c>
      <c r="AM443" t="n">
        <v>10500</v>
      </c>
      <c r="AN443" t="n">
        <v>0</v>
      </c>
      <c r="AO443" t="n">
        <v>0</v>
      </c>
      <c r="AP443" s="39" t="n">
        <v>10500</v>
      </c>
      <c r="AQ443" s="39" t="n">
        <v>0</v>
      </c>
      <c r="AR443" s="39" t="n">
        <v>10500</v>
      </c>
      <c r="AT443" t="inlineStr">
        <is>
          <t>Crédito Directo</t>
        </is>
      </c>
      <c r="AZ443" t="inlineStr">
        <is>
          <t>No</t>
        </is>
      </c>
      <c r="BC443" t="inlineStr">
        <is>
          <t>PENDIENTE</t>
        </is>
      </c>
      <c r="BN443" t="inlineStr">
        <is>
          <t>No</t>
        </is>
      </c>
      <c r="BO443" s="117" t="n">
        <v>46059.48333333333</v>
      </c>
      <c r="BP443" t="inlineStr">
        <is>
          <t>Magaly Guevara Perez</t>
        </is>
      </c>
      <c r="BR443" t="n">
        <v>61</v>
      </c>
      <c r="BT443" t="n">
        <v>0</v>
      </c>
      <c r="BX443" t="inlineStr">
        <is>
          <t>Cobranzas_2026.csv</t>
        </is>
      </c>
      <c r="BY443" t="n">
        <v>2026</v>
      </c>
      <c r="BZ443" t="inlineStr">
        <is>
          <t>01/01/2024</t>
        </is>
      </c>
      <c r="CA443" t="inlineStr">
        <is>
          <t>30/09/2031</t>
        </is>
      </c>
    </row>
    <row r="444">
      <c r="A444" t="inlineStr">
        <is>
          <t>RESIDENCIAL BEYOND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Departamento</t>
        </is>
      </c>
      <c r="F444" t="inlineStr">
        <is>
          <t>403</t>
        </is>
      </c>
      <c r="G444" s="39" t="n">
        <v>504700</v>
      </c>
      <c r="H444" s="39" t="n">
        <v>459100</v>
      </c>
      <c r="I444" t="inlineStr">
        <is>
          <t>Edificio</t>
        </is>
      </c>
      <c r="J444" t="inlineStr">
        <is>
          <t>A</t>
        </is>
      </c>
      <c r="K444" t="inlineStr">
        <is>
          <t>Estacionamiento</t>
        </is>
      </c>
      <c r="L444" t="inlineStr">
        <is>
          <t>E 06</t>
        </is>
      </c>
      <c r="M444" s="39" t="n">
        <v>45600</v>
      </c>
      <c r="N444" s="39" t="n">
        <v>45600</v>
      </c>
      <c r="S444" s="39" t="n"/>
      <c r="T444" s="39" t="n"/>
      <c r="Y444" s="39" t="n"/>
      <c r="Z444" s="39" t="n"/>
      <c r="AA444" t="inlineStr">
        <is>
          <t>Erla Liseth Carhuavilca Pérez</t>
        </is>
      </c>
      <c r="AB444" t="inlineStr">
        <is>
          <t>40642153</t>
        </is>
      </c>
      <c r="AC444" t="inlineStr">
        <is>
          <t>Av. Bolivia 848 Dpto. 504</t>
        </is>
      </c>
      <c r="AD444" t="n">
        <v>0</v>
      </c>
      <c r="AE444" t="inlineStr">
        <is>
          <t>999200216</t>
        </is>
      </c>
      <c r="AF444" t="inlineStr">
        <is>
          <t>grecialiseth26@gmail.com</t>
        </is>
      </c>
      <c r="AG444" t="inlineStr">
        <is>
          <t>LIMA</t>
        </is>
      </c>
      <c r="AH444" t="inlineStr">
        <is>
          <t>BREÑA</t>
        </is>
      </c>
      <c r="AI444" s="116" t="n">
        <v>46172</v>
      </c>
      <c r="AJ444" s="116" t="n"/>
      <c r="AK444" t="inlineStr">
        <is>
          <t>CUOTA INICIAL</t>
        </is>
      </c>
      <c r="AL444" t="n">
        <v>2</v>
      </c>
      <c r="AM444" t="n">
        <v>14000</v>
      </c>
      <c r="AN444" t="n">
        <v>0</v>
      </c>
      <c r="AO444" t="n">
        <v>0</v>
      </c>
      <c r="AP444" s="39" t="n">
        <v>14000</v>
      </c>
      <c r="AQ444" s="39" t="n">
        <v>0</v>
      </c>
      <c r="AR444" s="39" t="n">
        <v>14000</v>
      </c>
      <c r="AT444" t="inlineStr">
        <is>
          <t>Ahorro</t>
        </is>
      </c>
      <c r="AZ444" t="inlineStr">
        <is>
          <t>No</t>
        </is>
      </c>
      <c r="BC444" t="inlineStr">
        <is>
          <t>VENCIDO</t>
        </is>
      </c>
      <c r="BN444" t="inlineStr">
        <is>
          <t>No</t>
        </is>
      </c>
      <c r="BO444" s="117" t="n">
        <v>46017.42569444444</v>
      </c>
      <c r="BP444" t="inlineStr">
        <is>
          <t>Magaly Guevara Perez</t>
        </is>
      </c>
      <c r="BR444" t="n">
        <v>28</v>
      </c>
      <c r="BT444" t="n">
        <v>0</v>
      </c>
      <c r="BX444" t="inlineStr">
        <is>
          <t>Cobranzas_2026.csv</t>
        </is>
      </c>
      <c r="BY444" t="n">
        <v>2026</v>
      </c>
      <c r="BZ444" t="inlineStr">
        <is>
          <t>01/01/2024</t>
        </is>
      </c>
      <c r="CA444" t="inlineStr">
        <is>
          <t>30/09/2031</t>
        </is>
      </c>
    </row>
    <row r="445">
      <c r="A445" t="inlineStr">
        <is>
          <t>RESIDENCIAL BEYOND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Departamento</t>
        </is>
      </c>
      <c r="F445" t="inlineStr">
        <is>
          <t>403</t>
        </is>
      </c>
      <c r="G445" s="39" t="n">
        <v>504700</v>
      </c>
      <c r="H445" s="39" t="n">
        <v>459100</v>
      </c>
      <c r="I445" t="inlineStr">
        <is>
          <t>Edificio</t>
        </is>
      </c>
      <c r="J445" t="inlineStr">
        <is>
          <t>A</t>
        </is>
      </c>
      <c r="K445" t="inlineStr">
        <is>
          <t>Estacionamiento</t>
        </is>
      </c>
      <c r="L445" t="inlineStr">
        <is>
          <t>E 06</t>
        </is>
      </c>
      <c r="M445" s="39" t="n">
        <v>45600</v>
      </c>
      <c r="N445" s="39" t="n">
        <v>45600</v>
      </c>
      <c r="S445" s="39" t="n"/>
      <c r="T445" s="39" t="n"/>
      <c r="Y445" s="39" t="n"/>
      <c r="Z445" s="39" t="n"/>
      <c r="AA445" t="inlineStr">
        <is>
          <t>Erla Liseth Carhuavilca Pérez</t>
        </is>
      </c>
      <c r="AB445" t="inlineStr">
        <is>
          <t>40642153</t>
        </is>
      </c>
      <c r="AC445" t="inlineStr">
        <is>
          <t>Av. Bolivia 848 Dpto. 504</t>
        </is>
      </c>
      <c r="AD445" t="n">
        <v>0</v>
      </c>
      <c r="AE445" t="inlineStr">
        <is>
          <t>999200216</t>
        </is>
      </c>
      <c r="AF445" t="inlineStr">
        <is>
          <t>grecialiseth26@gmail.com</t>
        </is>
      </c>
      <c r="AG445" t="inlineStr">
        <is>
          <t>LIMA</t>
        </is>
      </c>
      <c r="AH445" t="inlineStr">
        <is>
          <t>BREÑA</t>
        </is>
      </c>
      <c r="AI445" s="116" t="n">
        <v>46172</v>
      </c>
      <c r="AJ445" s="116" t="n">
        <v>46168</v>
      </c>
      <c r="AK445" t="inlineStr">
        <is>
          <t>CUOTA INICIAL</t>
        </is>
      </c>
      <c r="AL445" t="n">
        <v>3</v>
      </c>
      <c r="AM445" t="n">
        <v>0</v>
      </c>
      <c r="AN445" t="n">
        <v>0</v>
      </c>
      <c r="AO445" t="n">
        <v>0</v>
      </c>
      <c r="AP445" s="39" t="n">
        <v>173000</v>
      </c>
      <c r="AQ445" s="39" t="n">
        <v>148000</v>
      </c>
      <c r="AR445" s="39" t="n">
        <v>0</v>
      </c>
      <c r="AS445" t="n">
        <v>0</v>
      </c>
      <c r="AT445" t="inlineStr">
        <is>
          <t>Ahorro</t>
        </is>
      </c>
      <c r="AU445" t="inlineStr">
        <is>
          <t>Banco de Credito del Perú</t>
        </is>
      </c>
      <c r="AV445" t="inlineStr">
        <is>
          <t>194-7325779-0-65</t>
        </is>
      </c>
      <c r="AW445" t="inlineStr">
        <is>
          <t>TRANSFERENCIA BANCARIA</t>
        </is>
      </c>
      <c r="AY445" t="inlineStr">
        <is>
          <t>005129</t>
        </is>
      </c>
      <c r="AZ445" t="inlineStr">
        <is>
          <t>No</t>
        </is>
      </c>
      <c r="BB445" t="n">
        <v>4</v>
      </c>
      <c r="BC445" t="inlineStr">
        <is>
          <t>CANCELADO</t>
        </is>
      </c>
      <c r="BN445" t="inlineStr">
        <is>
          <t>Si</t>
        </is>
      </c>
      <c r="BO445" s="117" t="n">
        <v>46017.42569444444</v>
      </c>
      <c r="BP445" t="inlineStr">
        <is>
          <t>Magaly Guevara Perez</t>
        </is>
      </c>
      <c r="BR445" t="n">
        <v>28</v>
      </c>
      <c r="BS445" t="inlineStr">
        <is>
          <t>13/08/2026 12:14</t>
        </is>
      </c>
      <c r="BT445" t="n">
        <v>0</v>
      </c>
      <c r="BX445" t="inlineStr">
        <is>
          <t>Cobranzas_2026.csv</t>
        </is>
      </c>
      <c r="BY445" t="n">
        <v>2026</v>
      </c>
      <c r="BZ445" t="inlineStr">
        <is>
          <t>01/01/2024</t>
        </is>
      </c>
      <c r="CA445" t="inlineStr">
        <is>
          <t>30/09/2031</t>
        </is>
      </c>
    </row>
    <row r="446">
      <c r="A446" t="inlineStr">
        <is>
          <t>RESIDENCIAL BEYOND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Departamento</t>
        </is>
      </c>
      <c r="F446" t="inlineStr">
        <is>
          <t>403</t>
        </is>
      </c>
      <c r="G446" s="39" t="n">
        <v>504700</v>
      </c>
      <c r="H446" s="39" t="n">
        <v>459100</v>
      </c>
      <c r="I446" t="inlineStr">
        <is>
          <t>Edificio</t>
        </is>
      </c>
      <c r="J446" t="inlineStr">
        <is>
          <t>A</t>
        </is>
      </c>
      <c r="K446" t="inlineStr">
        <is>
          <t>Estacionamiento</t>
        </is>
      </c>
      <c r="L446" t="inlineStr">
        <is>
          <t>E 06</t>
        </is>
      </c>
      <c r="M446" s="39" t="n">
        <v>45600</v>
      </c>
      <c r="N446" s="39" t="n">
        <v>45600</v>
      </c>
      <c r="S446" s="39" t="n"/>
      <c r="T446" s="39" t="n"/>
      <c r="Y446" s="39" t="n"/>
      <c r="Z446" s="39" t="n"/>
      <c r="AA446" t="inlineStr">
        <is>
          <t>Erla Liseth Carhuavilca Pérez</t>
        </is>
      </c>
      <c r="AB446" t="inlineStr">
        <is>
          <t>40642153</t>
        </is>
      </c>
      <c r="AC446" t="inlineStr">
        <is>
          <t>Av. Bolivia 848 Dpto. 504</t>
        </is>
      </c>
      <c r="AD446" t="n">
        <v>0</v>
      </c>
      <c r="AE446" t="inlineStr">
        <is>
          <t>999200216</t>
        </is>
      </c>
      <c r="AF446" t="inlineStr">
        <is>
          <t>grecialiseth26@gmail.com</t>
        </is>
      </c>
      <c r="AG446" t="inlineStr">
        <is>
          <t>LIMA</t>
        </is>
      </c>
      <c r="AH446" t="inlineStr">
        <is>
          <t>BREÑA</t>
        </is>
      </c>
      <c r="AI446" s="116" t="n">
        <v>46172</v>
      </c>
      <c r="AJ446" s="116" t="n">
        <v>46200</v>
      </c>
      <c r="AK446" t="inlineStr">
        <is>
          <t>CUOTA INICIAL</t>
        </is>
      </c>
      <c r="AL446" t="n">
        <v>3</v>
      </c>
      <c r="AM446" t="n">
        <v>0</v>
      </c>
      <c r="AN446" t="n">
        <v>0</v>
      </c>
      <c r="AO446" t="n">
        <v>0</v>
      </c>
      <c r="AP446" s="39" t="n">
        <v>0</v>
      </c>
      <c r="AQ446" s="39" t="n">
        <v>9300</v>
      </c>
      <c r="AR446" s="39" t="n">
        <v>0</v>
      </c>
      <c r="AS446" t="n">
        <v>0</v>
      </c>
      <c r="AT446" t="inlineStr">
        <is>
          <t>Ahorro</t>
        </is>
      </c>
      <c r="AU446" t="inlineStr">
        <is>
          <t>Banco de Credito del Perú</t>
        </is>
      </c>
      <c r="AV446" t="inlineStr">
        <is>
          <t>194-7325779-0-65</t>
        </is>
      </c>
      <c r="AW446" t="inlineStr">
        <is>
          <t>TRANSFERENCIA BANCARIA</t>
        </is>
      </c>
      <c r="AY446" t="inlineStr">
        <is>
          <t>1560</t>
        </is>
      </c>
      <c r="AZ446" t="inlineStr">
        <is>
          <t>No</t>
        </is>
      </c>
      <c r="BB446" t="n">
        <v>4</v>
      </c>
      <c r="BC446" t="inlineStr">
        <is>
          <t>CANCELADO</t>
        </is>
      </c>
      <c r="BN446" t="inlineStr">
        <is>
          <t>Si</t>
        </is>
      </c>
      <c r="BO446" s="117" t="n">
        <v>46017.42569444444</v>
      </c>
      <c r="BP446" t="inlineStr">
        <is>
          <t>Magaly Guevara Perez</t>
        </is>
      </c>
      <c r="BR446" t="n">
        <v>28</v>
      </c>
      <c r="BS446" t="inlineStr">
        <is>
          <t>13/08/2026 12:15</t>
        </is>
      </c>
      <c r="BT446" t="n">
        <v>0</v>
      </c>
      <c r="BX446" t="inlineStr">
        <is>
          <t>Cobranzas_2026.csv</t>
        </is>
      </c>
      <c r="BY446" t="n">
        <v>2026</v>
      </c>
      <c r="BZ446" t="inlineStr">
        <is>
          <t>01/01/2024</t>
        </is>
      </c>
      <c r="CA446" t="inlineStr">
        <is>
          <t>30/09/2031</t>
        </is>
      </c>
    </row>
    <row r="447">
      <c r="A447" t="inlineStr">
        <is>
          <t>RESIDENCIAL BEYOND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Departamento</t>
        </is>
      </c>
      <c r="F447" t="inlineStr">
        <is>
          <t>403</t>
        </is>
      </c>
      <c r="G447" s="39" t="n">
        <v>504700</v>
      </c>
      <c r="H447" s="39" t="n">
        <v>459100</v>
      </c>
      <c r="I447" t="inlineStr">
        <is>
          <t>Edificio</t>
        </is>
      </c>
      <c r="J447" t="inlineStr">
        <is>
          <t>A</t>
        </is>
      </c>
      <c r="K447" t="inlineStr">
        <is>
          <t>Estacionamiento</t>
        </is>
      </c>
      <c r="L447" t="inlineStr">
        <is>
          <t>E 06</t>
        </is>
      </c>
      <c r="M447" s="39" t="n">
        <v>45600</v>
      </c>
      <c r="N447" s="39" t="n">
        <v>45600</v>
      </c>
      <c r="S447" s="39" t="n"/>
      <c r="T447" s="39" t="n"/>
      <c r="Y447" s="39" t="n"/>
      <c r="Z447" s="39" t="n"/>
      <c r="AA447" t="inlineStr">
        <is>
          <t>Erla Liseth Carhuavilca Pérez</t>
        </is>
      </c>
      <c r="AB447" t="inlineStr">
        <is>
          <t>40642153</t>
        </is>
      </c>
      <c r="AC447" t="inlineStr">
        <is>
          <t>Av. Bolivia 848 Dpto. 504</t>
        </is>
      </c>
      <c r="AD447" t="n">
        <v>0</v>
      </c>
      <c r="AE447" t="inlineStr">
        <is>
          <t>999200216</t>
        </is>
      </c>
      <c r="AF447" t="inlineStr">
        <is>
          <t>grecialiseth26@gmail.com</t>
        </is>
      </c>
      <c r="AG447" t="inlineStr">
        <is>
          <t>LIMA</t>
        </is>
      </c>
      <c r="AH447" t="inlineStr">
        <is>
          <t>BREÑA</t>
        </is>
      </c>
      <c r="AI447" s="116" t="n">
        <v>46172</v>
      </c>
      <c r="AJ447" s="116" t="n">
        <v>46247</v>
      </c>
      <c r="AK447" t="inlineStr">
        <is>
          <t>CUOTA INICIAL</t>
        </is>
      </c>
      <c r="AL447" t="n">
        <v>3</v>
      </c>
      <c r="AM447" t="n">
        <v>0</v>
      </c>
      <c r="AN447" t="n">
        <v>0</v>
      </c>
      <c r="AO447" t="n">
        <v>0</v>
      </c>
      <c r="AP447" s="39" t="n">
        <v>0</v>
      </c>
      <c r="AQ447" s="39" t="n">
        <v>700</v>
      </c>
      <c r="AR447" s="39" t="n">
        <v>0</v>
      </c>
      <c r="AS447" t="n">
        <v>0</v>
      </c>
      <c r="AT447" t="inlineStr">
        <is>
          <t>Ahorro</t>
        </is>
      </c>
      <c r="AU447" t="inlineStr">
        <is>
          <t>Banco de Credito del Perú</t>
        </is>
      </c>
      <c r="AV447" t="inlineStr">
        <is>
          <t>194-7325779-0-65</t>
        </is>
      </c>
      <c r="AW447" t="inlineStr">
        <is>
          <t>TRANSFERENCIA BANCARIA</t>
        </is>
      </c>
      <c r="AY447" t="inlineStr">
        <is>
          <t>1562</t>
        </is>
      </c>
      <c r="AZ447" t="inlineStr">
        <is>
          <t>Si</t>
        </is>
      </c>
      <c r="BB447" t="n">
        <v>4</v>
      </c>
      <c r="BC447" t="inlineStr">
        <is>
          <t>CANCELADO</t>
        </is>
      </c>
      <c r="BN447" t="inlineStr">
        <is>
          <t>Si</t>
        </is>
      </c>
      <c r="BO447" s="117" t="n">
        <v>46017.42569444444</v>
      </c>
      <c r="BP447" t="inlineStr">
        <is>
          <t>Magaly Guevara Perez</t>
        </is>
      </c>
      <c r="BR447" t="n">
        <v>28</v>
      </c>
      <c r="BS447" t="inlineStr">
        <is>
          <t>13/08/2026 12:15</t>
        </is>
      </c>
      <c r="BT447" t="n">
        <v>0</v>
      </c>
      <c r="BX447" t="inlineStr">
        <is>
          <t>Cobranzas_2026.csv</t>
        </is>
      </c>
      <c r="BY447" t="n">
        <v>2026</v>
      </c>
      <c r="BZ447" t="inlineStr">
        <is>
          <t>01/01/2024</t>
        </is>
      </c>
      <c r="CA447" t="inlineStr">
        <is>
          <t>30/09/2031</t>
        </is>
      </c>
    </row>
    <row r="448">
      <c r="A448" t="inlineStr">
        <is>
          <t>RESIDENCIAL BEYOND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403</t>
        </is>
      </c>
      <c r="G448" s="39" t="n">
        <v>504700</v>
      </c>
      <c r="H448" s="39" t="n">
        <v>459100</v>
      </c>
      <c r="I448" t="inlineStr">
        <is>
          <t>Edificio</t>
        </is>
      </c>
      <c r="J448" t="inlineStr">
        <is>
          <t>A</t>
        </is>
      </c>
      <c r="K448" t="inlineStr">
        <is>
          <t>Estacionamiento</t>
        </is>
      </c>
      <c r="L448" t="inlineStr">
        <is>
          <t>E 06</t>
        </is>
      </c>
      <c r="M448" s="39" t="n">
        <v>45600</v>
      </c>
      <c r="N448" s="39" t="n">
        <v>45600</v>
      </c>
      <c r="S448" s="39" t="n"/>
      <c r="T448" s="39" t="n"/>
      <c r="Y448" s="39" t="n"/>
      <c r="Z448" s="39" t="n"/>
      <c r="AA448" t="inlineStr">
        <is>
          <t>Erla Liseth Carhuavilca Pérez</t>
        </is>
      </c>
      <c r="AB448" t="inlineStr">
        <is>
          <t>40642153</t>
        </is>
      </c>
      <c r="AC448" t="inlineStr">
        <is>
          <t>Av. Bolivia 848 Dpto. 504</t>
        </is>
      </c>
      <c r="AD448" t="n">
        <v>0</v>
      </c>
      <c r="AE448" t="inlineStr">
        <is>
          <t>999200216</t>
        </is>
      </c>
      <c r="AF448" t="inlineStr">
        <is>
          <t>grecialiseth26@gmail.com</t>
        </is>
      </c>
      <c r="AG448" t="inlineStr">
        <is>
          <t>LIMA</t>
        </is>
      </c>
      <c r="AH448" t="inlineStr">
        <is>
          <t>BREÑA</t>
        </is>
      </c>
      <c r="AI448" s="116" t="n">
        <v>46172</v>
      </c>
      <c r="AJ448" s="116" t="n">
        <v>46202</v>
      </c>
      <c r="AK448" t="inlineStr">
        <is>
          <t>CUOTA INICIAL</t>
        </is>
      </c>
      <c r="AL448" t="n">
        <v>3</v>
      </c>
      <c r="AM448" t="n">
        <v>0</v>
      </c>
      <c r="AN448" t="n">
        <v>0</v>
      </c>
      <c r="AO448" t="n">
        <v>0</v>
      </c>
      <c r="AP448" s="39" t="n">
        <v>0</v>
      </c>
      <c r="AQ448" s="39" t="n">
        <v>4900</v>
      </c>
      <c r="AR448" s="39" t="n">
        <v>0</v>
      </c>
      <c r="AS448" t="n">
        <v>0</v>
      </c>
      <c r="AT448" t="inlineStr">
        <is>
          <t>Ahorro</t>
        </is>
      </c>
      <c r="AU448" t="inlineStr">
        <is>
          <t>Banco de Credito del Perú</t>
        </is>
      </c>
      <c r="AV448" t="inlineStr">
        <is>
          <t>194-7325779-0-65</t>
        </is>
      </c>
      <c r="AW448" t="inlineStr">
        <is>
          <t>TRANSFERENCIA BANCARIA</t>
        </is>
      </c>
      <c r="AY448" t="inlineStr">
        <is>
          <t>4313</t>
        </is>
      </c>
      <c r="AZ448" t="inlineStr">
        <is>
          <t>No</t>
        </is>
      </c>
      <c r="BB448" t="n">
        <v>4</v>
      </c>
      <c r="BC448" t="inlineStr">
        <is>
          <t>CANCELADO</t>
        </is>
      </c>
      <c r="BN448" t="inlineStr">
        <is>
          <t>Si</t>
        </is>
      </c>
      <c r="BO448" s="117" t="n">
        <v>46017.42569444444</v>
      </c>
      <c r="BP448" t="inlineStr">
        <is>
          <t>Magaly Guevara Perez</t>
        </is>
      </c>
      <c r="BR448" t="n">
        <v>28</v>
      </c>
      <c r="BS448" t="inlineStr">
        <is>
          <t>13/08/2026 12:16</t>
        </is>
      </c>
      <c r="BT448" t="n">
        <v>0</v>
      </c>
      <c r="BX448" t="inlineStr">
        <is>
          <t>Cobranzas_2026.csv</t>
        </is>
      </c>
      <c r="BY448" t="n">
        <v>2026</v>
      </c>
      <c r="BZ448" t="inlineStr">
        <is>
          <t>01/01/2024</t>
        </is>
      </c>
      <c r="CA448" t="inlineStr">
        <is>
          <t>30/09/2031</t>
        </is>
      </c>
    </row>
    <row r="449">
      <c r="A449" t="inlineStr">
        <is>
          <t>RESIDENCIAL BEYOND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403</t>
        </is>
      </c>
      <c r="G449" s="39" t="n">
        <v>504700</v>
      </c>
      <c r="H449" s="39" t="n">
        <v>459100</v>
      </c>
      <c r="I449" t="inlineStr">
        <is>
          <t>Edificio</t>
        </is>
      </c>
      <c r="J449" t="inlineStr">
        <is>
          <t>A</t>
        </is>
      </c>
      <c r="K449" t="inlineStr">
        <is>
          <t>Estacionamiento</t>
        </is>
      </c>
      <c r="L449" t="inlineStr">
        <is>
          <t>E 06</t>
        </is>
      </c>
      <c r="M449" s="39" t="n">
        <v>45600</v>
      </c>
      <c r="N449" s="39" t="n">
        <v>45600</v>
      </c>
      <c r="S449" s="39" t="n"/>
      <c r="T449" s="39" t="n"/>
      <c r="Y449" s="39" t="n"/>
      <c r="Z449" s="39" t="n"/>
      <c r="AA449" t="inlineStr">
        <is>
          <t>Erla Liseth Carhuavilca Pérez</t>
        </is>
      </c>
      <c r="AB449" t="inlineStr">
        <is>
          <t>40642153</t>
        </is>
      </c>
      <c r="AC449" t="inlineStr">
        <is>
          <t>Av. Bolivia 848 Dpto. 504</t>
        </is>
      </c>
      <c r="AD449" t="n">
        <v>0</v>
      </c>
      <c r="AE449" t="inlineStr">
        <is>
          <t>999200216</t>
        </is>
      </c>
      <c r="AF449" t="inlineStr">
        <is>
          <t>grecialiseth26@gmail.com</t>
        </is>
      </c>
      <c r="AG449" t="inlineStr">
        <is>
          <t>LIMA</t>
        </is>
      </c>
      <c r="AH449" t="inlineStr">
        <is>
          <t>BREÑA</t>
        </is>
      </c>
      <c r="AI449" s="116" t="n">
        <v>46172</v>
      </c>
      <c r="AJ449" s="116" t="n">
        <v>46201</v>
      </c>
      <c r="AK449" t="inlineStr">
        <is>
          <t>CUOTA INICIAL</t>
        </is>
      </c>
      <c r="AL449" t="n">
        <v>3</v>
      </c>
      <c r="AM449" t="n">
        <v>0</v>
      </c>
      <c r="AN449" t="n">
        <v>0</v>
      </c>
      <c r="AO449" t="n">
        <v>0</v>
      </c>
      <c r="AP449" s="39" t="n">
        <v>0</v>
      </c>
      <c r="AQ449" s="39" t="n">
        <v>10000</v>
      </c>
      <c r="AR449" s="39" t="n">
        <v>0</v>
      </c>
      <c r="AS449" t="n">
        <v>0</v>
      </c>
      <c r="AT449" t="inlineStr">
        <is>
          <t>Ahorro</t>
        </is>
      </c>
      <c r="AU449" t="inlineStr">
        <is>
          <t>Banco de Credito del Perú</t>
        </is>
      </c>
      <c r="AV449" t="inlineStr">
        <is>
          <t>194-7325779-0-65</t>
        </is>
      </c>
      <c r="AW449" t="inlineStr">
        <is>
          <t>TRANSFERENCIA BANCARIA</t>
        </is>
      </c>
      <c r="AY449" t="inlineStr">
        <is>
          <t>1784</t>
        </is>
      </c>
      <c r="AZ449" t="inlineStr">
        <is>
          <t>No</t>
        </is>
      </c>
      <c r="BB449" t="n">
        <v>4</v>
      </c>
      <c r="BC449" t="inlineStr">
        <is>
          <t>CANCELADO</t>
        </is>
      </c>
      <c r="BN449" t="inlineStr">
        <is>
          <t>Si</t>
        </is>
      </c>
      <c r="BO449" s="117" t="n">
        <v>46017.42569444444</v>
      </c>
      <c r="BP449" t="inlineStr">
        <is>
          <t>Magaly Guevara Perez</t>
        </is>
      </c>
      <c r="BR449" t="n">
        <v>28</v>
      </c>
      <c r="BS449" t="inlineStr">
        <is>
          <t>13/08/2026 12:23</t>
        </is>
      </c>
      <c r="BT449" t="n">
        <v>0</v>
      </c>
      <c r="BX449" t="inlineStr">
        <is>
          <t>Cobranzas_2026.csv</t>
        </is>
      </c>
      <c r="BY449" t="n">
        <v>2026</v>
      </c>
      <c r="BZ449" t="inlineStr">
        <is>
          <t>01/01/2024</t>
        </is>
      </c>
      <c r="CA449" t="inlineStr">
        <is>
          <t>30/09/2031</t>
        </is>
      </c>
    </row>
    <row r="450">
      <c r="A450" t="inlineStr">
        <is>
          <t>RESIDENCIAL BEYOND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403</t>
        </is>
      </c>
      <c r="G450" s="39" t="n">
        <v>504700</v>
      </c>
      <c r="H450" s="39" t="n">
        <v>459100</v>
      </c>
      <c r="I450" t="inlineStr">
        <is>
          <t>Edificio</t>
        </is>
      </c>
      <c r="J450" t="inlineStr">
        <is>
          <t>A</t>
        </is>
      </c>
      <c r="K450" t="inlineStr">
        <is>
          <t>Estacionamiento</t>
        </is>
      </c>
      <c r="L450" t="inlineStr">
        <is>
          <t>E 06</t>
        </is>
      </c>
      <c r="M450" s="39" t="n">
        <v>45600</v>
      </c>
      <c r="N450" s="39" t="n">
        <v>45600</v>
      </c>
      <c r="S450" s="39" t="n"/>
      <c r="T450" s="39" t="n"/>
      <c r="Y450" s="39" t="n"/>
      <c r="Z450" s="39" t="n"/>
      <c r="AA450" t="inlineStr">
        <is>
          <t>Erla Liseth Carhuavilca Pérez</t>
        </is>
      </c>
      <c r="AB450" t="inlineStr">
        <is>
          <t>40642153</t>
        </is>
      </c>
      <c r="AC450" t="inlineStr">
        <is>
          <t>Av. Bolivia 848 Dpto. 504</t>
        </is>
      </c>
      <c r="AD450" t="n">
        <v>0</v>
      </c>
      <c r="AE450" t="inlineStr">
        <is>
          <t>999200216</t>
        </is>
      </c>
      <c r="AF450" t="inlineStr">
        <is>
          <t>grecialiseth26@gmail.com</t>
        </is>
      </c>
      <c r="AG450" t="inlineStr">
        <is>
          <t>LIMA</t>
        </is>
      </c>
      <c r="AH450" t="inlineStr">
        <is>
          <t>BREÑA</t>
        </is>
      </c>
      <c r="AI450" s="116" t="n">
        <v>46172</v>
      </c>
      <c r="AJ450" s="116" t="n">
        <v>46202</v>
      </c>
      <c r="AK450" t="inlineStr">
        <is>
          <t>CUOTA INICIAL</t>
        </is>
      </c>
      <c r="AL450" t="n">
        <v>3</v>
      </c>
      <c r="AM450" t="n">
        <v>173000</v>
      </c>
      <c r="AN450" t="n">
        <v>0</v>
      </c>
      <c r="AO450" t="n">
        <v>0</v>
      </c>
      <c r="AP450" s="39" t="n">
        <v>0</v>
      </c>
      <c r="AQ450" s="39" t="n">
        <v>100</v>
      </c>
      <c r="AR450" s="39" t="n">
        <v>0</v>
      </c>
      <c r="AS450" t="n">
        <v>0</v>
      </c>
      <c r="AT450" t="inlineStr">
        <is>
          <t>Ahorro</t>
        </is>
      </c>
      <c r="AU450" t="inlineStr">
        <is>
          <t>Banco de Credito del Perú</t>
        </is>
      </c>
      <c r="AV450" t="inlineStr">
        <is>
          <t>194-7325779-0-65</t>
        </is>
      </c>
      <c r="AW450" t="inlineStr">
        <is>
          <t>TRANSFERENCIA BANCARIA</t>
        </is>
      </c>
      <c r="AY450" t="inlineStr">
        <is>
          <t>4315</t>
        </is>
      </c>
      <c r="AZ450" t="inlineStr">
        <is>
          <t>No</t>
        </is>
      </c>
      <c r="BB450" t="n">
        <v>4</v>
      </c>
      <c r="BC450" t="inlineStr">
        <is>
          <t>CANCELADO</t>
        </is>
      </c>
      <c r="BN450" t="inlineStr">
        <is>
          <t>Si</t>
        </is>
      </c>
      <c r="BO450" s="117" t="n">
        <v>46017.42569444444</v>
      </c>
      <c r="BP450" t="inlineStr">
        <is>
          <t>Magaly Guevara Perez</t>
        </is>
      </c>
      <c r="BR450" t="n">
        <v>28</v>
      </c>
      <c r="BS450" t="inlineStr">
        <is>
          <t>13/08/2026 12:24</t>
        </is>
      </c>
      <c r="BT450" t="n">
        <v>0</v>
      </c>
      <c r="BX450" t="inlineStr">
        <is>
          <t>Cobranzas_2026.csv</t>
        </is>
      </c>
      <c r="BY450" t="n">
        <v>2026</v>
      </c>
      <c r="BZ450" t="inlineStr">
        <is>
          <t>01/01/2024</t>
        </is>
      </c>
      <c r="CA450" t="inlineStr">
        <is>
          <t>30/09/2031</t>
        </is>
      </c>
    </row>
    <row r="451">
      <c r="A451" t="inlineStr">
        <is>
          <t>RESIDENCIAL BEYOND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Departamento</t>
        </is>
      </c>
      <c r="F451" t="inlineStr">
        <is>
          <t>403</t>
        </is>
      </c>
      <c r="G451" s="39" t="n">
        <v>504700</v>
      </c>
      <c r="H451" s="39" t="n">
        <v>459100</v>
      </c>
      <c r="I451" t="inlineStr">
        <is>
          <t>Edificio</t>
        </is>
      </c>
      <c r="J451" t="inlineStr">
        <is>
          <t>A</t>
        </is>
      </c>
      <c r="K451" t="inlineStr">
        <is>
          <t>Estacionamiento</t>
        </is>
      </c>
      <c r="L451" t="inlineStr">
        <is>
          <t>E 06</t>
        </is>
      </c>
      <c r="M451" s="39" t="n">
        <v>45600</v>
      </c>
      <c r="N451" s="39" t="n">
        <v>45600</v>
      </c>
      <c r="S451" s="39" t="n"/>
      <c r="T451" s="39" t="n"/>
      <c r="Y451" s="39" t="n"/>
      <c r="Z451" s="39" t="n"/>
      <c r="AA451" t="inlineStr">
        <is>
          <t>Erla Liseth Carhuavilca Pérez</t>
        </is>
      </c>
      <c r="AB451" t="inlineStr">
        <is>
          <t>40642153</t>
        </is>
      </c>
      <c r="AC451" t="inlineStr">
        <is>
          <t>Av. Bolivia 848 Dpto. 504</t>
        </is>
      </c>
      <c r="AD451" t="n">
        <v>0</v>
      </c>
      <c r="AE451" t="inlineStr">
        <is>
          <t>999200216</t>
        </is>
      </c>
      <c r="AF451" t="inlineStr">
        <is>
          <t>grecialiseth26@gmail.com</t>
        </is>
      </c>
      <c r="AG451" t="inlineStr">
        <is>
          <t>LIMA</t>
        </is>
      </c>
      <c r="AH451" t="inlineStr">
        <is>
          <t>BREÑA</t>
        </is>
      </c>
      <c r="AI451" s="116" t="n">
        <v>46234</v>
      </c>
      <c r="AJ451" s="116" t="n"/>
      <c r="AK451" t="inlineStr">
        <is>
          <t>SALDO FINANCIAR</t>
        </is>
      </c>
      <c r="AL451" t="n">
        <v>1</v>
      </c>
      <c r="AM451" t="n">
        <v>304700</v>
      </c>
      <c r="AN451" t="n">
        <v>0</v>
      </c>
      <c r="AO451" t="n">
        <v>0</v>
      </c>
      <c r="AP451" s="39" t="n">
        <v>304700</v>
      </c>
      <c r="AQ451" s="39" t="n">
        <v>0</v>
      </c>
      <c r="AR451" s="39" t="n">
        <v>304700</v>
      </c>
      <c r="AT451" t="inlineStr">
        <is>
          <t>Ahorro</t>
        </is>
      </c>
      <c r="AZ451" t="inlineStr">
        <is>
          <t>No</t>
        </is>
      </c>
      <c r="BC451" t="inlineStr">
        <is>
          <t>VENCIDO</t>
        </is>
      </c>
      <c r="BN451" t="inlineStr">
        <is>
          <t>No</t>
        </is>
      </c>
      <c r="BO451" s="117" t="n">
        <v>46017.42569444444</v>
      </c>
      <c r="BP451" t="inlineStr">
        <is>
          <t>Magaly Guevara Perez</t>
        </is>
      </c>
      <c r="BR451" t="n">
        <v>28</v>
      </c>
      <c r="BT451" t="n">
        <v>0</v>
      </c>
      <c r="BX451" t="inlineStr">
        <is>
          <t>Cobranzas_2026.csv</t>
        </is>
      </c>
      <c r="BY451" t="n">
        <v>2026</v>
      </c>
      <c r="BZ451" t="inlineStr">
        <is>
          <t>01/01/2024</t>
        </is>
      </c>
      <c r="CA451" t="inlineStr">
        <is>
          <t>30/09/2031</t>
        </is>
      </c>
    </row>
    <row r="452">
      <c r="A452" t="inlineStr">
        <is>
          <t>RESIDENCIAL VENECIA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Departamento</t>
        </is>
      </c>
      <c r="F452" t="inlineStr">
        <is>
          <t>404</t>
        </is>
      </c>
      <c r="G452" s="39" t="n">
        <v>430000</v>
      </c>
      <c r="H452" s="39" t="n">
        <v>430000</v>
      </c>
      <c r="M452" s="39" t="n"/>
      <c r="N452" s="39" t="n"/>
      <c r="S452" s="39" t="n"/>
      <c r="T452" s="39" t="n"/>
      <c r="Y452" s="39" t="n"/>
      <c r="Z452" s="39" t="n"/>
      <c r="AA452" t="inlineStr">
        <is>
          <t>Evelyn Arciela Leon Estela</t>
        </is>
      </c>
      <c r="AB452" t="inlineStr">
        <is>
          <t>70313948</t>
        </is>
      </c>
      <c r="AC452" t="inlineStr">
        <is>
          <t xml:space="preserve">Segunda Etapa.Mz 41 Lt. 35 -Urb. Torre Blanca </t>
        </is>
      </c>
      <c r="AD452" t="n">
        <v>0</v>
      </c>
      <c r="AE452" t="inlineStr">
        <is>
          <t>980746975</t>
        </is>
      </c>
      <c r="AF452" t="inlineStr">
        <is>
          <t>eale.050791@gmail.com</t>
        </is>
      </c>
      <c r="AG452" t="inlineStr">
        <is>
          <t>LIMA</t>
        </is>
      </c>
      <c r="AH452" t="inlineStr">
        <is>
          <t>CARABAYLLO</t>
        </is>
      </c>
      <c r="AI452" s="116" t="n">
        <v>46112</v>
      </c>
      <c r="AJ452" s="116" t="n">
        <v>46107</v>
      </c>
      <c r="AK452" t="inlineStr">
        <is>
          <t>AHORRO CASA</t>
        </is>
      </c>
      <c r="AL452" t="n">
        <v>2</v>
      </c>
      <c r="AM452" t="n">
        <v>0</v>
      </c>
      <c r="AN452" t="n">
        <v>0</v>
      </c>
      <c r="AO452" t="n">
        <v>0</v>
      </c>
      <c r="AP452" s="39" t="n">
        <v>43000</v>
      </c>
      <c r="AQ452" s="39" t="n">
        <v>23200</v>
      </c>
      <c r="AR452" s="39" t="n">
        <v>0</v>
      </c>
      <c r="AS452" t="n">
        <v>0</v>
      </c>
      <c r="AT452" t="inlineStr">
        <is>
          <t>Crédito Hipotecario</t>
        </is>
      </c>
      <c r="AU452" t="inlineStr">
        <is>
          <t>Scotiabank Perú</t>
        </is>
      </c>
      <c r="AV452" t="inlineStr">
        <is>
          <t>0004071419</t>
        </is>
      </c>
      <c r="AW452" t="inlineStr">
        <is>
          <t>TRANSFERENCIA BANCARIA</t>
        </is>
      </c>
      <c r="AY452" t="inlineStr">
        <is>
          <t>0315785</t>
        </is>
      </c>
      <c r="AZ452" t="inlineStr">
        <is>
          <t>No</t>
        </is>
      </c>
      <c r="BB452" t="n">
        <v>4</v>
      </c>
      <c r="BC452" t="inlineStr">
        <is>
          <t>CANCELADO</t>
        </is>
      </c>
      <c r="BN452" t="inlineStr">
        <is>
          <t>Si</t>
        </is>
      </c>
      <c r="BO452" s="117" t="n">
        <v>46178.34166666667</v>
      </c>
      <c r="BP452" t="inlineStr">
        <is>
          <t>Magaly Guevara Perez</t>
        </is>
      </c>
      <c r="BR452" t="n">
        <v>8</v>
      </c>
      <c r="BS452" t="inlineStr">
        <is>
          <t>24/05/2026 19:17</t>
        </is>
      </c>
      <c r="BT452" t="n">
        <v>0</v>
      </c>
      <c r="BX452" t="inlineStr">
        <is>
          <t>Cobranzas_2026.csv</t>
        </is>
      </c>
      <c r="BY452" t="n">
        <v>2026</v>
      </c>
      <c r="BZ452" t="inlineStr">
        <is>
          <t>01/01/2024</t>
        </is>
      </c>
      <c r="CA452" t="inlineStr">
        <is>
          <t>30/09/2031</t>
        </is>
      </c>
    </row>
    <row r="453">
      <c r="A453" t="inlineStr">
        <is>
          <t>RESIDENCIAL VENECIA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Departamento</t>
        </is>
      </c>
      <c r="F453" t="inlineStr">
        <is>
          <t>404</t>
        </is>
      </c>
      <c r="G453" s="39" t="n">
        <v>430000</v>
      </c>
      <c r="H453" s="39" t="n">
        <v>430000</v>
      </c>
      <c r="M453" s="39" t="n"/>
      <c r="N453" s="39" t="n"/>
      <c r="S453" s="39" t="n"/>
      <c r="T453" s="39" t="n"/>
      <c r="Y453" s="39" t="n"/>
      <c r="Z453" s="39" t="n"/>
      <c r="AA453" t="inlineStr">
        <is>
          <t>Evelyn Arciela Leon Estela</t>
        </is>
      </c>
      <c r="AB453" t="inlineStr">
        <is>
          <t>70313948</t>
        </is>
      </c>
      <c r="AC453" t="inlineStr">
        <is>
          <t xml:space="preserve">Segunda Etapa.Mz 41 Lt. 35 -Urb. Torre Blanca </t>
        </is>
      </c>
      <c r="AD453" t="n">
        <v>0</v>
      </c>
      <c r="AE453" t="inlineStr">
        <is>
          <t>980746975</t>
        </is>
      </c>
      <c r="AF453" t="inlineStr">
        <is>
          <t>eale.050791@gmail.com</t>
        </is>
      </c>
      <c r="AG453" t="inlineStr">
        <is>
          <t>LIMA</t>
        </is>
      </c>
      <c r="AH453" t="inlineStr">
        <is>
          <t>CARABAYLLO</t>
        </is>
      </c>
      <c r="AI453" s="116" t="n">
        <v>46112</v>
      </c>
      <c r="AJ453" s="116" t="n">
        <v>46107</v>
      </c>
      <c r="AK453" t="inlineStr">
        <is>
          <t>AHORRO CASA</t>
        </is>
      </c>
      <c r="AL453" t="n">
        <v>2</v>
      </c>
      <c r="AM453" t="n">
        <v>43000</v>
      </c>
      <c r="AN453" t="n">
        <v>0</v>
      </c>
      <c r="AO453" t="n">
        <v>0</v>
      </c>
      <c r="AP453" s="39" t="n">
        <v>0</v>
      </c>
      <c r="AQ453" s="39" t="n">
        <v>19800</v>
      </c>
      <c r="AR453" s="39" t="n">
        <v>0</v>
      </c>
      <c r="AS453" t="n">
        <v>0</v>
      </c>
      <c r="AT453" t="inlineStr">
        <is>
          <t>Crédito Hipotecario</t>
        </is>
      </c>
      <c r="AU453" t="inlineStr">
        <is>
          <t>Scotiabank Perú</t>
        </is>
      </c>
      <c r="AV453" t="inlineStr">
        <is>
          <t>0004071419</t>
        </is>
      </c>
      <c r="AW453" t="inlineStr">
        <is>
          <t>TRANSFERENCIA BANCARIA</t>
        </is>
      </c>
      <c r="AY453" t="inlineStr">
        <is>
          <t>U24661</t>
        </is>
      </c>
      <c r="AZ453" t="inlineStr">
        <is>
          <t>No</t>
        </is>
      </c>
      <c r="BB453" t="n">
        <v>4</v>
      </c>
      <c r="BC453" t="inlineStr">
        <is>
          <t>CANCELADO</t>
        </is>
      </c>
      <c r="BN453" t="inlineStr">
        <is>
          <t>Si</t>
        </is>
      </c>
      <c r="BO453" s="117" t="n">
        <v>46178.34166666667</v>
      </c>
      <c r="BP453" t="inlineStr">
        <is>
          <t>Magaly Guevara Perez</t>
        </is>
      </c>
      <c r="BR453" t="n">
        <v>8</v>
      </c>
      <c r="BS453" t="inlineStr">
        <is>
          <t>24/05/2026 19:20</t>
        </is>
      </c>
      <c r="BT453" t="n">
        <v>0</v>
      </c>
      <c r="BX453" t="inlineStr">
        <is>
          <t>Cobranzas_2026.csv</t>
        </is>
      </c>
      <c r="BY453" t="n">
        <v>2026</v>
      </c>
      <c r="BZ453" t="inlineStr">
        <is>
          <t>01/01/2024</t>
        </is>
      </c>
      <c r="CA453" t="inlineStr">
        <is>
          <t>30/09/2031</t>
        </is>
      </c>
    </row>
    <row r="454">
      <c r="A454" t="inlineStr">
        <is>
          <t>RESIDENCIAL VENECIA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Departamento</t>
        </is>
      </c>
      <c r="F454" t="inlineStr">
        <is>
          <t>404</t>
        </is>
      </c>
      <c r="G454" s="39" t="n">
        <v>430000</v>
      </c>
      <c r="H454" s="39" t="n">
        <v>430000</v>
      </c>
      <c r="M454" s="39" t="n"/>
      <c r="N454" s="39" t="n"/>
      <c r="S454" s="39" t="n"/>
      <c r="T454" s="39" t="n"/>
      <c r="Y454" s="39" t="n"/>
      <c r="Z454" s="39" t="n"/>
      <c r="AA454" t="inlineStr">
        <is>
          <t>Evelyn Arciela Leon Estela</t>
        </is>
      </c>
      <c r="AB454" t="inlineStr">
        <is>
          <t>70313948</t>
        </is>
      </c>
      <c r="AC454" t="inlineStr">
        <is>
          <t xml:space="preserve">Segunda Etapa.Mz 41 Lt. 35 -Urb. Torre Blanca </t>
        </is>
      </c>
      <c r="AD454" t="n">
        <v>0</v>
      </c>
      <c r="AE454" t="inlineStr">
        <is>
          <t>980746975</t>
        </is>
      </c>
      <c r="AF454" t="inlineStr">
        <is>
          <t>eale.050791@gmail.com</t>
        </is>
      </c>
      <c r="AG454" t="inlineStr">
        <is>
          <t>LIMA</t>
        </is>
      </c>
      <c r="AH454" t="inlineStr">
        <is>
          <t>CARABAYLLO</t>
        </is>
      </c>
      <c r="AI454" s="116" t="n">
        <v>46232.38888888889</v>
      </c>
      <c r="AJ454" s="116" t="n">
        <v>46188</v>
      </c>
      <c r="AK454" t="inlineStr">
        <is>
          <t>SALDO FINANCIAR</t>
        </is>
      </c>
      <c r="AL454" t="n">
        <v>1</v>
      </c>
      <c r="AM454" t="n">
        <v>344000</v>
      </c>
      <c r="AN454" t="n">
        <v>0</v>
      </c>
      <c r="AO454" t="n">
        <v>0</v>
      </c>
      <c r="AP454" s="39" t="n">
        <v>344000</v>
      </c>
      <c r="AQ454" s="39" t="n">
        <v>344000</v>
      </c>
      <c r="AR454" s="39" t="n">
        <v>0</v>
      </c>
      <c r="AS454" t="n">
        <v>0</v>
      </c>
      <c r="AT454" t="inlineStr">
        <is>
          <t>Crédito Hipotecario</t>
        </is>
      </c>
      <c r="AU454" t="inlineStr">
        <is>
          <t>Scotiabank Perú</t>
        </is>
      </c>
      <c r="AV454" t="inlineStr">
        <is>
          <t>0004071419</t>
        </is>
      </c>
      <c r="AW454" t="inlineStr">
        <is>
          <t>TRANSFERENCIA BANCARIA</t>
        </is>
      </c>
      <c r="AZ454" t="inlineStr">
        <is>
          <t>No</t>
        </is>
      </c>
      <c r="BB454" t="n">
        <v>4</v>
      </c>
      <c r="BC454" t="inlineStr">
        <is>
          <t>CANCELADO</t>
        </is>
      </c>
      <c r="BN454" t="inlineStr">
        <is>
          <t>Si</t>
        </is>
      </c>
      <c r="BO454" s="117" t="n">
        <v>46178.34166666667</v>
      </c>
      <c r="BP454" t="inlineStr">
        <is>
          <t>Magaly Guevara Perez</t>
        </is>
      </c>
      <c r="BR454" t="n">
        <v>8</v>
      </c>
      <c r="BS454" t="inlineStr">
        <is>
          <t>18/08/2026 16:07</t>
        </is>
      </c>
      <c r="BT454" t="n">
        <v>0</v>
      </c>
      <c r="BX454" t="inlineStr">
        <is>
          <t>Cobranzas_2026.csv</t>
        </is>
      </c>
      <c r="BY454" t="n">
        <v>2026</v>
      </c>
      <c r="BZ454" t="inlineStr">
        <is>
          <t>01/01/2024</t>
        </is>
      </c>
      <c r="CA454" t="inlineStr">
        <is>
          <t>30/09/2031</t>
        </is>
      </c>
    </row>
    <row r="455">
      <c r="A455" t="inlineStr">
        <is>
          <t>RESIDENCIAL VENECIA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Estacionamiento</t>
        </is>
      </c>
      <c r="F455" t="inlineStr">
        <is>
          <t>E 04</t>
        </is>
      </c>
      <c r="G455" s="39" t="n">
        <v>48500</v>
      </c>
      <c r="H455" s="39" t="n">
        <v>48500</v>
      </c>
      <c r="M455" s="39" t="n"/>
      <c r="N455" s="39" t="n"/>
      <c r="S455" s="39" t="n"/>
      <c r="T455" s="39" t="n"/>
      <c r="Y455" s="39" t="n"/>
      <c r="Z455" s="39" t="n"/>
      <c r="AA455" t="inlineStr">
        <is>
          <t>Evelyn Arciela Leon Estela</t>
        </is>
      </c>
      <c r="AB455" t="inlineStr">
        <is>
          <t>70313948</t>
        </is>
      </c>
      <c r="AC455" t="inlineStr">
        <is>
          <t xml:space="preserve">Segunda Etapa.Mz 41 Lt. 35 -Urb. Torre Blanca </t>
        </is>
      </c>
      <c r="AD455" t="n">
        <v>0</v>
      </c>
      <c r="AE455" t="inlineStr">
        <is>
          <t>980746975</t>
        </is>
      </c>
      <c r="AF455" t="inlineStr">
        <is>
          <t>eale.050791@gmail.com</t>
        </is>
      </c>
      <c r="AG455" t="inlineStr">
        <is>
          <t>LIMA</t>
        </is>
      </c>
      <c r="AH455" t="inlineStr">
        <is>
          <t>CARABAYLLO</t>
        </is>
      </c>
      <c r="AI455" s="116" t="n">
        <v>46053</v>
      </c>
      <c r="AJ455" s="116" t="n">
        <v>46048</v>
      </c>
      <c r="AK455" t="inlineStr">
        <is>
          <t>SALDO FINANCIAR</t>
        </is>
      </c>
      <c r="AL455" t="n">
        <v>4</v>
      </c>
      <c r="AM455" t="n">
        <v>1940</v>
      </c>
      <c r="AN455" t="n">
        <v>0</v>
      </c>
      <c r="AO455" t="n">
        <v>0</v>
      </c>
      <c r="AP455" s="39" t="n">
        <v>1940</v>
      </c>
      <c r="AQ455" s="39" t="n">
        <v>1940</v>
      </c>
      <c r="AR455" s="39" t="n">
        <v>0</v>
      </c>
      <c r="AS455" t="n">
        <v>0</v>
      </c>
      <c r="AT455" t="inlineStr">
        <is>
          <t>Crédito Directo</t>
        </is>
      </c>
      <c r="AU455" t="inlineStr">
        <is>
          <t>Scotiabank Perú</t>
        </is>
      </c>
      <c r="AV455" t="inlineStr">
        <is>
          <t>0004071419</t>
        </is>
      </c>
      <c r="AW455" t="inlineStr">
        <is>
          <t>TRANSFERENCIA BANCARIA</t>
        </is>
      </c>
      <c r="AY455" t="inlineStr">
        <is>
          <t>U100022</t>
        </is>
      </c>
      <c r="AZ455" t="inlineStr">
        <is>
          <t>No</t>
        </is>
      </c>
      <c r="BB455" t="n">
        <v>4</v>
      </c>
      <c r="BC455" t="inlineStr">
        <is>
          <t>CANCELADO</t>
        </is>
      </c>
      <c r="BN455" t="inlineStr">
        <is>
          <t>Si</t>
        </is>
      </c>
      <c r="BO455" s="117" t="n">
        <v>45932.67638888889</v>
      </c>
      <c r="BP455" t="inlineStr">
        <is>
          <t>Magaly Guevara Perez</t>
        </is>
      </c>
      <c r="BR455" t="n">
        <v>19</v>
      </c>
      <c r="BS455" t="inlineStr">
        <is>
          <t>02/07/2026 16:08</t>
        </is>
      </c>
      <c r="BT455" t="n">
        <v>0</v>
      </c>
      <c r="BX455" t="inlineStr">
        <is>
          <t>Cobranzas_2026.csv</t>
        </is>
      </c>
      <c r="BY455" t="n">
        <v>2026</v>
      </c>
      <c r="BZ455" t="inlineStr">
        <is>
          <t>01/01/2024</t>
        </is>
      </c>
      <c r="CA455" t="inlineStr">
        <is>
          <t>30/09/2031</t>
        </is>
      </c>
    </row>
    <row r="456">
      <c r="A456" t="inlineStr">
        <is>
          <t>RESIDENCIAL VENECIA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Estacionamiento</t>
        </is>
      </c>
      <c r="F456" t="inlineStr">
        <is>
          <t>E 04</t>
        </is>
      </c>
      <c r="G456" s="39" t="n">
        <v>48500</v>
      </c>
      <c r="H456" s="39" t="n">
        <v>48500</v>
      </c>
      <c r="M456" s="39" t="n"/>
      <c r="N456" s="39" t="n"/>
      <c r="S456" s="39" t="n"/>
      <c r="T456" s="39" t="n"/>
      <c r="Y456" s="39" t="n"/>
      <c r="Z456" s="39" t="n"/>
      <c r="AA456" t="inlineStr">
        <is>
          <t>Evelyn Arciela Leon Estela</t>
        </is>
      </c>
      <c r="AB456" t="inlineStr">
        <is>
          <t>70313948</t>
        </is>
      </c>
      <c r="AC456" t="inlineStr">
        <is>
          <t xml:space="preserve">Segunda Etapa.Mz 41 Lt. 35 -Urb. Torre Blanca </t>
        </is>
      </c>
      <c r="AD456" t="n">
        <v>0</v>
      </c>
      <c r="AE456" t="inlineStr">
        <is>
          <t>980746975</t>
        </is>
      </c>
      <c r="AF456" t="inlineStr">
        <is>
          <t>eale.050791@gmail.com</t>
        </is>
      </c>
      <c r="AG456" t="inlineStr">
        <is>
          <t>LIMA</t>
        </is>
      </c>
      <c r="AH456" t="inlineStr">
        <is>
          <t>CARABAYLLO</t>
        </is>
      </c>
      <c r="AI456" s="116" t="n">
        <v>46081</v>
      </c>
      <c r="AJ456" s="116" t="n">
        <v>46078</v>
      </c>
      <c r="AK456" t="inlineStr">
        <is>
          <t>SALDO FINANCIAR</t>
        </is>
      </c>
      <c r="AL456" t="n">
        <v>5</v>
      </c>
      <c r="AM456" t="n">
        <v>1940</v>
      </c>
      <c r="AN456" t="n">
        <v>0</v>
      </c>
      <c r="AO456" t="n">
        <v>0</v>
      </c>
      <c r="AP456" s="39" t="n">
        <v>1940</v>
      </c>
      <c r="AQ456" s="39" t="n">
        <v>1940</v>
      </c>
      <c r="AR456" s="39" t="n">
        <v>0</v>
      </c>
      <c r="AS456" t="n">
        <v>0</v>
      </c>
      <c r="AT456" t="inlineStr">
        <is>
          <t>Crédito Directo</t>
        </is>
      </c>
      <c r="AU456" t="inlineStr">
        <is>
          <t>Scotiabank Perú</t>
        </is>
      </c>
      <c r="AV456" t="inlineStr">
        <is>
          <t>0004071419</t>
        </is>
      </c>
      <c r="AW456" t="inlineStr">
        <is>
          <t>TRANSFERENCIA BANCARIA</t>
        </is>
      </c>
      <c r="AY456" t="inlineStr">
        <is>
          <t>U27655</t>
        </is>
      </c>
      <c r="AZ456" t="inlineStr">
        <is>
          <t>No</t>
        </is>
      </c>
      <c r="BB456" t="n">
        <v>4</v>
      </c>
      <c r="BC456" t="inlineStr">
        <is>
          <t>CANCELADO</t>
        </is>
      </c>
      <c r="BN456" t="inlineStr">
        <is>
          <t>Si</t>
        </is>
      </c>
      <c r="BO456" s="117" t="n">
        <v>45932.67638888889</v>
      </c>
      <c r="BP456" t="inlineStr">
        <is>
          <t>Magaly Guevara Perez</t>
        </is>
      </c>
      <c r="BR456" t="n">
        <v>19</v>
      </c>
      <c r="BS456" t="inlineStr">
        <is>
          <t>02/07/2026 16:09</t>
        </is>
      </c>
      <c r="BT456" t="n">
        <v>0</v>
      </c>
      <c r="BX456" t="inlineStr">
        <is>
          <t>Cobranzas_2026.csv</t>
        </is>
      </c>
      <c r="BY456" t="n">
        <v>2026</v>
      </c>
      <c r="BZ456" t="inlineStr">
        <is>
          <t>01/01/2024</t>
        </is>
      </c>
      <c r="CA456" t="inlineStr">
        <is>
          <t>30/09/2031</t>
        </is>
      </c>
    </row>
    <row r="457">
      <c r="A457" t="inlineStr">
        <is>
          <t>RESIDENCIAL VENECIA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Estacionamiento</t>
        </is>
      </c>
      <c r="F457" t="inlineStr">
        <is>
          <t>E 04</t>
        </is>
      </c>
      <c r="G457" s="39" t="n">
        <v>48500</v>
      </c>
      <c r="H457" s="39" t="n">
        <v>48500</v>
      </c>
      <c r="M457" s="39" t="n"/>
      <c r="N457" s="39" t="n"/>
      <c r="S457" s="39" t="n"/>
      <c r="T457" s="39" t="n"/>
      <c r="Y457" s="39" t="n"/>
      <c r="Z457" s="39" t="n"/>
      <c r="AA457" t="inlineStr">
        <is>
          <t>Evelyn Arciela Leon Estela</t>
        </is>
      </c>
      <c r="AB457" t="inlineStr">
        <is>
          <t>70313948</t>
        </is>
      </c>
      <c r="AC457" t="inlineStr">
        <is>
          <t xml:space="preserve">Segunda Etapa.Mz 41 Lt. 35 -Urb. Torre Blanca </t>
        </is>
      </c>
      <c r="AD457" t="n">
        <v>0</v>
      </c>
      <c r="AE457" t="inlineStr">
        <is>
          <t>980746975</t>
        </is>
      </c>
      <c r="AF457" t="inlineStr">
        <is>
          <t>eale.050791@gmail.com</t>
        </is>
      </c>
      <c r="AG457" t="inlineStr">
        <is>
          <t>LIMA</t>
        </is>
      </c>
      <c r="AH457" t="inlineStr">
        <is>
          <t>CARABAYLLO</t>
        </is>
      </c>
      <c r="AI457" s="116" t="n">
        <v>46112</v>
      </c>
      <c r="AJ457" s="116" t="n">
        <v>46107</v>
      </c>
      <c r="AK457" t="inlineStr">
        <is>
          <t>SALDO FINANCIAR</t>
        </is>
      </c>
      <c r="AL457" t="n">
        <v>6</v>
      </c>
      <c r="AM457" t="n">
        <v>1940</v>
      </c>
      <c r="AN457" t="n">
        <v>0</v>
      </c>
      <c r="AO457" t="n">
        <v>0</v>
      </c>
      <c r="AP457" s="39" t="n">
        <v>1940</v>
      </c>
      <c r="AQ457" s="39" t="n">
        <v>1940</v>
      </c>
      <c r="AR457" s="39" t="n">
        <v>0</v>
      </c>
      <c r="AS457" t="n">
        <v>0</v>
      </c>
      <c r="AT457" t="inlineStr">
        <is>
          <t>Crédito Directo</t>
        </is>
      </c>
      <c r="AU457" t="inlineStr">
        <is>
          <t>Scotiabank Perú</t>
        </is>
      </c>
      <c r="AV457" t="inlineStr">
        <is>
          <t>0004071419</t>
        </is>
      </c>
      <c r="AW457" t="inlineStr">
        <is>
          <t>TRANSFERENCIA BANCARIA</t>
        </is>
      </c>
      <c r="AY457" t="inlineStr">
        <is>
          <t>U24661</t>
        </is>
      </c>
      <c r="AZ457" t="inlineStr">
        <is>
          <t>No</t>
        </is>
      </c>
      <c r="BB457" t="n">
        <v>4</v>
      </c>
      <c r="BC457" t="inlineStr">
        <is>
          <t>CANCELADO</t>
        </is>
      </c>
      <c r="BN457" t="inlineStr">
        <is>
          <t>Si</t>
        </is>
      </c>
      <c r="BO457" s="117" t="n">
        <v>45932.67638888889</v>
      </c>
      <c r="BP457" t="inlineStr">
        <is>
          <t>Magaly Guevara Perez</t>
        </is>
      </c>
      <c r="BR457" t="n">
        <v>19</v>
      </c>
      <c r="BS457" t="inlineStr">
        <is>
          <t>02/07/2026 16:10</t>
        </is>
      </c>
      <c r="BT457" t="n">
        <v>0</v>
      </c>
      <c r="BX457" t="inlineStr">
        <is>
          <t>Cobranzas_2026.csv</t>
        </is>
      </c>
      <c r="BY457" t="n">
        <v>2026</v>
      </c>
      <c r="BZ457" t="inlineStr">
        <is>
          <t>01/01/2024</t>
        </is>
      </c>
      <c r="CA457" t="inlineStr">
        <is>
          <t>30/09/2031</t>
        </is>
      </c>
    </row>
    <row r="458">
      <c r="A458" t="inlineStr">
        <is>
          <t>RESIDENCIAL VENECIA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Estacionamiento</t>
        </is>
      </c>
      <c r="F458" t="inlineStr">
        <is>
          <t>E 04</t>
        </is>
      </c>
      <c r="G458" s="39" t="n">
        <v>48500</v>
      </c>
      <c r="H458" s="39" t="n">
        <v>48500</v>
      </c>
      <c r="M458" s="39" t="n"/>
      <c r="N458" s="39" t="n"/>
      <c r="S458" s="39" t="n"/>
      <c r="T458" s="39" t="n"/>
      <c r="Y458" s="39" t="n"/>
      <c r="Z458" s="39" t="n"/>
      <c r="AA458" t="inlineStr">
        <is>
          <t>Evelyn Arciela Leon Estela</t>
        </is>
      </c>
      <c r="AB458" t="inlineStr">
        <is>
          <t>70313948</t>
        </is>
      </c>
      <c r="AC458" t="inlineStr">
        <is>
          <t xml:space="preserve">Segunda Etapa.Mz 41 Lt. 35 -Urb. Torre Blanca </t>
        </is>
      </c>
      <c r="AD458" t="n">
        <v>0</v>
      </c>
      <c r="AE458" t="inlineStr">
        <is>
          <t>980746975</t>
        </is>
      </c>
      <c r="AF458" t="inlineStr">
        <is>
          <t>eale.050791@gmail.com</t>
        </is>
      </c>
      <c r="AG458" t="inlineStr">
        <is>
          <t>LIMA</t>
        </is>
      </c>
      <c r="AH458" t="inlineStr">
        <is>
          <t>CARABAYLLO</t>
        </is>
      </c>
      <c r="AI458" s="116" t="n">
        <v>46142</v>
      </c>
      <c r="AJ458" s="116" t="n">
        <v>46134</v>
      </c>
      <c r="AK458" t="inlineStr">
        <is>
          <t>SALDO FINANCIAR</t>
        </is>
      </c>
      <c r="AL458" t="n">
        <v>7</v>
      </c>
      <c r="AM458" t="n">
        <v>1940</v>
      </c>
      <c r="AN458" t="n">
        <v>0</v>
      </c>
      <c r="AO458" t="n">
        <v>0</v>
      </c>
      <c r="AP458" s="39" t="n">
        <v>1940</v>
      </c>
      <c r="AQ458" s="39" t="n">
        <v>1940</v>
      </c>
      <c r="AR458" s="39" t="n">
        <v>0</v>
      </c>
      <c r="AS458" t="n">
        <v>0</v>
      </c>
      <c r="AT458" t="inlineStr">
        <is>
          <t>Crédito Directo</t>
        </is>
      </c>
      <c r="AU458" t="inlineStr">
        <is>
          <t>Scotiabank Perú</t>
        </is>
      </c>
      <c r="AV458" t="inlineStr">
        <is>
          <t>0004071419</t>
        </is>
      </c>
      <c r="AW458" t="inlineStr">
        <is>
          <t>TRANSFERENCIA BANCARIA</t>
        </is>
      </c>
      <c r="AY458" t="inlineStr">
        <is>
          <t>U1000499</t>
        </is>
      </c>
      <c r="AZ458" t="inlineStr">
        <is>
          <t>No</t>
        </is>
      </c>
      <c r="BB458" t="n">
        <v>4</v>
      </c>
      <c r="BC458" t="inlineStr">
        <is>
          <t>CANCELADO</t>
        </is>
      </c>
      <c r="BN458" t="inlineStr">
        <is>
          <t>Si</t>
        </is>
      </c>
      <c r="BO458" s="117" t="n">
        <v>45932.67638888889</v>
      </c>
      <c r="BP458" t="inlineStr">
        <is>
          <t>Magaly Guevara Perez</t>
        </is>
      </c>
      <c r="BR458" t="n">
        <v>19</v>
      </c>
      <c r="BS458" t="inlineStr">
        <is>
          <t>02/07/2026 16:11</t>
        </is>
      </c>
      <c r="BT458" t="n">
        <v>0</v>
      </c>
      <c r="BX458" t="inlineStr">
        <is>
          <t>Cobranzas_2026.csv</t>
        </is>
      </c>
      <c r="BY458" t="n">
        <v>2026</v>
      </c>
      <c r="BZ458" t="inlineStr">
        <is>
          <t>01/01/2024</t>
        </is>
      </c>
      <c r="CA458" t="inlineStr">
        <is>
          <t>30/09/2031</t>
        </is>
      </c>
    </row>
    <row r="459">
      <c r="A459" t="inlineStr">
        <is>
          <t>RESIDENCIAL VENECIA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Estacionamiento</t>
        </is>
      </c>
      <c r="F459" t="inlineStr">
        <is>
          <t>E 04</t>
        </is>
      </c>
      <c r="G459" s="39" t="n">
        <v>48500</v>
      </c>
      <c r="H459" s="39" t="n">
        <v>48500</v>
      </c>
      <c r="M459" s="39" t="n"/>
      <c r="N459" s="39" t="n"/>
      <c r="S459" s="39" t="n"/>
      <c r="T459" s="39" t="n"/>
      <c r="Y459" s="39" t="n"/>
      <c r="Z459" s="39" t="n"/>
      <c r="AA459" t="inlineStr">
        <is>
          <t>Evelyn Arciela Leon Estela</t>
        </is>
      </c>
      <c r="AB459" t="inlineStr">
        <is>
          <t>70313948</t>
        </is>
      </c>
      <c r="AC459" t="inlineStr">
        <is>
          <t xml:space="preserve">Segunda Etapa.Mz 41 Lt. 35 -Urb. Torre Blanca </t>
        </is>
      </c>
      <c r="AD459" t="n">
        <v>0</v>
      </c>
      <c r="AE459" t="inlineStr">
        <is>
          <t>980746975</t>
        </is>
      </c>
      <c r="AF459" t="inlineStr">
        <is>
          <t>eale.050791@gmail.com</t>
        </is>
      </c>
      <c r="AG459" t="inlineStr">
        <is>
          <t>LIMA</t>
        </is>
      </c>
      <c r="AH459" t="inlineStr">
        <is>
          <t>CARABAYLLO</t>
        </is>
      </c>
      <c r="AI459" s="116" t="n">
        <v>46173</v>
      </c>
      <c r="AJ459" s="116" t="n">
        <v>46167</v>
      </c>
      <c r="AK459" t="inlineStr">
        <is>
          <t>SALDO FINANCIAR</t>
        </is>
      </c>
      <c r="AL459" t="n">
        <v>8</v>
      </c>
      <c r="AM459" t="n">
        <v>1940</v>
      </c>
      <c r="AN459" t="n">
        <v>0</v>
      </c>
      <c r="AO459" t="n">
        <v>0</v>
      </c>
      <c r="AP459" s="39" t="n">
        <v>1940</v>
      </c>
      <c r="AQ459" s="39" t="n">
        <v>1940</v>
      </c>
      <c r="AR459" s="39" t="n">
        <v>0</v>
      </c>
      <c r="AS459" t="n">
        <v>0</v>
      </c>
      <c r="AT459" t="inlineStr">
        <is>
          <t>Crédito Directo</t>
        </is>
      </c>
      <c r="AU459" t="inlineStr">
        <is>
          <t>Scotiabank Perú</t>
        </is>
      </c>
      <c r="AV459" t="inlineStr">
        <is>
          <t>0004071419</t>
        </is>
      </c>
      <c r="AW459" t="inlineStr">
        <is>
          <t>TRANSFERENCIA BANCARIA</t>
        </is>
      </c>
      <c r="AY459" t="inlineStr">
        <is>
          <t>U24661</t>
        </is>
      </c>
      <c r="AZ459" t="inlineStr">
        <is>
          <t>No</t>
        </is>
      </c>
      <c r="BB459" t="n">
        <v>4</v>
      </c>
      <c r="BC459" t="inlineStr">
        <is>
          <t>CANCELADO</t>
        </is>
      </c>
      <c r="BN459" t="inlineStr">
        <is>
          <t>Si</t>
        </is>
      </c>
      <c r="BO459" s="117" t="n">
        <v>45932.67638888889</v>
      </c>
      <c r="BP459" t="inlineStr">
        <is>
          <t>Magaly Guevara Perez</t>
        </is>
      </c>
      <c r="BR459" t="n">
        <v>19</v>
      </c>
      <c r="BS459" t="inlineStr">
        <is>
          <t>02/07/2026 16:12</t>
        </is>
      </c>
      <c r="BT459" t="n">
        <v>0</v>
      </c>
      <c r="BX459" t="inlineStr">
        <is>
          <t>Cobranzas_2026.csv</t>
        </is>
      </c>
      <c r="BY459" t="n">
        <v>2026</v>
      </c>
      <c r="BZ459" t="inlineStr">
        <is>
          <t>01/01/2024</t>
        </is>
      </c>
      <c r="CA459" t="inlineStr">
        <is>
          <t>30/09/2031</t>
        </is>
      </c>
    </row>
    <row r="460">
      <c r="A460" t="inlineStr">
        <is>
          <t>RESIDENCIAL VENECIA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Estacionamiento</t>
        </is>
      </c>
      <c r="F460" t="inlineStr">
        <is>
          <t>E 04</t>
        </is>
      </c>
      <c r="G460" s="39" t="n">
        <v>48500</v>
      </c>
      <c r="H460" s="39" t="n">
        <v>48500</v>
      </c>
      <c r="M460" s="39" t="n"/>
      <c r="N460" s="39" t="n"/>
      <c r="S460" s="39" t="n"/>
      <c r="T460" s="39" t="n"/>
      <c r="Y460" s="39" t="n"/>
      <c r="Z460" s="39" t="n"/>
      <c r="AA460" t="inlineStr">
        <is>
          <t>Evelyn Arciela Leon Estela</t>
        </is>
      </c>
      <c r="AB460" t="inlineStr">
        <is>
          <t>70313948</t>
        </is>
      </c>
      <c r="AC460" t="inlineStr">
        <is>
          <t xml:space="preserve">Segunda Etapa.Mz 41 Lt. 35 -Urb. Torre Blanca </t>
        </is>
      </c>
      <c r="AD460" t="n">
        <v>0</v>
      </c>
      <c r="AE460" t="inlineStr">
        <is>
          <t>980746975</t>
        </is>
      </c>
      <c r="AF460" t="inlineStr">
        <is>
          <t>eale.050791@gmail.com</t>
        </is>
      </c>
      <c r="AG460" t="inlineStr">
        <is>
          <t>LIMA</t>
        </is>
      </c>
      <c r="AH460" t="inlineStr">
        <is>
          <t>CARABAYLLO</t>
        </is>
      </c>
      <c r="AI460" s="116" t="n">
        <v>46203</v>
      </c>
      <c r="AJ460" s="116" t="n">
        <v>46196</v>
      </c>
      <c r="AK460" t="inlineStr">
        <is>
          <t>SALDO FINANCIAR</t>
        </is>
      </c>
      <c r="AL460" t="n">
        <v>9</v>
      </c>
      <c r="AM460" t="n">
        <v>1940</v>
      </c>
      <c r="AN460" t="n">
        <v>0</v>
      </c>
      <c r="AO460" t="n">
        <v>0</v>
      </c>
      <c r="AP460" s="39" t="n">
        <v>1940</v>
      </c>
      <c r="AQ460" s="39" t="n">
        <v>1940</v>
      </c>
      <c r="AR460" s="39" t="n">
        <v>0</v>
      </c>
      <c r="AS460" t="n">
        <v>0</v>
      </c>
      <c r="AT460" t="inlineStr">
        <is>
          <t>Crédito Directo</t>
        </is>
      </c>
      <c r="AU460" t="inlineStr">
        <is>
          <t>Scotiabank Perú</t>
        </is>
      </c>
      <c r="AV460" t="inlineStr">
        <is>
          <t>0004071419</t>
        </is>
      </c>
      <c r="AW460" t="inlineStr">
        <is>
          <t>TRANSFERENCIA BANCARIA</t>
        </is>
      </c>
      <c r="AY460" t="inlineStr">
        <is>
          <t>U101281</t>
        </is>
      </c>
      <c r="AZ460" t="inlineStr">
        <is>
          <t>No</t>
        </is>
      </c>
      <c r="BB460" t="n">
        <v>4</v>
      </c>
      <c r="BC460" t="inlineStr">
        <is>
          <t>CANCELADO</t>
        </is>
      </c>
      <c r="BN460" t="inlineStr">
        <is>
          <t>Si</t>
        </is>
      </c>
      <c r="BO460" s="117" t="n">
        <v>45932.67638888889</v>
      </c>
      <c r="BP460" t="inlineStr">
        <is>
          <t>Magaly Guevara Perez</t>
        </is>
      </c>
      <c r="BR460" t="n">
        <v>19</v>
      </c>
      <c r="BS460" t="inlineStr">
        <is>
          <t>02/07/2026 16:12</t>
        </is>
      </c>
      <c r="BT460" t="n">
        <v>0</v>
      </c>
      <c r="BX460" t="inlineStr">
        <is>
          <t>Cobranzas_2026.csv</t>
        </is>
      </c>
      <c r="BY460" t="n">
        <v>2026</v>
      </c>
      <c r="BZ460" t="inlineStr">
        <is>
          <t>01/01/2024</t>
        </is>
      </c>
      <c r="CA460" t="inlineStr">
        <is>
          <t>30/09/2031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Estacionamiento</t>
        </is>
      </c>
      <c r="F461" t="inlineStr">
        <is>
          <t>E 04</t>
        </is>
      </c>
      <c r="G461" s="39" t="n">
        <v>48500</v>
      </c>
      <c r="H461" s="39" t="n">
        <v>48500</v>
      </c>
      <c r="M461" s="39" t="n"/>
      <c r="N461" s="39" t="n"/>
      <c r="S461" s="39" t="n"/>
      <c r="T461" s="39" t="n"/>
      <c r="Y461" s="39" t="n"/>
      <c r="Z461" s="39" t="n"/>
      <c r="AA461" t="inlineStr">
        <is>
          <t>Evelyn Arciela Leon Estela</t>
        </is>
      </c>
      <c r="AB461" t="inlineStr">
        <is>
          <t>70313948</t>
        </is>
      </c>
      <c r="AC461" t="inlineStr">
        <is>
          <t xml:space="preserve">Segunda Etapa.Mz 41 Lt. 35 -Urb. Torre Blanca </t>
        </is>
      </c>
      <c r="AD461" t="n">
        <v>0</v>
      </c>
      <c r="AE461" t="inlineStr">
        <is>
          <t>980746975</t>
        </is>
      </c>
      <c r="AF461" t="inlineStr">
        <is>
          <t>eale.050791@gmail.com</t>
        </is>
      </c>
      <c r="AG461" t="inlineStr">
        <is>
          <t>LIMA</t>
        </is>
      </c>
      <c r="AH461" t="inlineStr">
        <is>
          <t>CARABAYLLO</t>
        </is>
      </c>
      <c r="AI461" s="116" t="n">
        <v>46234</v>
      </c>
      <c r="AJ461" s="116" t="n">
        <v>46223</v>
      </c>
      <c r="AK461" t="inlineStr">
        <is>
          <t>SALDO FINANCIAR</t>
        </is>
      </c>
      <c r="AL461" t="n">
        <v>10</v>
      </c>
      <c r="AM461" t="n">
        <v>1940</v>
      </c>
      <c r="AN461" t="n">
        <v>0</v>
      </c>
      <c r="AO461" t="n">
        <v>0</v>
      </c>
      <c r="AP461" s="39" t="n">
        <v>1940</v>
      </c>
      <c r="AQ461" s="39" t="n">
        <v>1940</v>
      </c>
      <c r="AR461" s="39" t="n">
        <v>0</v>
      </c>
      <c r="AS461" t="n">
        <v>0</v>
      </c>
      <c r="AT461" t="inlineStr">
        <is>
          <t>Crédito Directo</t>
        </is>
      </c>
      <c r="AU461" t="inlineStr">
        <is>
          <t>Scotiabank Perú</t>
        </is>
      </c>
      <c r="AV461" t="inlineStr">
        <is>
          <t>0004071419</t>
        </is>
      </c>
      <c r="AW461" t="inlineStr">
        <is>
          <t>TRANSFERENCIA BANCARIA</t>
        </is>
      </c>
      <c r="AY461" t="inlineStr">
        <is>
          <t>100645</t>
        </is>
      </c>
      <c r="AZ461" t="inlineStr">
        <is>
          <t>No</t>
        </is>
      </c>
      <c r="BB461" t="n">
        <v>4</v>
      </c>
      <c r="BC461" t="inlineStr">
        <is>
          <t>CANCELADO</t>
        </is>
      </c>
      <c r="BN461" t="inlineStr">
        <is>
          <t>Si</t>
        </is>
      </c>
      <c r="BO461" s="117" t="n">
        <v>45932.67638888889</v>
      </c>
      <c r="BP461" t="inlineStr">
        <is>
          <t>Magaly Guevara Perez</t>
        </is>
      </c>
      <c r="BR461" t="n">
        <v>19</v>
      </c>
      <c r="BS461" t="inlineStr">
        <is>
          <t>18/08/2026 16:41</t>
        </is>
      </c>
      <c r="BT461" t="n">
        <v>0</v>
      </c>
      <c r="BX461" t="inlineStr">
        <is>
          <t>Cobranzas_2026.csv</t>
        </is>
      </c>
      <c r="BY461" t="n">
        <v>2026</v>
      </c>
      <c r="BZ461" t="inlineStr">
        <is>
          <t>01/01/2024</t>
        </is>
      </c>
      <c r="CA461" t="inlineStr">
        <is>
          <t>30/09/2031</t>
        </is>
      </c>
    </row>
    <row r="462">
      <c r="A462" t="inlineStr">
        <is>
          <t>RESIDENCIAL VENECIA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Estacionamiento</t>
        </is>
      </c>
      <c r="F462" t="inlineStr">
        <is>
          <t>E 04</t>
        </is>
      </c>
      <c r="G462" s="39" t="n">
        <v>48500</v>
      </c>
      <c r="H462" s="39" t="n">
        <v>48500</v>
      </c>
      <c r="M462" s="39" t="n"/>
      <c r="N462" s="39" t="n"/>
      <c r="S462" s="39" t="n"/>
      <c r="T462" s="39" t="n"/>
      <c r="Y462" s="39" t="n"/>
      <c r="Z462" s="39" t="n"/>
      <c r="AA462" t="inlineStr">
        <is>
          <t>Evelyn Arciela Leon Estela</t>
        </is>
      </c>
      <c r="AB462" t="inlineStr">
        <is>
          <t>70313948</t>
        </is>
      </c>
      <c r="AC462" t="inlineStr">
        <is>
          <t xml:space="preserve">Segunda Etapa.Mz 41 Lt. 35 -Urb. Torre Blanca </t>
        </is>
      </c>
      <c r="AD462" t="n">
        <v>0</v>
      </c>
      <c r="AE462" t="inlineStr">
        <is>
          <t>980746975</t>
        </is>
      </c>
      <c r="AF462" t="inlineStr">
        <is>
          <t>eale.050791@gmail.com</t>
        </is>
      </c>
      <c r="AG462" t="inlineStr">
        <is>
          <t>LIMA</t>
        </is>
      </c>
      <c r="AH462" t="inlineStr">
        <is>
          <t>CARABAYLLO</t>
        </is>
      </c>
      <c r="AI462" s="116" t="n">
        <v>46265</v>
      </c>
      <c r="AJ462" s="116" t="n">
        <v>46254</v>
      </c>
      <c r="AK462" t="inlineStr">
        <is>
          <t>SALDO FINANCIAR</t>
        </is>
      </c>
      <c r="AL462" t="n">
        <v>11</v>
      </c>
      <c r="AM462" t="n">
        <v>1940</v>
      </c>
      <c r="AN462" t="n">
        <v>0</v>
      </c>
      <c r="AO462" t="n">
        <v>0</v>
      </c>
      <c r="AP462" s="39" t="n">
        <v>1940</v>
      </c>
      <c r="AQ462" s="39" t="n">
        <v>1940</v>
      </c>
      <c r="AR462" s="39" t="n">
        <v>0</v>
      </c>
      <c r="AS462" t="n">
        <v>0</v>
      </c>
      <c r="AT462" t="inlineStr">
        <is>
          <t>Crédito Directo</t>
        </is>
      </c>
      <c r="AU462" t="inlineStr">
        <is>
          <t>Scotiabank Perú</t>
        </is>
      </c>
      <c r="AV462" t="inlineStr">
        <is>
          <t>0004071419</t>
        </is>
      </c>
      <c r="AW462" t="inlineStr">
        <is>
          <t>TRANSFERENCIA BANCARIA</t>
        </is>
      </c>
      <c r="AY462" t="inlineStr">
        <is>
          <t>U27443</t>
        </is>
      </c>
      <c r="AZ462" t="inlineStr">
        <is>
          <t>No</t>
        </is>
      </c>
      <c r="BB462" t="n">
        <v>4</v>
      </c>
      <c r="BC462" t="inlineStr">
        <is>
          <t>CANCELADO</t>
        </is>
      </c>
      <c r="BN462" t="inlineStr">
        <is>
          <t>Si</t>
        </is>
      </c>
      <c r="BO462" s="117" t="n">
        <v>45932.67638888889</v>
      </c>
      <c r="BP462" t="inlineStr">
        <is>
          <t>Magaly Guevara Perez</t>
        </is>
      </c>
      <c r="BR462" t="n">
        <v>19</v>
      </c>
      <c r="BS462" t="inlineStr">
        <is>
          <t>21/08/2026 10:47</t>
        </is>
      </c>
      <c r="BT462" t="n">
        <v>0</v>
      </c>
      <c r="BX462" t="inlineStr">
        <is>
          <t>Cobranzas_2026.csv</t>
        </is>
      </c>
      <c r="BY462" t="n">
        <v>2026</v>
      </c>
      <c r="BZ462" t="inlineStr">
        <is>
          <t>01/01/2024</t>
        </is>
      </c>
      <c r="CA462" t="inlineStr">
        <is>
          <t>30/09/2031</t>
        </is>
      </c>
    </row>
    <row r="463">
      <c r="A463" t="inlineStr">
        <is>
          <t>RESIDENCIAL VENECIA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Estacionamiento</t>
        </is>
      </c>
      <c r="F463" t="inlineStr">
        <is>
          <t>E 04</t>
        </is>
      </c>
      <c r="G463" s="39" t="n">
        <v>48500</v>
      </c>
      <c r="H463" s="39" t="n">
        <v>48500</v>
      </c>
      <c r="M463" s="39" t="n"/>
      <c r="N463" s="39" t="n"/>
      <c r="S463" s="39" t="n"/>
      <c r="T463" s="39" t="n"/>
      <c r="Y463" s="39" t="n"/>
      <c r="Z463" s="39" t="n"/>
      <c r="AA463" t="inlineStr">
        <is>
          <t>Evelyn Arciela Leon Estela</t>
        </is>
      </c>
      <c r="AB463" t="inlineStr">
        <is>
          <t>70313948</t>
        </is>
      </c>
      <c r="AC463" t="inlineStr">
        <is>
          <t xml:space="preserve">Segunda Etapa.Mz 41 Lt. 35 -Urb. Torre Blanca </t>
        </is>
      </c>
      <c r="AD463" t="n">
        <v>0</v>
      </c>
      <c r="AE463" t="inlineStr">
        <is>
          <t>980746975</t>
        </is>
      </c>
      <c r="AF463" t="inlineStr">
        <is>
          <t>eale.050791@gmail.com</t>
        </is>
      </c>
      <c r="AG463" t="inlineStr">
        <is>
          <t>LIMA</t>
        </is>
      </c>
      <c r="AH463" t="inlineStr">
        <is>
          <t>CARABAYLLO</t>
        </is>
      </c>
      <c r="AI463" s="116" t="n">
        <v>46295</v>
      </c>
      <c r="AJ463" s="116" t="n"/>
      <c r="AK463" t="inlineStr">
        <is>
          <t>SALDO FINANCIAR</t>
        </is>
      </c>
      <c r="AL463" t="n">
        <v>12</v>
      </c>
      <c r="AM463" t="n">
        <v>1940</v>
      </c>
      <c r="AN463" t="n">
        <v>0</v>
      </c>
      <c r="AO463" t="n">
        <v>0</v>
      </c>
      <c r="AP463" s="39" t="n">
        <v>1940</v>
      </c>
      <c r="AQ463" s="39" t="n">
        <v>0</v>
      </c>
      <c r="AR463" s="39" t="n">
        <v>1940</v>
      </c>
      <c r="AT463" t="inlineStr">
        <is>
          <t>Crédito Directo</t>
        </is>
      </c>
      <c r="AZ463" t="inlineStr">
        <is>
          <t>No</t>
        </is>
      </c>
      <c r="BC463" t="inlineStr">
        <is>
          <t>VENCIDO</t>
        </is>
      </c>
      <c r="BN463" t="inlineStr">
        <is>
          <t>No</t>
        </is>
      </c>
      <c r="BO463" s="117" t="n">
        <v>45932.67638888889</v>
      </c>
      <c r="BP463" t="inlineStr">
        <is>
          <t>Magaly Guevara Perez</t>
        </is>
      </c>
      <c r="BR463" t="n">
        <v>19</v>
      </c>
      <c r="BT463" t="n">
        <v>0</v>
      </c>
      <c r="BX463" t="inlineStr">
        <is>
          <t>Cobranzas_2026.csv</t>
        </is>
      </c>
      <c r="BY463" t="n">
        <v>2026</v>
      </c>
      <c r="BZ463" t="inlineStr">
        <is>
          <t>01/01/2024</t>
        </is>
      </c>
      <c r="CA463" t="inlineStr">
        <is>
          <t>30/09/2031</t>
        </is>
      </c>
    </row>
    <row r="464">
      <c r="A464" t="inlineStr">
        <is>
          <t>RESIDENCIAL VENECIA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Estacionamiento</t>
        </is>
      </c>
      <c r="F464" t="inlineStr">
        <is>
          <t>E 04</t>
        </is>
      </c>
      <c r="G464" s="39" t="n">
        <v>48500</v>
      </c>
      <c r="H464" s="39" t="n">
        <v>48500</v>
      </c>
      <c r="M464" s="39" t="n"/>
      <c r="N464" s="39" t="n"/>
      <c r="S464" s="39" t="n"/>
      <c r="T464" s="39" t="n"/>
      <c r="Y464" s="39" t="n"/>
      <c r="Z464" s="39" t="n"/>
      <c r="AA464" t="inlineStr">
        <is>
          <t>Evelyn Arciela Leon Estela</t>
        </is>
      </c>
      <c r="AB464" t="inlineStr">
        <is>
          <t>70313948</t>
        </is>
      </c>
      <c r="AC464" t="inlineStr">
        <is>
          <t xml:space="preserve">Segunda Etapa.Mz 41 Lt. 35 -Urb. Torre Blanca </t>
        </is>
      </c>
      <c r="AD464" t="n">
        <v>0</v>
      </c>
      <c r="AE464" t="inlineStr">
        <is>
          <t>980746975</t>
        </is>
      </c>
      <c r="AF464" t="inlineStr">
        <is>
          <t>eale.050791@gmail.com</t>
        </is>
      </c>
      <c r="AG464" t="inlineStr">
        <is>
          <t>LIMA</t>
        </is>
      </c>
      <c r="AH464" t="inlineStr">
        <is>
          <t>CARABAYLLO</t>
        </is>
      </c>
      <c r="AI464" s="116" t="n">
        <v>46326</v>
      </c>
      <c r="AJ464" s="116" t="n"/>
      <c r="AK464" t="inlineStr">
        <is>
          <t>SALDO FINANCIAR</t>
        </is>
      </c>
      <c r="AL464" t="n">
        <v>13</v>
      </c>
      <c r="AM464" t="n">
        <v>1940</v>
      </c>
      <c r="AN464" t="n">
        <v>0</v>
      </c>
      <c r="AO464" t="n">
        <v>0</v>
      </c>
      <c r="AP464" s="39" t="n">
        <v>1940</v>
      </c>
      <c r="AQ464" s="39" t="n">
        <v>0</v>
      </c>
      <c r="AR464" s="39" t="n">
        <v>1940</v>
      </c>
      <c r="AT464" t="inlineStr">
        <is>
          <t>Crédito Directo</t>
        </is>
      </c>
      <c r="AZ464" t="inlineStr">
        <is>
          <t>No</t>
        </is>
      </c>
      <c r="BC464" t="inlineStr">
        <is>
          <t>PENDIENTE</t>
        </is>
      </c>
      <c r="BN464" t="inlineStr">
        <is>
          <t>No</t>
        </is>
      </c>
      <c r="BO464" s="117" t="n">
        <v>45932.67638888889</v>
      </c>
      <c r="BP464" t="inlineStr">
        <is>
          <t>Magaly Guevara Perez</t>
        </is>
      </c>
      <c r="BR464" t="n">
        <v>19</v>
      </c>
      <c r="BT464" t="n">
        <v>0</v>
      </c>
      <c r="BX464" t="inlineStr">
        <is>
          <t>Cobranzas_2026.csv</t>
        </is>
      </c>
      <c r="BY464" t="n">
        <v>2026</v>
      </c>
      <c r="BZ464" t="inlineStr">
        <is>
          <t>01/01/2024</t>
        </is>
      </c>
      <c r="CA464" t="inlineStr">
        <is>
          <t>30/09/2031</t>
        </is>
      </c>
    </row>
    <row r="465">
      <c r="A465" t="inlineStr">
        <is>
          <t>RESIDENCIAL VENECIA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Estacionamiento</t>
        </is>
      </c>
      <c r="F465" t="inlineStr">
        <is>
          <t>E 04</t>
        </is>
      </c>
      <c r="G465" s="39" t="n">
        <v>48500</v>
      </c>
      <c r="H465" s="39" t="n">
        <v>48500</v>
      </c>
      <c r="M465" s="39" t="n"/>
      <c r="N465" s="39" t="n"/>
      <c r="S465" s="39" t="n"/>
      <c r="T465" s="39" t="n"/>
      <c r="Y465" s="39" t="n"/>
      <c r="Z465" s="39" t="n"/>
      <c r="AA465" t="inlineStr">
        <is>
          <t>Evelyn Arciela Leon Estela</t>
        </is>
      </c>
      <c r="AB465" t="inlineStr">
        <is>
          <t>70313948</t>
        </is>
      </c>
      <c r="AC465" t="inlineStr">
        <is>
          <t xml:space="preserve">Segunda Etapa.Mz 41 Lt. 35 -Urb. Torre Blanca </t>
        </is>
      </c>
      <c r="AD465" t="n">
        <v>0</v>
      </c>
      <c r="AE465" t="inlineStr">
        <is>
          <t>980746975</t>
        </is>
      </c>
      <c r="AF465" t="inlineStr">
        <is>
          <t>eale.050791@gmail.com</t>
        </is>
      </c>
      <c r="AG465" t="inlineStr">
        <is>
          <t>LIMA</t>
        </is>
      </c>
      <c r="AH465" t="inlineStr">
        <is>
          <t>CARABAYLLO</t>
        </is>
      </c>
      <c r="AI465" s="116" t="n">
        <v>46356</v>
      </c>
      <c r="AJ465" s="116" t="n"/>
      <c r="AK465" t="inlineStr">
        <is>
          <t>SALDO FINANCIAR</t>
        </is>
      </c>
      <c r="AL465" t="n">
        <v>14</v>
      </c>
      <c r="AM465" t="n">
        <v>1940</v>
      </c>
      <c r="AN465" t="n">
        <v>0</v>
      </c>
      <c r="AO465" t="n">
        <v>0</v>
      </c>
      <c r="AP465" s="39" t="n">
        <v>1940</v>
      </c>
      <c r="AQ465" s="39" t="n">
        <v>0</v>
      </c>
      <c r="AR465" s="39" t="n">
        <v>1940</v>
      </c>
      <c r="AT465" t="inlineStr">
        <is>
          <t>Crédito Directo</t>
        </is>
      </c>
      <c r="AZ465" t="inlineStr">
        <is>
          <t>No</t>
        </is>
      </c>
      <c r="BC465" t="inlineStr">
        <is>
          <t>PENDIENTE</t>
        </is>
      </c>
      <c r="BN465" t="inlineStr">
        <is>
          <t>No</t>
        </is>
      </c>
      <c r="BO465" s="117" t="n">
        <v>45932.67638888889</v>
      </c>
      <c r="BP465" t="inlineStr">
        <is>
          <t>Magaly Guevara Perez</t>
        </is>
      </c>
      <c r="BR465" t="n">
        <v>19</v>
      </c>
      <c r="BT465" t="n">
        <v>0</v>
      </c>
      <c r="BX465" t="inlineStr">
        <is>
          <t>Cobranzas_2026.csv</t>
        </is>
      </c>
      <c r="BY465" t="n">
        <v>2026</v>
      </c>
      <c r="BZ465" t="inlineStr">
        <is>
          <t>01/01/2024</t>
        </is>
      </c>
      <c r="CA465" t="inlineStr">
        <is>
          <t>30/09/2031</t>
        </is>
      </c>
    </row>
    <row r="466">
      <c r="A466" t="inlineStr">
        <is>
          <t>RESIDENCIAL VENECIA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Estacionamiento</t>
        </is>
      </c>
      <c r="F466" t="inlineStr">
        <is>
          <t>E 04</t>
        </is>
      </c>
      <c r="G466" s="39" t="n">
        <v>48500</v>
      </c>
      <c r="H466" s="39" t="n">
        <v>48500</v>
      </c>
      <c r="M466" s="39" t="n"/>
      <c r="N466" s="39" t="n"/>
      <c r="S466" s="39" t="n"/>
      <c r="T466" s="39" t="n"/>
      <c r="Y466" s="39" t="n"/>
      <c r="Z466" s="39" t="n"/>
      <c r="AA466" t="inlineStr">
        <is>
          <t>Evelyn Arciela Leon Estela</t>
        </is>
      </c>
      <c r="AB466" t="inlineStr">
        <is>
          <t>70313948</t>
        </is>
      </c>
      <c r="AC466" t="inlineStr">
        <is>
          <t xml:space="preserve">Segunda Etapa.Mz 41 Lt. 35 -Urb. Torre Blanca </t>
        </is>
      </c>
      <c r="AD466" t="n">
        <v>0</v>
      </c>
      <c r="AE466" t="inlineStr">
        <is>
          <t>980746975</t>
        </is>
      </c>
      <c r="AF466" t="inlineStr">
        <is>
          <t>eale.050791@gmail.com</t>
        </is>
      </c>
      <c r="AG466" t="inlineStr">
        <is>
          <t>LIMA</t>
        </is>
      </c>
      <c r="AH466" t="inlineStr">
        <is>
          <t>CARABAYLLO</t>
        </is>
      </c>
      <c r="AI466" s="116" t="n">
        <v>46387</v>
      </c>
      <c r="AJ466" s="116" t="n"/>
      <c r="AK466" t="inlineStr">
        <is>
          <t>SALDO FINANCIAR</t>
        </is>
      </c>
      <c r="AL466" t="n">
        <v>15</v>
      </c>
      <c r="AM466" t="n">
        <v>1940</v>
      </c>
      <c r="AN466" t="n">
        <v>0</v>
      </c>
      <c r="AO466" t="n">
        <v>0</v>
      </c>
      <c r="AP466" s="39" t="n">
        <v>1940</v>
      </c>
      <c r="AQ466" s="39" t="n">
        <v>0</v>
      </c>
      <c r="AR466" s="39" t="n">
        <v>1940</v>
      </c>
      <c r="AT466" t="inlineStr">
        <is>
          <t>Crédito Directo</t>
        </is>
      </c>
      <c r="AZ466" t="inlineStr">
        <is>
          <t>No</t>
        </is>
      </c>
      <c r="BC466" t="inlineStr">
        <is>
          <t>PENDIENTE</t>
        </is>
      </c>
      <c r="BN466" t="inlineStr">
        <is>
          <t>No</t>
        </is>
      </c>
      <c r="BO466" s="117" t="n">
        <v>45932.67638888889</v>
      </c>
      <c r="BP466" t="inlineStr">
        <is>
          <t>Magaly Guevara Perez</t>
        </is>
      </c>
      <c r="BR466" t="n">
        <v>19</v>
      </c>
      <c r="BT466" t="n">
        <v>0</v>
      </c>
      <c r="BX466" t="inlineStr">
        <is>
          <t>Cobranzas_2026.csv</t>
        </is>
      </c>
      <c r="BY466" t="n">
        <v>2026</v>
      </c>
      <c r="BZ466" t="inlineStr">
        <is>
          <t>01/01/2024</t>
        </is>
      </c>
      <c r="CA466" t="inlineStr">
        <is>
          <t>30/09/2031</t>
        </is>
      </c>
    </row>
    <row r="467">
      <c r="A467" t="inlineStr">
        <is>
          <t>RESIDENCIAL BEYOND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1205</t>
        </is>
      </c>
      <c r="G467" s="39" t="n">
        <v>520100</v>
      </c>
      <c r="H467" s="39" t="n">
        <v>467100</v>
      </c>
      <c r="M467" s="39" t="n"/>
      <c r="N467" s="39" t="n"/>
      <c r="S467" s="39" t="n"/>
      <c r="T467" s="39" t="n"/>
      <c r="Y467" s="39" t="n"/>
      <c r="Z467" s="39" t="n"/>
      <c r="AA467" t="inlineStr">
        <is>
          <t>Fabiola Maria Lecca Vargas</t>
        </is>
      </c>
      <c r="AB467" t="inlineStr">
        <is>
          <t>08034254</t>
        </is>
      </c>
      <c r="AC467" t="inlineStr">
        <is>
          <t>Jr. Manuel Irribarren 1012 dpto 1</t>
        </is>
      </c>
      <c r="AD467" t="n">
        <v>0</v>
      </c>
      <c r="AE467" t="inlineStr">
        <is>
          <t>988708317</t>
        </is>
      </c>
      <c r="AF467" t="inlineStr">
        <is>
          <t>fabiolaleccavargas@g.mail.com</t>
        </is>
      </c>
      <c r="AG467" t="inlineStr">
        <is>
          <t>LIMA</t>
        </is>
      </c>
      <c r="AH467" t="inlineStr">
        <is>
          <t>RIMAC</t>
        </is>
      </c>
      <c r="AI467" s="116" t="n">
        <v>46032</v>
      </c>
      <c r="AJ467" s="116" t="n">
        <v>46032</v>
      </c>
      <c r="AK467" t="inlineStr">
        <is>
          <t>SEPARACION</t>
        </is>
      </c>
      <c r="AL467" t="n">
        <v>1</v>
      </c>
      <c r="AM467" t="n">
        <v>3000</v>
      </c>
      <c r="AN467" t="n">
        <v>0</v>
      </c>
      <c r="AO467" t="n">
        <v>0</v>
      </c>
      <c r="AP467" s="39" t="n">
        <v>3000</v>
      </c>
      <c r="AQ467" s="39" t="n">
        <v>3000</v>
      </c>
      <c r="AR467" s="39" t="n">
        <v>0</v>
      </c>
      <c r="AS467" t="n">
        <v>0</v>
      </c>
      <c r="AT467" t="inlineStr">
        <is>
          <t>Crédito Directo</t>
        </is>
      </c>
      <c r="AU467" t="inlineStr">
        <is>
          <t>Banco de Credito del Perú</t>
        </is>
      </c>
      <c r="AV467" t="inlineStr">
        <is>
          <t>194-7325779-0-65</t>
        </is>
      </c>
      <c r="AW467" t="inlineStr">
        <is>
          <t>DEPOSITO EN CUENTA</t>
        </is>
      </c>
      <c r="AY467" t="inlineStr">
        <is>
          <t>0107263</t>
        </is>
      </c>
      <c r="AZ467" t="inlineStr">
        <is>
          <t>No</t>
        </is>
      </c>
      <c r="BB467" t="n">
        <v>4</v>
      </c>
      <c r="BC467" t="inlineStr">
        <is>
          <t>CANCELADO</t>
        </is>
      </c>
      <c r="BN467" t="inlineStr">
        <is>
          <t>Si</t>
        </is>
      </c>
      <c r="BO467" s="117" t="n">
        <v>46055.34027777778</v>
      </c>
      <c r="BP467" t="inlineStr">
        <is>
          <t>Magaly Guevara Perez</t>
        </is>
      </c>
      <c r="BR467" t="n">
        <v>14</v>
      </c>
      <c r="BS467" t="inlineStr">
        <is>
          <t>26/06/2026 11:53</t>
        </is>
      </c>
      <c r="BT467" t="n">
        <v>0</v>
      </c>
      <c r="BX467" t="inlineStr">
        <is>
          <t>Cobranzas_2026.csv</t>
        </is>
      </c>
      <c r="BY467" t="n">
        <v>2026</v>
      </c>
      <c r="BZ467" t="inlineStr">
        <is>
          <t>01/01/2024</t>
        </is>
      </c>
      <c r="CA467" t="inlineStr">
        <is>
          <t>30/09/2031</t>
        </is>
      </c>
    </row>
    <row r="468">
      <c r="A468" t="inlineStr">
        <is>
          <t>RESIDENCIAL BEYOND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1205</t>
        </is>
      </c>
      <c r="G468" s="39" t="n">
        <v>520100</v>
      </c>
      <c r="H468" s="39" t="n">
        <v>467100</v>
      </c>
      <c r="M468" s="39" t="n"/>
      <c r="N468" s="39" t="n"/>
      <c r="S468" s="39" t="n"/>
      <c r="T468" s="39" t="n"/>
      <c r="Y468" s="39" t="n"/>
      <c r="Z468" s="39" t="n"/>
      <c r="AA468" t="inlineStr">
        <is>
          <t>Fabiola Maria Lecca Vargas</t>
        </is>
      </c>
      <c r="AB468" t="inlineStr">
        <is>
          <t>08034254</t>
        </is>
      </c>
      <c r="AC468" t="inlineStr">
        <is>
          <t>Jr. Manuel Irribarren 1012 dpto 1</t>
        </is>
      </c>
      <c r="AD468" t="n">
        <v>0</v>
      </c>
      <c r="AE468" t="inlineStr">
        <is>
          <t>988708317</t>
        </is>
      </c>
      <c r="AF468" t="inlineStr">
        <is>
          <t>fabiolaleccavargas@g.mail.com</t>
        </is>
      </c>
      <c r="AG468" t="inlineStr">
        <is>
          <t>LIMA</t>
        </is>
      </c>
      <c r="AH468" t="inlineStr">
        <is>
          <t>RIMAC</t>
        </is>
      </c>
      <c r="AI468" s="116" t="n">
        <v>46055</v>
      </c>
      <c r="AJ468" s="116" t="n">
        <v>46055</v>
      </c>
      <c r="AK468" t="inlineStr">
        <is>
          <t>CUOTA INICIAL</t>
        </is>
      </c>
      <c r="AL468" t="n">
        <v>1</v>
      </c>
      <c r="AM468" t="n">
        <v>30000</v>
      </c>
      <c r="AN468" t="n">
        <v>0</v>
      </c>
      <c r="AO468" t="n">
        <v>0</v>
      </c>
      <c r="AP468" s="39" t="n">
        <v>30000</v>
      </c>
      <c r="AQ468" s="39" t="n">
        <v>30000</v>
      </c>
      <c r="AR468" s="39" t="n">
        <v>0</v>
      </c>
      <c r="AS468" t="n">
        <v>0</v>
      </c>
      <c r="AT468" t="inlineStr">
        <is>
          <t>Crédito Directo</t>
        </is>
      </c>
      <c r="AU468" t="inlineStr">
        <is>
          <t>Banco de Credito del Perú</t>
        </is>
      </c>
      <c r="AV468" t="inlineStr">
        <is>
          <t>194-7325779-0-65</t>
        </is>
      </c>
      <c r="AW468" t="inlineStr">
        <is>
          <t>TRANSFERENCIA BANCARIA</t>
        </is>
      </c>
      <c r="AY468" t="inlineStr">
        <is>
          <t>7844654520780</t>
        </is>
      </c>
      <c r="AZ468" t="inlineStr">
        <is>
          <t>No</t>
        </is>
      </c>
      <c r="BB468" t="n">
        <v>4</v>
      </c>
      <c r="BC468" t="inlineStr">
        <is>
          <t>CANCELADO</t>
        </is>
      </c>
      <c r="BN468" t="inlineStr">
        <is>
          <t>Si</t>
        </is>
      </c>
      <c r="BO468" s="117" t="n">
        <v>46055.34027777778</v>
      </c>
      <c r="BP468" t="inlineStr">
        <is>
          <t>Magaly Guevara Perez</t>
        </is>
      </c>
      <c r="BR468" t="n">
        <v>14</v>
      </c>
      <c r="BS468" t="inlineStr">
        <is>
          <t>26/06/2026 11:54</t>
        </is>
      </c>
      <c r="BT468" t="n">
        <v>0</v>
      </c>
      <c r="BX468" t="inlineStr">
        <is>
          <t>Cobranzas_2026.csv</t>
        </is>
      </c>
      <c r="BY468" t="n">
        <v>2026</v>
      </c>
      <c r="BZ468" t="inlineStr">
        <is>
          <t>01/01/2024</t>
        </is>
      </c>
      <c r="CA468" t="inlineStr">
        <is>
          <t>30/09/2031</t>
        </is>
      </c>
    </row>
    <row r="469">
      <c r="A469" t="inlineStr">
        <is>
          <t>RESIDENCIAL BEYOND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1205</t>
        </is>
      </c>
      <c r="G469" s="39" t="n">
        <v>520100</v>
      </c>
      <c r="H469" s="39" t="n">
        <v>467100</v>
      </c>
      <c r="M469" s="39" t="n"/>
      <c r="N469" s="39" t="n"/>
      <c r="S469" s="39" t="n"/>
      <c r="T469" s="39" t="n"/>
      <c r="Y469" s="39" t="n"/>
      <c r="Z469" s="39" t="n"/>
      <c r="AA469" t="inlineStr">
        <is>
          <t>Fabiola Maria Lecca Vargas</t>
        </is>
      </c>
      <c r="AB469" t="inlineStr">
        <is>
          <t>08034254</t>
        </is>
      </c>
      <c r="AC469" t="inlineStr">
        <is>
          <t>Jr. Manuel Irribarren 1012 dpto 1</t>
        </is>
      </c>
      <c r="AD469" t="n">
        <v>0</v>
      </c>
      <c r="AE469" t="inlineStr">
        <is>
          <t>988708317</t>
        </is>
      </c>
      <c r="AF469" t="inlineStr">
        <is>
          <t>fabiolaleccavargas@g.mail.com</t>
        </is>
      </c>
      <c r="AG469" t="inlineStr">
        <is>
          <t>LIMA</t>
        </is>
      </c>
      <c r="AH469" t="inlineStr">
        <is>
          <t>RIMAC</t>
        </is>
      </c>
      <c r="AI469" s="116" t="n">
        <v>46056</v>
      </c>
      <c r="AJ469" s="116" t="n">
        <v>46056</v>
      </c>
      <c r="AK469" t="inlineStr">
        <is>
          <t>CUOTA INICIAL</t>
        </is>
      </c>
      <c r="AL469" t="n">
        <v>2</v>
      </c>
      <c r="AM469" t="n">
        <v>16470</v>
      </c>
      <c r="AN469" t="n">
        <v>0</v>
      </c>
      <c r="AO469" t="n">
        <v>0</v>
      </c>
      <c r="AP469" s="39" t="n">
        <v>16470</v>
      </c>
      <c r="AQ469" s="39" t="n">
        <v>16470</v>
      </c>
      <c r="AR469" s="39" t="n">
        <v>0</v>
      </c>
      <c r="AS469" t="n">
        <v>0</v>
      </c>
      <c r="AT469" t="inlineStr">
        <is>
          <t>Crédito Directo</t>
        </is>
      </c>
      <c r="AU469" t="inlineStr">
        <is>
          <t>Banco de Credito del Perú</t>
        </is>
      </c>
      <c r="AV469" t="inlineStr">
        <is>
          <t>194-7325779-0-65</t>
        </is>
      </c>
      <c r="AW469" t="inlineStr">
        <is>
          <t>TRANSFERENCIA BANCARIA</t>
        </is>
      </c>
      <c r="AY469" t="inlineStr">
        <is>
          <t>7844655871084</t>
        </is>
      </c>
      <c r="AZ469" t="inlineStr">
        <is>
          <t>No</t>
        </is>
      </c>
      <c r="BB469" t="n">
        <v>4</v>
      </c>
      <c r="BC469" t="inlineStr">
        <is>
          <t>CANCELADO</t>
        </is>
      </c>
      <c r="BN469" t="inlineStr">
        <is>
          <t>Si</t>
        </is>
      </c>
      <c r="BO469" s="117" t="n">
        <v>46055.34027777778</v>
      </c>
      <c r="BP469" t="inlineStr">
        <is>
          <t>Magaly Guevara Perez</t>
        </is>
      </c>
      <c r="BR469" t="n">
        <v>14</v>
      </c>
      <c r="BS469" t="inlineStr">
        <is>
          <t>26/06/2026 11:55</t>
        </is>
      </c>
      <c r="BT469" t="n">
        <v>0</v>
      </c>
      <c r="BX469" t="inlineStr">
        <is>
          <t>Cobranzas_2026.csv</t>
        </is>
      </c>
      <c r="BY469" t="n">
        <v>2026</v>
      </c>
      <c r="BZ469" t="inlineStr">
        <is>
          <t>01/01/2024</t>
        </is>
      </c>
      <c r="CA469" t="inlineStr">
        <is>
          <t>30/09/2031</t>
        </is>
      </c>
    </row>
    <row r="470">
      <c r="A470" t="inlineStr">
        <is>
          <t>RESIDENCIAL BEYOND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1205</t>
        </is>
      </c>
      <c r="G470" s="39" t="n">
        <v>520100</v>
      </c>
      <c r="H470" s="39" t="n">
        <v>467100</v>
      </c>
      <c r="M470" s="39" t="n"/>
      <c r="N470" s="39" t="n"/>
      <c r="S470" s="39" t="n"/>
      <c r="T470" s="39" t="n"/>
      <c r="Y470" s="39" t="n"/>
      <c r="Z470" s="39" t="n"/>
      <c r="AA470" t="inlineStr">
        <is>
          <t>Fabiola Maria Lecca Vargas</t>
        </is>
      </c>
      <c r="AB470" t="inlineStr">
        <is>
          <t>08034254</t>
        </is>
      </c>
      <c r="AC470" t="inlineStr">
        <is>
          <t>Jr. Manuel Irribarren 1012 dpto 1</t>
        </is>
      </c>
      <c r="AD470" t="n">
        <v>0</v>
      </c>
      <c r="AE470" t="inlineStr">
        <is>
          <t>988708317</t>
        </is>
      </c>
      <c r="AF470" t="inlineStr">
        <is>
          <t>fabiolaleccavargas@g.mail.com</t>
        </is>
      </c>
      <c r="AG470" t="inlineStr">
        <is>
          <t>LIMA</t>
        </is>
      </c>
      <c r="AH470" t="inlineStr">
        <is>
          <t>RIMAC</t>
        </is>
      </c>
      <c r="AI470" s="116" t="n">
        <v>46092</v>
      </c>
      <c r="AJ470" s="116" t="n">
        <v>46092</v>
      </c>
      <c r="AK470" t="inlineStr">
        <is>
          <t>CUOTA INICIAL</t>
        </is>
      </c>
      <c r="AL470" t="n">
        <v>3</v>
      </c>
      <c r="AM470" t="n">
        <v>15000</v>
      </c>
      <c r="AN470" t="n">
        <v>0</v>
      </c>
      <c r="AO470" t="n">
        <v>0</v>
      </c>
      <c r="AP470" s="39" t="n">
        <v>15000</v>
      </c>
      <c r="AQ470" s="39" t="n">
        <v>15000</v>
      </c>
      <c r="AR470" s="39" t="n">
        <v>0</v>
      </c>
      <c r="AS470" t="n">
        <v>0</v>
      </c>
      <c r="AT470" t="inlineStr">
        <is>
          <t>Crédito Directo</t>
        </is>
      </c>
      <c r="AU470" t="inlineStr">
        <is>
          <t>Banco de Credito del Perú</t>
        </is>
      </c>
      <c r="AV470" t="inlineStr">
        <is>
          <t>194-7325779-0-65</t>
        </is>
      </c>
      <c r="AW470" t="inlineStr">
        <is>
          <t>TRANSFERENCIA BANCARIA</t>
        </is>
      </c>
      <c r="AY470" t="inlineStr">
        <is>
          <t>7844651936594</t>
        </is>
      </c>
      <c r="AZ470" t="inlineStr">
        <is>
          <t>No</t>
        </is>
      </c>
      <c r="BB470" t="n">
        <v>4</v>
      </c>
      <c r="BC470" t="inlineStr">
        <is>
          <t>CANCELADO</t>
        </is>
      </c>
      <c r="BN470" t="inlineStr">
        <is>
          <t>Si</t>
        </is>
      </c>
      <c r="BO470" s="117" t="n">
        <v>46055.34027777778</v>
      </c>
      <c r="BP470" t="inlineStr">
        <is>
          <t>Magaly Guevara Perez</t>
        </is>
      </c>
      <c r="BR470" t="n">
        <v>14</v>
      </c>
      <c r="BS470" t="inlineStr">
        <is>
          <t>26/06/2026 11:56</t>
        </is>
      </c>
      <c r="BT470" t="n">
        <v>0</v>
      </c>
      <c r="BX470" t="inlineStr">
        <is>
          <t>Cobranzas_2026.csv</t>
        </is>
      </c>
      <c r="BY470" t="n">
        <v>2026</v>
      </c>
      <c r="BZ470" t="inlineStr">
        <is>
          <t>01/01/2024</t>
        </is>
      </c>
      <c r="CA470" t="inlineStr">
        <is>
          <t>30/09/2031</t>
        </is>
      </c>
    </row>
    <row r="471">
      <c r="A471" t="inlineStr">
        <is>
          <t>RESIDENCIAL BEYOND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Departamento</t>
        </is>
      </c>
      <c r="F471" t="inlineStr">
        <is>
          <t>1205</t>
        </is>
      </c>
      <c r="G471" s="39" t="n">
        <v>520100</v>
      </c>
      <c r="H471" s="39" t="n">
        <v>467100</v>
      </c>
      <c r="M471" s="39" t="n"/>
      <c r="N471" s="39" t="n"/>
      <c r="S471" s="39" t="n"/>
      <c r="T471" s="39" t="n"/>
      <c r="Y471" s="39" t="n"/>
      <c r="Z471" s="39" t="n"/>
      <c r="AA471" t="inlineStr">
        <is>
          <t>Fabiola Maria Lecca Vargas</t>
        </is>
      </c>
      <c r="AB471" t="inlineStr">
        <is>
          <t>08034254</t>
        </is>
      </c>
      <c r="AC471" t="inlineStr">
        <is>
          <t>Jr. Manuel Irribarren 1012 dpto 1</t>
        </is>
      </c>
      <c r="AD471" t="n">
        <v>0</v>
      </c>
      <c r="AE471" t="inlineStr">
        <is>
          <t>988708317</t>
        </is>
      </c>
      <c r="AF471" t="inlineStr">
        <is>
          <t>fabiolaleccavargas@g.mail.com</t>
        </is>
      </c>
      <c r="AG471" t="inlineStr">
        <is>
          <t>LIMA</t>
        </is>
      </c>
      <c r="AH471" t="inlineStr">
        <is>
          <t>RIMAC</t>
        </is>
      </c>
      <c r="AI471" s="116" t="n">
        <v>46095</v>
      </c>
      <c r="AJ471" s="116" t="n">
        <v>46095</v>
      </c>
      <c r="AK471" t="inlineStr">
        <is>
          <t>CUOTA INICIAL</t>
        </is>
      </c>
      <c r="AL471" t="n">
        <v>4</v>
      </c>
      <c r="AM471" t="n">
        <v>15000</v>
      </c>
      <c r="AN471" t="n">
        <v>0</v>
      </c>
      <c r="AO471" t="n">
        <v>0</v>
      </c>
      <c r="AP471" s="39" t="n">
        <v>15000</v>
      </c>
      <c r="AQ471" s="39" t="n">
        <v>15000</v>
      </c>
      <c r="AR471" s="39" t="n">
        <v>0</v>
      </c>
      <c r="AS471" t="n">
        <v>0</v>
      </c>
      <c r="AT471" t="inlineStr">
        <is>
          <t>Crédito Directo</t>
        </is>
      </c>
      <c r="AU471" t="inlineStr">
        <is>
          <t>Banco de Credito del Perú</t>
        </is>
      </c>
      <c r="AV471" t="inlineStr">
        <is>
          <t>194-7325779-0-65</t>
        </is>
      </c>
      <c r="AW471" t="inlineStr">
        <is>
          <t>TRANSFERENCIA BANCARIA</t>
        </is>
      </c>
      <c r="AY471" t="inlineStr">
        <is>
          <t>7844655870147</t>
        </is>
      </c>
      <c r="AZ471" t="inlineStr">
        <is>
          <t>No</t>
        </is>
      </c>
      <c r="BB471" t="n">
        <v>4</v>
      </c>
      <c r="BC471" t="inlineStr">
        <is>
          <t>CANCELADO</t>
        </is>
      </c>
      <c r="BN471" t="inlineStr">
        <is>
          <t>Si</t>
        </is>
      </c>
      <c r="BO471" s="117" t="n">
        <v>46055.34027777778</v>
      </c>
      <c r="BP471" t="inlineStr">
        <is>
          <t>Magaly Guevara Perez</t>
        </is>
      </c>
      <c r="BR471" t="n">
        <v>14</v>
      </c>
      <c r="BS471" t="inlineStr">
        <is>
          <t>26/06/2026 11:57</t>
        </is>
      </c>
      <c r="BT471" t="n">
        <v>0</v>
      </c>
      <c r="BX471" t="inlineStr">
        <is>
          <t>Cobranzas_2026.csv</t>
        </is>
      </c>
      <c r="BY471" t="n">
        <v>2026</v>
      </c>
      <c r="BZ471" t="inlineStr">
        <is>
          <t>01/01/2024</t>
        </is>
      </c>
      <c r="CA471" t="inlineStr">
        <is>
          <t>30/09/2031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1205</t>
        </is>
      </c>
      <c r="G472" s="39" t="n">
        <v>520100</v>
      </c>
      <c r="H472" s="39" t="n">
        <v>467100</v>
      </c>
      <c r="M472" s="39" t="n"/>
      <c r="N472" s="39" t="n"/>
      <c r="S472" s="39" t="n"/>
      <c r="T472" s="39" t="n"/>
      <c r="Y472" s="39" t="n"/>
      <c r="Z472" s="39" t="n"/>
      <c r="AA472" t="inlineStr">
        <is>
          <t>Fabiola Maria Lecca Vargas</t>
        </is>
      </c>
      <c r="AB472" t="inlineStr">
        <is>
          <t>08034254</t>
        </is>
      </c>
      <c r="AC472" t="inlineStr">
        <is>
          <t>Jr. Manuel Irribarren 1012 dpto 1</t>
        </is>
      </c>
      <c r="AD472" t="n">
        <v>0</v>
      </c>
      <c r="AE472" t="inlineStr">
        <is>
          <t>988708317</t>
        </is>
      </c>
      <c r="AF472" t="inlineStr">
        <is>
          <t>fabiolaleccavargas@g.mail.com</t>
        </is>
      </c>
      <c r="AG472" t="inlineStr">
        <is>
          <t>LIMA</t>
        </is>
      </c>
      <c r="AH472" t="inlineStr">
        <is>
          <t>RIMAC</t>
        </is>
      </c>
      <c r="AI472" s="116" t="n">
        <v>46125</v>
      </c>
      <c r="AJ472" s="116" t="n">
        <v>46125</v>
      </c>
      <c r="AK472" t="inlineStr">
        <is>
          <t>CUOTA INICIAL</t>
        </is>
      </c>
      <c r="AL472" t="n">
        <v>5</v>
      </c>
      <c r="AM472" t="n">
        <v>9900</v>
      </c>
      <c r="AN472" t="n">
        <v>0</v>
      </c>
      <c r="AO472" t="n">
        <v>0</v>
      </c>
      <c r="AP472" s="39" t="n">
        <v>9900</v>
      </c>
      <c r="AQ472" s="39" t="n">
        <v>9900</v>
      </c>
      <c r="AR472" s="39" t="n">
        <v>0</v>
      </c>
      <c r="AS472" t="n">
        <v>0</v>
      </c>
      <c r="AT472" t="inlineStr">
        <is>
          <t>Crédito Directo</t>
        </is>
      </c>
      <c r="AU472" t="inlineStr">
        <is>
          <t>Banco de Credito del Perú</t>
        </is>
      </c>
      <c r="AV472" t="inlineStr">
        <is>
          <t>194-7325779-0-65</t>
        </is>
      </c>
      <c r="AW472" t="inlineStr">
        <is>
          <t>TRANSFERENCIA BANCARIA</t>
        </is>
      </c>
      <c r="AY472" t="inlineStr">
        <is>
          <t>7844651936636</t>
        </is>
      </c>
      <c r="AZ472" t="inlineStr">
        <is>
          <t>No</t>
        </is>
      </c>
      <c r="BB472" t="n">
        <v>4</v>
      </c>
      <c r="BC472" t="inlineStr">
        <is>
          <t>CANCELADO</t>
        </is>
      </c>
      <c r="BN472" t="inlineStr">
        <is>
          <t>Si</t>
        </is>
      </c>
      <c r="BO472" s="117" t="n">
        <v>46055.34027777778</v>
      </c>
      <c r="BP472" t="inlineStr">
        <is>
          <t>Magaly Guevara Perez</t>
        </is>
      </c>
      <c r="BR472" t="n">
        <v>14</v>
      </c>
      <c r="BS472" t="inlineStr">
        <is>
          <t>26/06/2026 12:07</t>
        </is>
      </c>
      <c r="BT472" t="n">
        <v>0</v>
      </c>
      <c r="BX472" t="inlineStr">
        <is>
          <t>Cobranzas_2026.csv</t>
        </is>
      </c>
      <c r="BY472" t="n">
        <v>2026</v>
      </c>
      <c r="BZ472" t="inlineStr">
        <is>
          <t>01/01/2024</t>
        </is>
      </c>
      <c r="CA472" t="inlineStr">
        <is>
          <t>30/09/2031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1205</t>
        </is>
      </c>
      <c r="G473" s="39" t="n">
        <v>520100</v>
      </c>
      <c r="H473" s="39" t="n">
        <v>467100</v>
      </c>
      <c r="M473" s="39" t="n"/>
      <c r="N473" s="39" t="n"/>
      <c r="S473" s="39" t="n"/>
      <c r="T473" s="39" t="n"/>
      <c r="Y473" s="39" t="n"/>
      <c r="Z473" s="39" t="n"/>
      <c r="AA473" t="inlineStr">
        <is>
          <t>Fabiola Maria Lecca Vargas</t>
        </is>
      </c>
      <c r="AB473" t="inlineStr">
        <is>
          <t>08034254</t>
        </is>
      </c>
      <c r="AC473" t="inlineStr">
        <is>
          <t>Jr. Manuel Irribarren 1012 dpto 1</t>
        </is>
      </c>
      <c r="AD473" t="n">
        <v>0</v>
      </c>
      <c r="AE473" t="inlineStr">
        <is>
          <t>988708317</t>
        </is>
      </c>
      <c r="AF473" t="inlineStr">
        <is>
          <t>fabiolaleccavargas@g.mail.com</t>
        </is>
      </c>
      <c r="AG473" t="inlineStr">
        <is>
          <t>LIMA</t>
        </is>
      </c>
      <c r="AH473" t="inlineStr">
        <is>
          <t>RIMAC</t>
        </is>
      </c>
      <c r="AI473" s="116" t="n">
        <v>46129</v>
      </c>
      <c r="AJ473" s="116" t="n">
        <v>46129</v>
      </c>
      <c r="AK473" t="inlineStr">
        <is>
          <t>CUOTA INICIAL</t>
        </is>
      </c>
      <c r="AL473" t="n">
        <v>6</v>
      </c>
      <c r="AM473" t="n">
        <v>10100</v>
      </c>
      <c r="AN473" t="n">
        <v>0</v>
      </c>
      <c r="AO473" t="n">
        <v>0</v>
      </c>
      <c r="AP473" s="39" t="n">
        <v>10100</v>
      </c>
      <c r="AQ473" s="39" t="n">
        <v>10100</v>
      </c>
      <c r="AR473" s="39" t="n">
        <v>0</v>
      </c>
      <c r="AS473" t="n">
        <v>0</v>
      </c>
      <c r="AT473" t="inlineStr">
        <is>
          <t>Crédito Directo</t>
        </is>
      </c>
      <c r="AU473" t="inlineStr">
        <is>
          <t>Banco de Credito del Perú</t>
        </is>
      </c>
      <c r="AV473" t="inlineStr">
        <is>
          <t>194-7325779-0-65</t>
        </is>
      </c>
      <c r="AW473" t="inlineStr">
        <is>
          <t>TRANSFERENCIA BANCARIA</t>
        </is>
      </c>
      <c r="AY473" t="inlineStr">
        <is>
          <t>7844651974157</t>
        </is>
      </c>
      <c r="AZ473" t="inlineStr">
        <is>
          <t>No</t>
        </is>
      </c>
      <c r="BB473" t="n">
        <v>4</v>
      </c>
      <c r="BC473" t="inlineStr">
        <is>
          <t>CANCELADO</t>
        </is>
      </c>
      <c r="BN473" t="inlineStr">
        <is>
          <t>Si</t>
        </is>
      </c>
      <c r="BO473" s="117" t="n">
        <v>46055.34027777778</v>
      </c>
      <c r="BP473" t="inlineStr">
        <is>
          <t>Magaly Guevara Perez</t>
        </is>
      </c>
      <c r="BR473" t="n">
        <v>14</v>
      </c>
      <c r="BS473" t="inlineStr">
        <is>
          <t>26/06/2026 12:08</t>
        </is>
      </c>
      <c r="BT473" t="n">
        <v>0</v>
      </c>
      <c r="BX473" t="inlineStr">
        <is>
          <t>Cobranzas_2026.csv</t>
        </is>
      </c>
      <c r="BY473" t="n">
        <v>2026</v>
      </c>
      <c r="BZ473" t="inlineStr">
        <is>
          <t>01/01/2024</t>
        </is>
      </c>
      <c r="CA473" t="inlineStr">
        <is>
          <t>30/09/2031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1205</t>
        </is>
      </c>
      <c r="G474" s="39" t="n">
        <v>520100</v>
      </c>
      <c r="H474" s="39" t="n">
        <v>467100</v>
      </c>
      <c r="M474" s="39" t="n"/>
      <c r="N474" s="39" t="n"/>
      <c r="S474" s="39" t="n"/>
      <c r="T474" s="39" t="n"/>
      <c r="Y474" s="39" t="n"/>
      <c r="Z474" s="39" t="n"/>
      <c r="AA474" t="inlineStr">
        <is>
          <t>Fabiola Maria Lecca Vargas</t>
        </is>
      </c>
      <c r="AB474" t="inlineStr">
        <is>
          <t>08034254</t>
        </is>
      </c>
      <c r="AC474" t="inlineStr">
        <is>
          <t>Jr. Manuel Irribarren 1012 dpto 1</t>
        </is>
      </c>
      <c r="AD474" t="n">
        <v>0</v>
      </c>
      <c r="AE474" t="inlineStr">
        <is>
          <t>988708317</t>
        </is>
      </c>
      <c r="AF474" t="inlineStr">
        <is>
          <t>fabiolaleccavargas@g.mail.com</t>
        </is>
      </c>
      <c r="AG474" t="inlineStr">
        <is>
          <t>LIMA</t>
        </is>
      </c>
      <c r="AH474" t="inlineStr">
        <is>
          <t>RIMAC</t>
        </is>
      </c>
      <c r="AI474" s="116" t="n">
        <v>46136</v>
      </c>
      <c r="AJ474" s="116" t="n">
        <v>46136</v>
      </c>
      <c r="AK474" t="inlineStr">
        <is>
          <t>CUOTA INICIAL</t>
        </is>
      </c>
      <c r="AL474" t="n">
        <v>7</v>
      </c>
      <c r="AM474" t="n">
        <v>10000</v>
      </c>
      <c r="AN474" t="n">
        <v>0</v>
      </c>
      <c r="AO474" t="n">
        <v>0</v>
      </c>
      <c r="AP474" s="39" t="n">
        <v>10000</v>
      </c>
      <c r="AQ474" s="39" t="n">
        <v>10000</v>
      </c>
      <c r="AR474" s="39" t="n">
        <v>0</v>
      </c>
      <c r="AS474" t="n">
        <v>0</v>
      </c>
      <c r="AT474" t="inlineStr">
        <is>
          <t>Crédito Directo</t>
        </is>
      </c>
      <c r="AU474" t="inlineStr">
        <is>
          <t>Banco de Credito del Perú</t>
        </is>
      </c>
      <c r="AV474" t="inlineStr">
        <is>
          <t>194-7325779-0-65</t>
        </is>
      </c>
      <c r="AW474" t="inlineStr">
        <is>
          <t>TRANSFERENCIA BANCARIA</t>
        </is>
      </c>
      <c r="AY474" t="inlineStr">
        <is>
          <t>7844651928802</t>
        </is>
      </c>
      <c r="AZ474" t="inlineStr">
        <is>
          <t>No</t>
        </is>
      </c>
      <c r="BB474" t="n">
        <v>4</v>
      </c>
      <c r="BC474" t="inlineStr">
        <is>
          <t>CANCELADO</t>
        </is>
      </c>
      <c r="BN474" t="inlineStr">
        <is>
          <t>Si</t>
        </is>
      </c>
      <c r="BO474" s="117" t="n">
        <v>46055.34027777778</v>
      </c>
      <c r="BP474" t="inlineStr">
        <is>
          <t>Magaly Guevara Perez</t>
        </is>
      </c>
      <c r="BR474" t="n">
        <v>14</v>
      </c>
      <c r="BS474" t="inlineStr">
        <is>
          <t>26/06/2026 12:09</t>
        </is>
      </c>
      <c r="BT474" t="n">
        <v>0</v>
      </c>
      <c r="BX474" t="inlineStr">
        <is>
          <t>Cobranzas_2026.csv</t>
        </is>
      </c>
      <c r="BY474" t="n">
        <v>2026</v>
      </c>
      <c r="BZ474" t="inlineStr">
        <is>
          <t>01/01/2024</t>
        </is>
      </c>
      <c r="CA474" t="inlineStr">
        <is>
          <t>30/09/2031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1205</t>
        </is>
      </c>
      <c r="G475" s="39" t="n">
        <v>520100</v>
      </c>
      <c r="H475" s="39" t="n">
        <v>467100</v>
      </c>
      <c r="M475" s="39" t="n"/>
      <c r="N475" s="39" t="n"/>
      <c r="S475" s="39" t="n"/>
      <c r="T475" s="39" t="n"/>
      <c r="Y475" s="39" t="n"/>
      <c r="Z475" s="39" t="n"/>
      <c r="AA475" t="inlineStr">
        <is>
          <t>Fabiola Maria Lecca Vargas</t>
        </is>
      </c>
      <c r="AB475" t="inlineStr">
        <is>
          <t>08034254</t>
        </is>
      </c>
      <c r="AC475" t="inlineStr">
        <is>
          <t>Jr. Manuel Irribarren 1012 dpto 1</t>
        </is>
      </c>
      <c r="AD475" t="n">
        <v>0</v>
      </c>
      <c r="AE475" t="inlineStr">
        <is>
          <t>988708317</t>
        </is>
      </c>
      <c r="AF475" t="inlineStr">
        <is>
          <t>fabiolaleccavargas@g.mail.com</t>
        </is>
      </c>
      <c r="AG475" t="inlineStr">
        <is>
          <t>LIMA</t>
        </is>
      </c>
      <c r="AH475" t="inlineStr">
        <is>
          <t>RIMAC</t>
        </is>
      </c>
      <c r="AI475" s="116" t="n">
        <v>46142</v>
      </c>
      <c r="AJ475" s="116" t="n">
        <v>46149</v>
      </c>
      <c r="AK475" t="inlineStr">
        <is>
          <t>SALDO FINANCIAR</t>
        </is>
      </c>
      <c r="AL475" t="n">
        <v>1</v>
      </c>
      <c r="AM475" t="n">
        <v>10000</v>
      </c>
      <c r="AN475" t="n">
        <v>0</v>
      </c>
      <c r="AO475" t="n">
        <v>0</v>
      </c>
      <c r="AP475" s="39" t="n">
        <v>10000</v>
      </c>
      <c r="AQ475" s="39" t="n">
        <v>10000</v>
      </c>
      <c r="AR475" s="39" t="n">
        <v>0</v>
      </c>
      <c r="AS475" t="n">
        <v>0</v>
      </c>
      <c r="AT475" t="inlineStr">
        <is>
          <t>Crédito Directo</t>
        </is>
      </c>
      <c r="AU475" t="inlineStr">
        <is>
          <t>Banco de Credito del Perú</t>
        </is>
      </c>
      <c r="AV475" t="inlineStr">
        <is>
          <t>194-7325779-0-65</t>
        </is>
      </c>
      <c r="AW475" t="inlineStr">
        <is>
          <t>TRANSFERENCIA BANCARIA</t>
        </is>
      </c>
      <c r="AY475" t="inlineStr">
        <is>
          <t>7844651931615</t>
        </is>
      </c>
      <c r="AZ475" t="inlineStr">
        <is>
          <t>No</t>
        </is>
      </c>
      <c r="BB475" t="n">
        <v>4</v>
      </c>
      <c r="BC475" t="inlineStr">
        <is>
          <t>CANCELADO</t>
        </is>
      </c>
      <c r="BN475" t="inlineStr">
        <is>
          <t>Si</t>
        </is>
      </c>
      <c r="BO475" s="117" t="n">
        <v>46055.34027777778</v>
      </c>
      <c r="BP475" t="inlineStr">
        <is>
          <t>Magaly Guevara Perez</t>
        </is>
      </c>
      <c r="BR475" t="n">
        <v>14</v>
      </c>
      <c r="BS475" t="inlineStr">
        <is>
          <t>26/06/2026 12:09</t>
        </is>
      </c>
      <c r="BT475" t="n">
        <v>0</v>
      </c>
      <c r="BX475" t="inlineStr">
        <is>
          <t>Cobranzas_2026.csv</t>
        </is>
      </c>
      <c r="BY475" t="n">
        <v>2026</v>
      </c>
      <c r="BZ475" t="inlineStr">
        <is>
          <t>01/01/2024</t>
        </is>
      </c>
      <c r="CA475" t="inlineStr">
        <is>
          <t>30/09/2031</t>
        </is>
      </c>
    </row>
    <row r="476">
      <c r="A476" t="inlineStr">
        <is>
          <t>RESIDENCIAL BEYOND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1205</t>
        </is>
      </c>
      <c r="G476" s="39" t="n">
        <v>520100</v>
      </c>
      <c r="H476" s="39" t="n">
        <v>467100</v>
      </c>
      <c r="M476" s="39" t="n"/>
      <c r="N476" s="39" t="n"/>
      <c r="S476" s="39" t="n"/>
      <c r="T476" s="39" t="n"/>
      <c r="Y476" s="39" t="n"/>
      <c r="Z476" s="39" t="n"/>
      <c r="AA476" t="inlineStr">
        <is>
          <t>Fabiola Maria Lecca Vargas</t>
        </is>
      </c>
      <c r="AB476" t="inlineStr">
        <is>
          <t>08034254</t>
        </is>
      </c>
      <c r="AC476" t="inlineStr">
        <is>
          <t>Jr. Manuel Irribarren 1012 dpto 1</t>
        </is>
      </c>
      <c r="AD476" t="n">
        <v>0</v>
      </c>
      <c r="AE476" t="inlineStr">
        <is>
          <t>988708317</t>
        </is>
      </c>
      <c r="AF476" t="inlineStr">
        <is>
          <t>fabiolaleccavargas@g.mail.com</t>
        </is>
      </c>
      <c r="AG476" t="inlineStr">
        <is>
          <t>LIMA</t>
        </is>
      </c>
      <c r="AH476" t="inlineStr">
        <is>
          <t>RIMAC</t>
        </is>
      </c>
      <c r="AI476" s="116" t="n">
        <v>46172</v>
      </c>
      <c r="AJ476" s="116" t="n">
        <v>46182</v>
      </c>
      <c r="AK476" t="inlineStr">
        <is>
          <t>SALDO FINANCIAR</t>
        </is>
      </c>
      <c r="AL476" t="n">
        <v>2</v>
      </c>
      <c r="AM476" t="n">
        <v>10000</v>
      </c>
      <c r="AN476" t="n">
        <v>0</v>
      </c>
      <c r="AO476" t="n">
        <v>0</v>
      </c>
      <c r="AP476" s="39" t="n">
        <v>10000</v>
      </c>
      <c r="AQ476" s="39" t="n">
        <v>10000</v>
      </c>
      <c r="AR476" s="39" t="n">
        <v>0</v>
      </c>
      <c r="AS476" t="n">
        <v>0</v>
      </c>
      <c r="AT476" t="inlineStr">
        <is>
          <t>Crédito Directo</t>
        </is>
      </c>
      <c r="AU476" t="inlineStr">
        <is>
          <t>Banco de Credito del Perú</t>
        </is>
      </c>
      <c r="AV476" t="inlineStr">
        <is>
          <t>194-7325779-0-65</t>
        </is>
      </c>
      <c r="AW476" t="inlineStr">
        <is>
          <t>TRANSFERENCIA BANCARIA</t>
        </is>
      </c>
      <c r="AY476" t="inlineStr">
        <is>
          <t>7844651932376</t>
        </is>
      </c>
      <c r="AZ476" t="inlineStr">
        <is>
          <t>No</t>
        </is>
      </c>
      <c r="BB476" t="n">
        <v>4</v>
      </c>
      <c r="BC476" t="inlineStr">
        <is>
          <t>CANCELADO</t>
        </is>
      </c>
      <c r="BN476" t="inlineStr">
        <is>
          <t>Si</t>
        </is>
      </c>
      <c r="BO476" s="117" t="n">
        <v>46055.34027777778</v>
      </c>
      <c r="BP476" t="inlineStr">
        <is>
          <t>Magaly Guevara Perez</t>
        </is>
      </c>
      <c r="BR476" t="n">
        <v>14</v>
      </c>
      <c r="BS476" t="inlineStr">
        <is>
          <t>26/06/2026 12:10</t>
        </is>
      </c>
      <c r="BT476" t="n">
        <v>0</v>
      </c>
      <c r="BX476" t="inlineStr">
        <is>
          <t>Cobranzas_2026.csv</t>
        </is>
      </c>
      <c r="BY476" t="n">
        <v>2026</v>
      </c>
      <c r="BZ476" t="inlineStr">
        <is>
          <t>01/01/2024</t>
        </is>
      </c>
      <c r="CA476" t="inlineStr">
        <is>
          <t>30/09/2031</t>
        </is>
      </c>
    </row>
    <row r="477">
      <c r="A477" t="inlineStr">
        <is>
          <t>RESIDENCIAL BEYOND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1205</t>
        </is>
      </c>
      <c r="G477" s="39" t="n">
        <v>520100</v>
      </c>
      <c r="H477" s="39" t="n">
        <v>467100</v>
      </c>
      <c r="M477" s="39" t="n"/>
      <c r="N477" s="39" t="n"/>
      <c r="S477" s="39" t="n"/>
      <c r="T477" s="39" t="n"/>
      <c r="Y477" s="39" t="n"/>
      <c r="Z477" s="39" t="n"/>
      <c r="AA477" t="inlineStr">
        <is>
          <t>Fabiola Maria Lecca Vargas</t>
        </is>
      </c>
      <c r="AB477" t="inlineStr">
        <is>
          <t>08034254</t>
        </is>
      </c>
      <c r="AC477" t="inlineStr">
        <is>
          <t>Jr. Manuel Irribarren 1012 dpto 1</t>
        </is>
      </c>
      <c r="AD477" t="n">
        <v>0</v>
      </c>
      <c r="AE477" t="inlineStr">
        <is>
          <t>988708317</t>
        </is>
      </c>
      <c r="AF477" t="inlineStr">
        <is>
          <t>fabiolaleccavargas@g.mail.com</t>
        </is>
      </c>
      <c r="AG477" t="inlineStr">
        <is>
          <t>LIMA</t>
        </is>
      </c>
      <c r="AH477" t="inlineStr">
        <is>
          <t>RIMAC</t>
        </is>
      </c>
      <c r="AI477" s="116" t="n">
        <v>46203</v>
      </c>
      <c r="AJ477" s="116" t="n">
        <v>46223</v>
      </c>
      <c r="AK477" t="inlineStr">
        <is>
          <t>SALDO FINANCIAR</t>
        </is>
      </c>
      <c r="AL477" t="n">
        <v>3</v>
      </c>
      <c r="AM477" t="n">
        <v>10000</v>
      </c>
      <c r="AN477" t="n">
        <v>0</v>
      </c>
      <c r="AO477" t="n">
        <v>0</v>
      </c>
      <c r="AP477" s="39" t="n">
        <v>10000</v>
      </c>
      <c r="AQ477" s="39" t="n">
        <v>10000</v>
      </c>
      <c r="AR477" s="39" t="n">
        <v>0</v>
      </c>
      <c r="AS477" t="n">
        <v>0</v>
      </c>
      <c r="AT477" t="inlineStr">
        <is>
          <t>Crédito Directo</t>
        </is>
      </c>
      <c r="AU477" t="inlineStr">
        <is>
          <t>Banco de Credito del Perú</t>
        </is>
      </c>
      <c r="AV477" t="inlineStr">
        <is>
          <t>194-7325779-0-65</t>
        </is>
      </c>
      <c r="AW477" t="inlineStr">
        <is>
          <t>TRANSFERENCIA BANCARIA</t>
        </is>
      </c>
      <c r="AY477" t="inlineStr">
        <is>
          <t>7844654501651</t>
        </is>
      </c>
      <c r="AZ477" t="inlineStr">
        <is>
          <t>No</t>
        </is>
      </c>
      <c r="BB477" t="n">
        <v>4</v>
      </c>
      <c r="BC477" t="inlineStr">
        <is>
          <t>CANCELADO</t>
        </is>
      </c>
      <c r="BN477" t="inlineStr">
        <is>
          <t>Si</t>
        </is>
      </c>
      <c r="BO477" s="117" t="n">
        <v>46055.34027777778</v>
      </c>
      <c r="BP477" t="inlineStr">
        <is>
          <t>Magaly Guevara Perez</t>
        </is>
      </c>
      <c r="BR477" t="n">
        <v>14</v>
      </c>
      <c r="BS477" t="inlineStr">
        <is>
          <t>21/07/2026 08:08</t>
        </is>
      </c>
      <c r="BT477" t="n">
        <v>0</v>
      </c>
      <c r="BX477" t="inlineStr">
        <is>
          <t>Cobranzas_2026.csv</t>
        </is>
      </c>
      <c r="BY477" t="n">
        <v>2026</v>
      </c>
      <c r="BZ477" t="inlineStr">
        <is>
          <t>01/01/2024</t>
        </is>
      </c>
      <c r="CA477" t="inlineStr">
        <is>
          <t>30/09/2031</t>
        </is>
      </c>
    </row>
    <row r="478">
      <c r="A478" t="inlineStr">
        <is>
          <t>RESIDENCIAL BEYOND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1205</t>
        </is>
      </c>
      <c r="G478" s="39" t="n">
        <v>520100</v>
      </c>
      <c r="H478" s="39" t="n">
        <v>467100</v>
      </c>
      <c r="M478" s="39" t="n"/>
      <c r="N478" s="39" t="n"/>
      <c r="S478" s="39" t="n"/>
      <c r="T478" s="39" t="n"/>
      <c r="Y478" s="39" t="n"/>
      <c r="Z478" s="39" t="n"/>
      <c r="AA478" t="inlineStr">
        <is>
          <t>Fabiola Maria Lecca Vargas</t>
        </is>
      </c>
      <c r="AB478" t="inlineStr">
        <is>
          <t>08034254</t>
        </is>
      </c>
      <c r="AC478" t="inlineStr">
        <is>
          <t>Jr. Manuel Irribarren 1012 dpto 1</t>
        </is>
      </c>
      <c r="AD478" t="n">
        <v>0</v>
      </c>
      <c r="AE478" t="inlineStr">
        <is>
          <t>988708317</t>
        </is>
      </c>
      <c r="AF478" t="inlineStr">
        <is>
          <t>fabiolaleccavargas@g.mail.com</t>
        </is>
      </c>
      <c r="AG478" t="inlineStr">
        <is>
          <t>LIMA</t>
        </is>
      </c>
      <c r="AH478" t="inlineStr">
        <is>
          <t>RIMAC</t>
        </is>
      </c>
      <c r="AI478" s="116" t="n">
        <v>46233</v>
      </c>
      <c r="AJ478" s="116" t="n">
        <v>46252</v>
      </c>
      <c r="AK478" t="inlineStr">
        <is>
          <t>SALDO FINANCIAR</t>
        </is>
      </c>
      <c r="AL478" t="n">
        <v>4</v>
      </c>
      <c r="AM478" t="n">
        <v>10000</v>
      </c>
      <c r="AN478" t="n">
        <v>0</v>
      </c>
      <c r="AO478" t="n">
        <v>0</v>
      </c>
      <c r="AP478" s="39" t="n">
        <v>10000</v>
      </c>
      <c r="AQ478" s="39" t="n">
        <v>10000</v>
      </c>
      <c r="AR478" s="39" t="n">
        <v>0</v>
      </c>
      <c r="AS478" t="n">
        <v>0</v>
      </c>
      <c r="AT478" t="inlineStr">
        <is>
          <t>Crédito Directo</t>
        </is>
      </c>
      <c r="AU478" t="inlineStr">
        <is>
          <t>Banco de Credito del Perú</t>
        </is>
      </c>
      <c r="AV478" t="inlineStr">
        <is>
          <t>194-7325779-0-65</t>
        </is>
      </c>
      <c r="AW478" t="inlineStr">
        <is>
          <t>TRANSFERENCIA BANCARIA</t>
        </is>
      </c>
      <c r="AY478" t="inlineStr">
        <is>
          <t>1939721</t>
        </is>
      </c>
      <c r="AZ478" t="inlineStr">
        <is>
          <t>No</t>
        </is>
      </c>
      <c r="BB478" t="n">
        <v>4</v>
      </c>
      <c r="BC478" t="inlineStr">
        <is>
          <t>CANCELADO</t>
        </is>
      </c>
      <c r="BN478" t="inlineStr">
        <is>
          <t>Si</t>
        </is>
      </c>
      <c r="BO478" s="117" t="n">
        <v>46055.34027777778</v>
      </c>
      <c r="BP478" t="inlineStr">
        <is>
          <t>Magaly Guevara Perez</t>
        </is>
      </c>
      <c r="BR478" t="n">
        <v>14</v>
      </c>
      <c r="BS478" t="inlineStr">
        <is>
          <t>21/08/2026 10:23</t>
        </is>
      </c>
      <c r="BT478" t="n">
        <v>0</v>
      </c>
      <c r="BX478" t="inlineStr">
        <is>
          <t>Cobranzas_2026.csv</t>
        </is>
      </c>
      <c r="BY478" t="n">
        <v>2026</v>
      </c>
      <c r="BZ478" t="inlineStr">
        <is>
          <t>01/01/2024</t>
        </is>
      </c>
      <c r="CA478" t="inlineStr">
        <is>
          <t>30/09/2031</t>
        </is>
      </c>
    </row>
    <row r="479">
      <c r="A479" t="inlineStr">
        <is>
          <t>RESIDENCIAL BEYOND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1205</t>
        </is>
      </c>
      <c r="G479" s="39" t="n">
        <v>520100</v>
      </c>
      <c r="H479" s="39" t="n">
        <v>467100</v>
      </c>
      <c r="M479" s="39" t="n"/>
      <c r="N479" s="39" t="n"/>
      <c r="S479" s="39" t="n"/>
      <c r="T479" s="39" t="n"/>
      <c r="Y479" s="39" t="n"/>
      <c r="Z479" s="39" t="n"/>
      <c r="AA479" t="inlineStr">
        <is>
          <t>Fabiola Maria Lecca Vargas</t>
        </is>
      </c>
      <c r="AB479" t="inlineStr">
        <is>
          <t>08034254</t>
        </is>
      </c>
      <c r="AC479" t="inlineStr">
        <is>
          <t>Jr. Manuel Irribarren 1012 dpto 1</t>
        </is>
      </c>
      <c r="AD479" t="n">
        <v>0</v>
      </c>
      <c r="AE479" t="inlineStr">
        <is>
          <t>988708317</t>
        </is>
      </c>
      <c r="AF479" t="inlineStr">
        <is>
          <t>fabiolaleccavargas@g.mail.com</t>
        </is>
      </c>
      <c r="AG479" t="inlineStr">
        <is>
          <t>LIMA</t>
        </is>
      </c>
      <c r="AH479" t="inlineStr">
        <is>
          <t>RIMAC</t>
        </is>
      </c>
      <c r="AI479" s="116" t="n">
        <v>46264</v>
      </c>
      <c r="AJ479" s="116" t="n"/>
      <c r="AK479" t="inlineStr">
        <is>
          <t>SALDO FINANCIAR</t>
        </is>
      </c>
      <c r="AL479" t="n">
        <v>5</v>
      </c>
      <c r="AM479" t="n">
        <v>10000</v>
      </c>
      <c r="AN479" t="n">
        <v>0</v>
      </c>
      <c r="AO479" t="n">
        <v>0</v>
      </c>
      <c r="AP479" s="39" t="n">
        <v>10000</v>
      </c>
      <c r="AQ479" s="39" t="n">
        <v>0</v>
      </c>
      <c r="AR479" s="39" t="n">
        <v>10000</v>
      </c>
      <c r="AT479" t="inlineStr">
        <is>
          <t>Crédito Directo</t>
        </is>
      </c>
      <c r="AZ479" t="inlineStr">
        <is>
          <t>No</t>
        </is>
      </c>
      <c r="BC479" t="inlineStr">
        <is>
          <t>VENCIDO</t>
        </is>
      </c>
      <c r="BN479" t="inlineStr">
        <is>
          <t>No</t>
        </is>
      </c>
      <c r="BO479" s="117" t="n">
        <v>46055.34027777778</v>
      </c>
      <c r="BP479" t="inlineStr">
        <is>
          <t>Magaly Guevara Perez</t>
        </is>
      </c>
      <c r="BR479" t="n">
        <v>14</v>
      </c>
      <c r="BT479" t="n">
        <v>0</v>
      </c>
      <c r="BX479" t="inlineStr">
        <is>
          <t>Cobranzas_2026.csv</t>
        </is>
      </c>
      <c r="BY479" t="n">
        <v>2026</v>
      </c>
      <c r="BZ479" t="inlineStr">
        <is>
          <t>01/01/2024</t>
        </is>
      </c>
      <c r="CA479" t="inlineStr">
        <is>
          <t>30/09/2031</t>
        </is>
      </c>
    </row>
    <row r="480">
      <c r="A480" t="inlineStr">
        <is>
          <t>RESIDENCIAL BEYOND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1205</t>
        </is>
      </c>
      <c r="G480" s="39" t="n">
        <v>520100</v>
      </c>
      <c r="H480" s="39" t="n">
        <v>467100</v>
      </c>
      <c r="M480" s="39" t="n"/>
      <c r="N480" s="39" t="n"/>
      <c r="S480" s="39" t="n"/>
      <c r="T480" s="39" t="n"/>
      <c r="Y480" s="39" t="n"/>
      <c r="Z480" s="39" t="n"/>
      <c r="AA480" t="inlineStr">
        <is>
          <t>Fabiola Maria Lecca Vargas</t>
        </is>
      </c>
      <c r="AB480" t="inlineStr">
        <is>
          <t>08034254</t>
        </is>
      </c>
      <c r="AC480" t="inlineStr">
        <is>
          <t>Jr. Manuel Irribarren 1012 dpto 1</t>
        </is>
      </c>
      <c r="AD480" t="n">
        <v>0</v>
      </c>
      <c r="AE480" t="inlineStr">
        <is>
          <t>988708317</t>
        </is>
      </c>
      <c r="AF480" t="inlineStr">
        <is>
          <t>fabiolaleccavargas@g.mail.com</t>
        </is>
      </c>
      <c r="AG480" t="inlineStr">
        <is>
          <t>LIMA</t>
        </is>
      </c>
      <c r="AH480" t="inlineStr">
        <is>
          <t>RIMAC</t>
        </is>
      </c>
      <c r="AI480" s="116" t="n">
        <v>46295</v>
      </c>
      <c r="AJ480" s="116" t="n"/>
      <c r="AK480" t="inlineStr">
        <is>
          <t>SALDO FINANCIAR</t>
        </is>
      </c>
      <c r="AL480" t="n">
        <v>6</v>
      </c>
      <c r="AM480" t="n">
        <v>10000</v>
      </c>
      <c r="AN480" t="n">
        <v>0</v>
      </c>
      <c r="AO480" t="n">
        <v>0</v>
      </c>
      <c r="AP480" s="39" t="n">
        <v>10000</v>
      </c>
      <c r="AQ480" s="39" t="n">
        <v>0</v>
      </c>
      <c r="AR480" s="39" t="n">
        <v>10000</v>
      </c>
      <c r="AT480" t="inlineStr">
        <is>
          <t>Crédito Directo</t>
        </is>
      </c>
      <c r="AZ480" t="inlineStr">
        <is>
          <t>No</t>
        </is>
      </c>
      <c r="BC480" t="inlineStr">
        <is>
          <t>VENCIDO</t>
        </is>
      </c>
      <c r="BN480" t="inlineStr">
        <is>
          <t>No</t>
        </is>
      </c>
      <c r="BO480" s="117" t="n">
        <v>46055.34027777778</v>
      </c>
      <c r="BP480" t="inlineStr">
        <is>
          <t>Magaly Guevara Perez</t>
        </is>
      </c>
      <c r="BR480" t="n">
        <v>14</v>
      </c>
      <c r="BT480" t="n">
        <v>0</v>
      </c>
      <c r="BX480" t="inlineStr">
        <is>
          <t>Cobranzas_2026.csv</t>
        </is>
      </c>
      <c r="BY480" t="n">
        <v>2026</v>
      </c>
      <c r="BZ480" t="inlineStr">
        <is>
          <t>01/01/2024</t>
        </is>
      </c>
      <c r="CA480" t="inlineStr">
        <is>
          <t>30/09/2031</t>
        </is>
      </c>
    </row>
    <row r="481">
      <c r="A481" t="inlineStr">
        <is>
          <t>RESIDENCIAL BEYOND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1205</t>
        </is>
      </c>
      <c r="G481" s="39" t="n">
        <v>520100</v>
      </c>
      <c r="H481" s="39" t="n">
        <v>467100</v>
      </c>
      <c r="M481" s="39" t="n"/>
      <c r="N481" s="39" t="n"/>
      <c r="S481" s="39" t="n"/>
      <c r="T481" s="39" t="n"/>
      <c r="Y481" s="39" t="n"/>
      <c r="Z481" s="39" t="n"/>
      <c r="AA481" t="inlineStr">
        <is>
          <t>Fabiola Maria Lecca Vargas</t>
        </is>
      </c>
      <c r="AB481" t="inlineStr">
        <is>
          <t>08034254</t>
        </is>
      </c>
      <c r="AC481" t="inlineStr">
        <is>
          <t>Jr. Manuel Irribarren 1012 dpto 1</t>
        </is>
      </c>
      <c r="AD481" t="n">
        <v>0</v>
      </c>
      <c r="AE481" t="inlineStr">
        <is>
          <t>988708317</t>
        </is>
      </c>
      <c r="AF481" t="inlineStr">
        <is>
          <t>fabiolaleccavargas@g.mail.com</t>
        </is>
      </c>
      <c r="AG481" t="inlineStr">
        <is>
          <t>LIMA</t>
        </is>
      </c>
      <c r="AH481" t="inlineStr">
        <is>
          <t>RIMAC</t>
        </is>
      </c>
      <c r="AI481" s="116" t="n">
        <v>46325</v>
      </c>
      <c r="AJ481" s="116" t="n"/>
      <c r="AK481" t="inlineStr">
        <is>
          <t>SALDO FINANCIAR</t>
        </is>
      </c>
      <c r="AL481" t="n">
        <v>7</v>
      </c>
      <c r="AM481" t="n">
        <v>10000</v>
      </c>
      <c r="AN481" t="n">
        <v>0</v>
      </c>
      <c r="AO481" t="n">
        <v>0</v>
      </c>
      <c r="AP481" s="39" t="n">
        <v>10000</v>
      </c>
      <c r="AQ481" s="39" t="n">
        <v>0</v>
      </c>
      <c r="AR481" s="39" t="n">
        <v>10000</v>
      </c>
      <c r="AT481" t="inlineStr">
        <is>
          <t>Crédito Directo</t>
        </is>
      </c>
      <c r="AZ481" t="inlineStr">
        <is>
          <t>No</t>
        </is>
      </c>
      <c r="BC481" t="inlineStr">
        <is>
          <t>PENDIENTE</t>
        </is>
      </c>
      <c r="BN481" t="inlineStr">
        <is>
          <t>No</t>
        </is>
      </c>
      <c r="BO481" s="117" t="n">
        <v>46055.34027777778</v>
      </c>
      <c r="BP481" t="inlineStr">
        <is>
          <t>Magaly Guevara Perez</t>
        </is>
      </c>
      <c r="BR481" t="n">
        <v>14</v>
      </c>
      <c r="BT481" t="n">
        <v>0</v>
      </c>
      <c r="BX481" t="inlineStr">
        <is>
          <t>Cobranzas_2026.csv</t>
        </is>
      </c>
      <c r="BY481" t="n">
        <v>2026</v>
      </c>
      <c r="BZ481" t="inlineStr">
        <is>
          <t>01/01/2024</t>
        </is>
      </c>
      <c r="CA481" t="inlineStr">
        <is>
          <t>30/09/2031</t>
        </is>
      </c>
    </row>
    <row r="482">
      <c r="A482" t="inlineStr">
        <is>
          <t>RESIDENCIAL BEYOND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1205</t>
        </is>
      </c>
      <c r="G482" s="39" t="n">
        <v>520100</v>
      </c>
      <c r="H482" s="39" t="n">
        <v>467100</v>
      </c>
      <c r="M482" s="39" t="n"/>
      <c r="N482" s="39" t="n"/>
      <c r="S482" s="39" t="n"/>
      <c r="T482" s="39" t="n"/>
      <c r="Y482" s="39" t="n"/>
      <c r="Z482" s="39" t="n"/>
      <c r="AA482" t="inlineStr">
        <is>
          <t>Fabiola Maria Lecca Vargas</t>
        </is>
      </c>
      <c r="AB482" t="inlineStr">
        <is>
          <t>08034254</t>
        </is>
      </c>
      <c r="AC482" t="inlineStr">
        <is>
          <t>Jr. Manuel Irribarren 1012 dpto 1</t>
        </is>
      </c>
      <c r="AD482" t="n">
        <v>0</v>
      </c>
      <c r="AE482" t="inlineStr">
        <is>
          <t>988708317</t>
        </is>
      </c>
      <c r="AF482" t="inlineStr">
        <is>
          <t>fabiolaleccavargas@g.mail.com</t>
        </is>
      </c>
      <c r="AG482" t="inlineStr">
        <is>
          <t>LIMA</t>
        </is>
      </c>
      <c r="AH482" t="inlineStr">
        <is>
          <t>RIMAC</t>
        </is>
      </c>
      <c r="AI482" s="116" t="n">
        <v>46356</v>
      </c>
      <c r="AJ482" s="116" t="n"/>
      <c r="AK482" t="inlineStr">
        <is>
          <t>SALDO FINANCIAR</t>
        </is>
      </c>
      <c r="AL482" t="n">
        <v>8</v>
      </c>
      <c r="AM482" t="n">
        <v>10000</v>
      </c>
      <c r="AN482" t="n">
        <v>0</v>
      </c>
      <c r="AO482" t="n">
        <v>0</v>
      </c>
      <c r="AP482" s="39" t="n">
        <v>10000</v>
      </c>
      <c r="AQ482" s="39" t="n">
        <v>0</v>
      </c>
      <c r="AR482" s="39" t="n">
        <v>10000</v>
      </c>
      <c r="AT482" t="inlineStr">
        <is>
          <t>Crédito Directo</t>
        </is>
      </c>
      <c r="AZ482" t="inlineStr">
        <is>
          <t>No</t>
        </is>
      </c>
      <c r="BC482" t="inlineStr">
        <is>
          <t>PENDIENTE</t>
        </is>
      </c>
      <c r="BN482" t="inlineStr">
        <is>
          <t>No</t>
        </is>
      </c>
      <c r="BO482" s="117" t="n">
        <v>46055.34027777778</v>
      </c>
      <c r="BP482" t="inlineStr">
        <is>
          <t>Magaly Guevara Perez</t>
        </is>
      </c>
      <c r="BR482" t="n">
        <v>14</v>
      </c>
      <c r="BT482" t="n">
        <v>0</v>
      </c>
      <c r="BX482" t="inlineStr">
        <is>
          <t>Cobranzas_2026.csv</t>
        </is>
      </c>
      <c r="BY482" t="n">
        <v>2026</v>
      </c>
      <c r="BZ482" t="inlineStr">
        <is>
          <t>01/01/2024</t>
        </is>
      </c>
      <c r="CA482" t="inlineStr">
        <is>
          <t>30/09/2031</t>
        </is>
      </c>
    </row>
    <row r="483">
      <c r="A483" t="inlineStr">
        <is>
          <t>RESIDENCIAL BEYOND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1205</t>
        </is>
      </c>
      <c r="G483" s="39" t="n">
        <v>520100</v>
      </c>
      <c r="H483" s="39" t="n">
        <v>467100</v>
      </c>
      <c r="M483" s="39" t="n"/>
      <c r="N483" s="39" t="n"/>
      <c r="S483" s="39" t="n"/>
      <c r="T483" s="39" t="n"/>
      <c r="Y483" s="39" t="n"/>
      <c r="Z483" s="39" t="n"/>
      <c r="AA483" t="inlineStr">
        <is>
          <t>Fabiola Maria Lecca Vargas</t>
        </is>
      </c>
      <c r="AB483" t="inlineStr">
        <is>
          <t>08034254</t>
        </is>
      </c>
      <c r="AC483" t="inlineStr">
        <is>
          <t>Jr. Manuel Irribarren 1012 dpto 1</t>
        </is>
      </c>
      <c r="AD483" t="n">
        <v>0</v>
      </c>
      <c r="AE483" t="inlineStr">
        <is>
          <t>988708317</t>
        </is>
      </c>
      <c r="AF483" t="inlineStr">
        <is>
          <t>fabiolaleccavargas@g.mail.com</t>
        </is>
      </c>
      <c r="AG483" t="inlineStr">
        <is>
          <t>LIMA</t>
        </is>
      </c>
      <c r="AH483" t="inlineStr">
        <is>
          <t>RIMAC</t>
        </is>
      </c>
      <c r="AI483" s="116" t="n">
        <v>46386</v>
      </c>
      <c r="AJ483" s="116" t="n"/>
      <c r="AK483" t="inlineStr">
        <is>
          <t>SALDO FINANCIAR</t>
        </is>
      </c>
      <c r="AL483" t="n">
        <v>9</v>
      </c>
      <c r="AM483" t="n">
        <v>10000</v>
      </c>
      <c r="AN483" t="n">
        <v>0</v>
      </c>
      <c r="AO483" t="n">
        <v>0</v>
      </c>
      <c r="AP483" s="39" t="n">
        <v>10000</v>
      </c>
      <c r="AQ483" s="39" t="n">
        <v>0</v>
      </c>
      <c r="AR483" s="39" t="n">
        <v>10000</v>
      </c>
      <c r="AT483" t="inlineStr">
        <is>
          <t>Crédito Directo</t>
        </is>
      </c>
      <c r="AZ483" t="inlineStr">
        <is>
          <t>No</t>
        </is>
      </c>
      <c r="BC483" t="inlineStr">
        <is>
          <t>PENDIENTE</t>
        </is>
      </c>
      <c r="BN483" t="inlineStr">
        <is>
          <t>No</t>
        </is>
      </c>
      <c r="BO483" s="117" t="n">
        <v>46055.34027777778</v>
      </c>
      <c r="BP483" t="inlineStr">
        <is>
          <t>Magaly Guevara Perez</t>
        </is>
      </c>
      <c r="BR483" t="n">
        <v>14</v>
      </c>
      <c r="BT483" t="n">
        <v>0</v>
      </c>
      <c r="BX483" t="inlineStr">
        <is>
          <t>Cobranzas_2026.csv</t>
        </is>
      </c>
      <c r="BY483" t="n">
        <v>2026</v>
      </c>
      <c r="BZ483" t="inlineStr">
        <is>
          <t>01/01/2024</t>
        </is>
      </c>
      <c r="CA483" t="inlineStr">
        <is>
          <t>30/09/2031</t>
        </is>
      </c>
    </row>
    <row r="484">
      <c r="A484" t="inlineStr">
        <is>
          <t>RESIDENCIAL BEYOND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501</t>
        </is>
      </c>
      <c r="G484" s="39" t="n">
        <v>518500</v>
      </c>
      <c r="H484" s="39" t="n">
        <v>469500</v>
      </c>
      <c r="I484" t="inlineStr">
        <is>
          <t>Edificio</t>
        </is>
      </c>
      <c r="J484" t="inlineStr">
        <is>
          <t>A</t>
        </is>
      </c>
      <c r="K484" t="inlineStr">
        <is>
          <t>Estacionamiento</t>
        </is>
      </c>
      <c r="L484" t="inlineStr">
        <is>
          <t>E 14 - D 12</t>
        </is>
      </c>
      <c r="M484" s="39" t="n">
        <v>55000</v>
      </c>
      <c r="N484" s="39" t="n">
        <v>55000</v>
      </c>
      <c r="S484" s="39" t="n"/>
      <c r="T484" s="39" t="n"/>
      <c r="Y484" s="39" t="n"/>
      <c r="Z484" s="39" t="n"/>
      <c r="AA484" t="inlineStr">
        <is>
          <t>Francesca Giuliana Ramos Ortiz</t>
        </is>
      </c>
      <c r="AB484" t="inlineStr">
        <is>
          <t>29412010</t>
        </is>
      </c>
      <c r="AC484" t="inlineStr">
        <is>
          <t>Jr. Cotabambas 306</t>
        </is>
      </c>
      <c r="AD484" t="n">
        <v>0</v>
      </c>
      <c r="AE484" t="inlineStr">
        <is>
          <t>996655477</t>
        </is>
      </c>
      <c r="AF484" t="inlineStr">
        <is>
          <t>cheskagro@gmail.com</t>
        </is>
      </c>
      <c r="AG484" t="inlineStr">
        <is>
          <t>LIMA</t>
        </is>
      </c>
      <c r="AH484" t="inlineStr">
        <is>
          <t>CERCADO DE LIMA</t>
        </is>
      </c>
      <c r="AI484" s="116" t="n">
        <v>46157</v>
      </c>
      <c r="AJ484" s="116" t="n">
        <v>46223</v>
      </c>
      <c r="AK484" t="inlineStr">
        <is>
          <t>CUOTA INICIAL</t>
        </is>
      </c>
      <c r="AL484" t="n">
        <v>2</v>
      </c>
      <c r="AM484" t="n">
        <v>50950</v>
      </c>
      <c r="AN484" t="n">
        <v>0</v>
      </c>
      <c r="AO484" t="n">
        <v>0</v>
      </c>
      <c r="AP484" s="39" t="n">
        <v>50950</v>
      </c>
      <c r="AQ484" s="39" t="n">
        <v>50950</v>
      </c>
      <c r="AR484" s="39" t="n">
        <v>0</v>
      </c>
      <c r="AS484" t="n">
        <v>0</v>
      </c>
      <c r="AT484" t="inlineStr">
        <is>
          <t>Ahorro</t>
        </is>
      </c>
      <c r="AU484" t="inlineStr">
        <is>
          <t>Banco de Credito del Perú</t>
        </is>
      </c>
      <c r="AV484" t="inlineStr">
        <is>
          <t>194-7325779-0-65</t>
        </is>
      </c>
      <c r="AW484" t="inlineStr">
        <is>
          <t>TRANSFERENCIA BANCARIA</t>
        </is>
      </c>
      <c r="AY484" t="inlineStr">
        <is>
          <t>0730895</t>
        </is>
      </c>
      <c r="AZ484" t="inlineStr">
        <is>
          <t>No</t>
        </is>
      </c>
      <c r="BB484" t="n">
        <v>4</v>
      </c>
      <c r="BC484" t="inlineStr">
        <is>
          <t>CANCELADO</t>
        </is>
      </c>
      <c r="BN484" t="inlineStr">
        <is>
          <t>Si</t>
        </is>
      </c>
      <c r="BO484" s="117" t="n">
        <v>45911.39305555556</v>
      </c>
      <c r="BP484" t="inlineStr">
        <is>
          <t>Magaly Guevara Perez</t>
        </is>
      </c>
      <c r="BR484" t="n">
        <v>30</v>
      </c>
      <c r="BS484" t="inlineStr">
        <is>
          <t>13/08/2026 14:52</t>
        </is>
      </c>
      <c r="BT484" t="n">
        <v>0</v>
      </c>
      <c r="BX484" t="inlineStr">
        <is>
          <t>Cobranzas_2026.csv</t>
        </is>
      </c>
      <c r="BY484" t="n">
        <v>2026</v>
      </c>
      <c r="BZ484" t="inlineStr">
        <is>
          <t>01/01/2024</t>
        </is>
      </c>
      <c r="CA484" t="inlineStr">
        <is>
          <t>30/09/2031</t>
        </is>
      </c>
    </row>
    <row r="485">
      <c r="A485" t="inlineStr">
        <is>
          <t>RESIDENCIAL BEYOND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501</t>
        </is>
      </c>
      <c r="G485" s="39" t="n">
        <v>518500</v>
      </c>
      <c r="H485" s="39" t="n">
        <v>469500</v>
      </c>
      <c r="I485" t="inlineStr">
        <is>
          <t>Edificio</t>
        </is>
      </c>
      <c r="J485" t="inlineStr">
        <is>
          <t>A</t>
        </is>
      </c>
      <c r="K485" t="inlineStr">
        <is>
          <t>Estacionamiento</t>
        </is>
      </c>
      <c r="L485" t="inlineStr">
        <is>
          <t>E 14 - D 12</t>
        </is>
      </c>
      <c r="M485" s="39" t="n">
        <v>55000</v>
      </c>
      <c r="N485" s="39" t="n">
        <v>55000</v>
      </c>
      <c r="S485" s="39" t="n"/>
      <c r="T485" s="39" t="n"/>
      <c r="Y485" s="39" t="n"/>
      <c r="Z485" s="39" t="n"/>
      <c r="AA485" t="inlineStr">
        <is>
          <t>Francesca Giuliana Ramos Ortiz</t>
        </is>
      </c>
      <c r="AB485" t="inlineStr">
        <is>
          <t>29412010</t>
        </is>
      </c>
      <c r="AC485" t="inlineStr">
        <is>
          <t>Jr. Cotabambas 306</t>
        </is>
      </c>
      <c r="AD485" t="n">
        <v>0</v>
      </c>
      <c r="AE485" t="inlineStr">
        <is>
          <t>996655477</t>
        </is>
      </c>
      <c r="AF485" t="inlineStr">
        <is>
          <t>cheskagro@gmail.com</t>
        </is>
      </c>
      <c r="AG485" t="inlineStr">
        <is>
          <t>LIMA</t>
        </is>
      </c>
      <c r="AH485" t="inlineStr">
        <is>
          <t>CERCADO DE LIMA</t>
        </is>
      </c>
      <c r="AI485" s="116" t="n">
        <v>46234</v>
      </c>
      <c r="AJ485" s="116" t="n"/>
      <c r="AK485" t="inlineStr">
        <is>
          <t>SALDO FINANCIAR</t>
        </is>
      </c>
      <c r="AL485" t="n">
        <v>1</v>
      </c>
      <c r="AM485" t="n">
        <v>419600</v>
      </c>
      <c r="AN485" t="n">
        <v>0</v>
      </c>
      <c r="AO485" t="n">
        <v>0</v>
      </c>
      <c r="AP485" s="39" t="n">
        <v>419600</v>
      </c>
      <c r="AQ485" s="39" t="n">
        <v>0</v>
      </c>
      <c r="AR485" s="39" t="n">
        <v>419600</v>
      </c>
      <c r="AT485" t="inlineStr">
        <is>
          <t>Ahorro</t>
        </is>
      </c>
      <c r="AZ485" t="inlineStr">
        <is>
          <t>No</t>
        </is>
      </c>
      <c r="BC485" t="inlineStr">
        <is>
          <t>VENCIDO</t>
        </is>
      </c>
      <c r="BN485" t="inlineStr">
        <is>
          <t>No</t>
        </is>
      </c>
      <c r="BO485" s="117" t="n">
        <v>45911.39305555556</v>
      </c>
      <c r="BP485" t="inlineStr">
        <is>
          <t>Magaly Guevara Perez</t>
        </is>
      </c>
      <c r="BR485" t="n">
        <v>30</v>
      </c>
      <c r="BT485" t="n">
        <v>0</v>
      </c>
      <c r="BX485" t="inlineStr">
        <is>
          <t>Cobranzas_2026.csv</t>
        </is>
      </c>
      <c r="BY485" t="n">
        <v>2026</v>
      </c>
      <c r="BZ485" t="inlineStr">
        <is>
          <t>01/01/2024</t>
        </is>
      </c>
      <c r="CA485" t="inlineStr">
        <is>
          <t>30/09/2031</t>
        </is>
      </c>
    </row>
    <row r="486">
      <c r="A486" t="inlineStr">
        <is>
          <t>RESIDENCIAL PRADA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702</t>
        </is>
      </c>
      <c r="G486" s="39" t="n">
        <v>454000</v>
      </c>
      <c r="H486" s="39" t="n">
        <v>454000</v>
      </c>
      <c r="I486" t="inlineStr">
        <is>
          <t>Edificio</t>
        </is>
      </c>
      <c r="J486" t="inlineStr">
        <is>
          <t>A</t>
        </is>
      </c>
      <c r="K486" t="inlineStr">
        <is>
          <t>Estacionamiento</t>
        </is>
      </c>
      <c r="L486" t="inlineStr">
        <is>
          <t>E 50</t>
        </is>
      </c>
      <c r="M486" s="39" t="n">
        <v>46000</v>
      </c>
      <c r="N486" s="39" t="n">
        <v>46000</v>
      </c>
      <c r="S486" s="39" t="n"/>
      <c r="T486" s="39" t="n"/>
      <c r="Y486" s="39" t="n"/>
      <c r="Z486" s="39" t="n"/>
      <c r="AA486" t="inlineStr">
        <is>
          <t>Francescoli Del Aguila Bär</t>
        </is>
      </c>
      <c r="AB486" t="inlineStr">
        <is>
          <t>38218240</t>
        </is>
      </c>
      <c r="AC486" t="inlineStr">
        <is>
          <t>Jr. Inclan 222, Dpto. 704</t>
        </is>
      </c>
      <c r="AD486" t="n">
        <v>958417380</v>
      </c>
      <c r="AE486" t="inlineStr">
        <is>
          <t>958417380</t>
        </is>
      </c>
      <c r="AF486" t="inlineStr">
        <is>
          <t>francescoli.da.bar@gmail.com</t>
        </is>
      </c>
      <c r="AG486" t="inlineStr">
        <is>
          <t>LIMA</t>
        </is>
      </c>
      <c r="AH486" t="inlineStr">
        <is>
          <t>MAGDALENA DEL MAR</t>
        </is>
      </c>
      <c r="AI486" s="116" t="n">
        <v>46059</v>
      </c>
      <c r="AJ486" s="116" t="n">
        <v>46059</v>
      </c>
      <c r="AK486" t="inlineStr">
        <is>
          <t>SEPARACION</t>
        </is>
      </c>
      <c r="AL486" t="n">
        <v>1</v>
      </c>
      <c r="AM486" t="n">
        <v>3000</v>
      </c>
      <c r="AN486" t="n">
        <v>0</v>
      </c>
      <c r="AO486" t="n">
        <v>0</v>
      </c>
      <c r="AP486" s="39" t="n">
        <v>3000</v>
      </c>
      <c r="AQ486" s="39" t="n">
        <v>3000</v>
      </c>
      <c r="AR486" s="39" t="n">
        <v>0</v>
      </c>
      <c r="AS486" t="n">
        <v>0</v>
      </c>
      <c r="AT486" t="inlineStr">
        <is>
          <t>Crédito Hipotecario</t>
        </is>
      </c>
      <c r="AU486" t="inlineStr">
        <is>
          <t>Scotiabank Perú</t>
        </is>
      </c>
      <c r="AV486" t="inlineStr">
        <is>
          <t>000-2768484</t>
        </is>
      </c>
      <c r="AW486" t="inlineStr">
        <is>
          <t>POS VISA</t>
        </is>
      </c>
      <c r="AY486" t="inlineStr">
        <is>
          <t>0000000031010</t>
        </is>
      </c>
      <c r="AZ486" t="inlineStr">
        <is>
          <t>No</t>
        </is>
      </c>
      <c r="BB486" t="n">
        <v>4</v>
      </c>
      <c r="BC486" t="inlineStr">
        <is>
          <t>CANCELADO</t>
        </is>
      </c>
      <c r="BN486" t="inlineStr">
        <is>
          <t>Si</t>
        </is>
      </c>
      <c r="BO486" s="117" t="n">
        <v>46230.75208333333</v>
      </c>
      <c r="BP486" t="inlineStr">
        <is>
          <t>Kenny Salazar S</t>
        </is>
      </c>
      <c r="BR486" t="n">
        <v>71</v>
      </c>
      <c r="BS486" t="inlineStr">
        <is>
          <t>27/07/2026 18:03</t>
        </is>
      </c>
      <c r="BT486" t="n">
        <v>0</v>
      </c>
      <c r="BX486" t="inlineStr">
        <is>
          <t>Cobranzas_2026.csv</t>
        </is>
      </c>
      <c r="BY486" t="n">
        <v>2026</v>
      </c>
      <c r="BZ486" t="inlineStr">
        <is>
          <t>01/01/2024</t>
        </is>
      </c>
      <c r="CA486" t="inlineStr">
        <is>
          <t>30/09/2031</t>
        </is>
      </c>
    </row>
    <row r="487">
      <c r="A487" t="inlineStr">
        <is>
          <t>RESIDENCIAL PRADA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702</t>
        </is>
      </c>
      <c r="G487" s="39" t="n">
        <v>454000</v>
      </c>
      <c r="H487" s="39" t="n">
        <v>454000</v>
      </c>
      <c r="I487" t="inlineStr">
        <is>
          <t>Edificio</t>
        </is>
      </c>
      <c r="J487" t="inlineStr">
        <is>
          <t>A</t>
        </is>
      </c>
      <c r="K487" t="inlineStr">
        <is>
          <t>Estacionamiento</t>
        </is>
      </c>
      <c r="L487" t="inlineStr">
        <is>
          <t>E 50</t>
        </is>
      </c>
      <c r="M487" s="39" t="n">
        <v>46000</v>
      </c>
      <c r="N487" s="39" t="n">
        <v>46000</v>
      </c>
      <c r="S487" s="39" t="n"/>
      <c r="T487" s="39" t="n"/>
      <c r="Y487" s="39" t="n"/>
      <c r="Z487" s="39" t="n"/>
      <c r="AA487" t="inlineStr">
        <is>
          <t>Francescoli Del Aguila Bär</t>
        </is>
      </c>
      <c r="AB487" t="inlineStr">
        <is>
          <t>38218240</t>
        </is>
      </c>
      <c r="AC487" t="inlineStr">
        <is>
          <t>Jr. Inclan 222, Dpto. 704</t>
        </is>
      </c>
      <c r="AD487" t="n">
        <v>958417380</v>
      </c>
      <c r="AE487" t="inlineStr">
        <is>
          <t>958417380</t>
        </is>
      </c>
      <c r="AF487" t="inlineStr">
        <is>
          <t>francescoli.da.bar@gmail.com</t>
        </is>
      </c>
      <c r="AG487" t="inlineStr">
        <is>
          <t>LIMA</t>
        </is>
      </c>
      <c r="AH487" t="inlineStr">
        <is>
          <t>MAGDALENA DEL MAR</t>
        </is>
      </c>
      <c r="AI487" s="116" t="n">
        <v>46076</v>
      </c>
      <c r="AJ487" s="116" t="n">
        <v>46230</v>
      </c>
      <c r="AK487" t="inlineStr">
        <is>
          <t>CUOTA INICIAL</t>
        </is>
      </c>
      <c r="AL487" t="n">
        <v>1</v>
      </c>
      <c r="AM487" t="n">
        <v>97000</v>
      </c>
      <c r="AN487" t="n">
        <v>0</v>
      </c>
      <c r="AO487" t="n">
        <v>0</v>
      </c>
      <c r="AP487" s="39" t="n">
        <v>97000</v>
      </c>
      <c r="AQ487" s="39" t="n">
        <v>97000</v>
      </c>
      <c r="AR487" s="39" t="n">
        <v>0</v>
      </c>
      <c r="AS487" t="n">
        <v>0</v>
      </c>
      <c r="AT487" t="inlineStr">
        <is>
          <t>Crédito Hipotecario</t>
        </is>
      </c>
      <c r="AU487" t="inlineStr">
        <is>
          <t>Scotiabank Perú</t>
        </is>
      </c>
      <c r="AV487" t="inlineStr">
        <is>
          <t>000-2768484</t>
        </is>
      </c>
      <c r="AW487" t="inlineStr">
        <is>
          <t>TRANSFERENCIA BANCARIA</t>
        </is>
      </c>
      <c r="AY487" t="inlineStr">
        <is>
          <t>002514962</t>
        </is>
      </c>
      <c r="AZ487" t="inlineStr">
        <is>
          <t>No</t>
        </is>
      </c>
      <c r="BB487" t="n">
        <v>4</v>
      </c>
      <c r="BC487" t="inlineStr">
        <is>
          <t>CANCELADO</t>
        </is>
      </c>
      <c r="BN487" t="inlineStr">
        <is>
          <t>Si</t>
        </is>
      </c>
      <c r="BO487" s="117" t="n">
        <v>46230.75208333333</v>
      </c>
      <c r="BP487" t="inlineStr">
        <is>
          <t>Kenny Salazar S</t>
        </is>
      </c>
      <c r="BR487" t="n">
        <v>71</v>
      </c>
      <c r="BS487" t="inlineStr">
        <is>
          <t>27/07/2026 18:04</t>
        </is>
      </c>
      <c r="BT487" t="n">
        <v>0</v>
      </c>
      <c r="BX487" t="inlineStr">
        <is>
          <t>Cobranzas_2026.csv</t>
        </is>
      </c>
      <c r="BY487" t="n">
        <v>2026</v>
      </c>
      <c r="BZ487" t="inlineStr">
        <is>
          <t>01/01/2024</t>
        </is>
      </c>
      <c r="CA487" t="inlineStr">
        <is>
          <t>30/09/2031</t>
        </is>
      </c>
    </row>
    <row r="488">
      <c r="A488" t="inlineStr">
        <is>
          <t>RESIDENCIAL PRADA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702</t>
        </is>
      </c>
      <c r="G488" s="39" t="n">
        <v>454000</v>
      </c>
      <c r="H488" s="39" t="n">
        <v>454000</v>
      </c>
      <c r="I488" t="inlineStr">
        <is>
          <t>Edificio</t>
        </is>
      </c>
      <c r="J488" t="inlineStr">
        <is>
          <t>A</t>
        </is>
      </c>
      <c r="K488" t="inlineStr">
        <is>
          <t>Estacionamiento</t>
        </is>
      </c>
      <c r="L488" t="inlineStr">
        <is>
          <t>E 50</t>
        </is>
      </c>
      <c r="M488" s="39" t="n">
        <v>46000</v>
      </c>
      <c r="N488" s="39" t="n">
        <v>46000</v>
      </c>
      <c r="S488" s="39" t="n"/>
      <c r="T488" s="39" t="n"/>
      <c r="Y488" s="39" t="n"/>
      <c r="Z488" s="39" t="n"/>
      <c r="AA488" t="inlineStr">
        <is>
          <t>Francescoli Del Aguila Bär</t>
        </is>
      </c>
      <c r="AB488" t="inlineStr">
        <is>
          <t>38218240</t>
        </is>
      </c>
      <c r="AC488" t="inlineStr">
        <is>
          <t>Jr. Inclan 222, Dpto. 704</t>
        </is>
      </c>
      <c r="AD488" t="n">
        <v>958417380</v>
      </c>
      <c r="AE488" t="inlineStr">
        <is>
          <t>958417380</t>
        </is>
      </c>
      <c r="AF488" t="inlineStr">
        <is>
          <t>francescoli.da.bar@gmail.com</t>
        </is>
      </c>
      <c r="AG488" t="inlineStr">
        <is>
          <t>LIMA</t>
        </is>
      </c>
      <c r="AH488" t="inlineStr">
        <is>
          <t>MAGDALENA DEL MAR</t>
        </is>
      </c>
      <c r="AI488" s="116" t="n">
        <v>46106</v>
      </c>
      <c r="AJ488" s="116" t="n">
        <v>46230</v>
      </c>
      <c r="AK488" t="inlineStr">
        <is>
          <t>SALDO FINANCIAR</t>
        </is>
      </c>
      <c r="AL488" t="n">
        <v>1</v>
      </c>
      <c r="AM488" t="n">
        <v>400000</v>
      </c>
      <c r="AN488" t="n">
        <v>0</v>
      </c>
      <c r="AO488" t="n">
        <v>0</v>
      </c>
      <c r="AP488" s="39" t="n">
        <v>400000</v>
      </c>
      <c r="AQ488" s="39" t="n">
        <v>400000</v>
      </c>
      <c r="AR488" s="39" t="n">
        <v>0</v>
      </c>
      <c r="AS488" t="n">
        <v>0</v>
      </c>
      <c r="AT488" t="inlineStr">
        <is>
          <t>Crédito Hipotecario</t>
        </is>
      </c>
      <c r="AU488" t="inlineStr">
        <is>
          <t>Scotiabank Perú</t>
        </is>
      </c>
      <c r="AV488" t="inlineStr">
        <is>
          <t>000-2768484</t>
        </is>
      </c>
      <c r="AW488" t="inlineStr">
        <is>
          <t>TRANSFERENCIA BANCARIA</t>
        </is>
      </c>
      <c r="AY488" t="inlineStr">
        <is>
          <t>0270800057</t>
        </is>
      </c>
      <c r="AZ488" t="inlineStr">
        <is>
          <t>No</t>
        </is>
      </c>
      <c r="BB488" t="n">
        <v>4</v>
      </c>
      <c r="BC488" t="inlineStr">
        <is>
          <t>CANCELADO</t>
        </is>
      </c>
      <c r="BN488" t="inlineStr">
        <is>
          <t>Si</t>
        </is>
      </c>
      <c r="BO488" s="117" t="n">
        <v>46230.75208333333</v>
      </c>
      <c r="BP488" t="inlineStr">
        <is>
          <t>Kenny Salazar S</t>
        </is>
      </c>
      <c r="BR488" t="n">
        <v>71</v>
      </c>
      <c r="BS488" t="inlineStr">
        <is>
          <t>27/07/2026 18:05</t>
        </is>
      </c>
      <c r="BT488" t="n">
        <v>0</v>
      </c>
      <c r="BX488" t="inlineStr">
        <is>
          <t>Cobranzas_2026.csv</t>
        </is>
      </c>
      <c r="BY488" t="n">
        <v>2026</v>
      </c>
      <c r="BZ488" t="inlineStr">
        <is>
          <t>01/01/2024</t>
        </is>
      </c>
      <c r="CA488" t="inlineStr">
        <is>
          <t>30/09/2031</t>
        </is>
      </c>
    </row>
    <row r="489">
      <c r="A489" t="inlineStr">
        <is>
          <t>RESIDENCIAL PRADA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802</t>
        </is>
      </c>
      <c r="G489" s="39" t="n">
        <v>420000</v>
      </c>
      <c r="H489" s="39" t="n">
        <v>420000</v>
      </c>
      <c r="M489" s="39" t="n"/>
      <c r="N489" s="39" t="n"/>
      <c r="S489" s="39" t="n"/>
      <c r="T489" s="39" t="n"/>
      <c r="Y489" s="39" t="n"/>
      <c r="Z489" s="39" t="n"/>
      <c r="AA489" t="inlineStr">
        <is>
          <t xml:space="preserve">Gersom Juver Gonzalez Alfaro </t>
        </is>
      </c>
      <c r="AB489" t="inlineStr">
        <is>
          <t>42539680</t>
        </is>
      </c>
      <c r="AC489" t="inlineStr">
        <is>
          <t>Jr. Grl. Zegarra 854 Dpto. 21 P. 4</t>
        </is>
      </c>
      <c r="AD489" t="n">
        <v>958600003</v>
      </c>
      <c r="AE489" t="inlineStr">
        <is>
          <t>958600003</t>
        </is>
      </c>
      <c r="AF489" t="inlineStr">
        <is>
          <t>gersonalfaro@gmail.com</t>
        </is>
      </c>
      <c r="AG489" t="inlineStr">
        <is>
          <t>LIMA</t>
        </is>
      </c>
      <c r="AH489" t="inlineStr">
        <is>
          <t>JESUS MARIA</t>
        </is>
      </c>
      <c r="AI489" s="116" t="n">
        <v>46053</v>
      </c>
      <c r="AJ489" s="116" t="n">
        <v>46112</v>
      </c>
      <c r="AK489" t="inlineStr">
        <is>
          <t>SALDO FINANCIAR</t>
        </is>
      </c>
      <c r="AL489" t="n">
        <v>1</v>
      </c>
      <c r="AM489" t="n">
        <v>372000</v>
      </c>
      <c r="AN489" t="n">
        <v>0</v>
      </c>
      <c r="AO489" t="n">
        <v>0</v>
      </c>
      <c r="AP489" s="39" t="n">
        <v>372000</v>
      </c>
      <c r="AQ489" s="39" t="n">
        <v>372000</v>
      </c>
      <c r="AR489" s="39" t="n">
        <v>0</v>
      </c>
      <c r="AS489" t="n">
        <v>0</v>
      </c>
      <c r="AT489" t="inlineStr">
        <is>
          <t>Crédito Hipotecario</t>
        </is>
      </c>
      <c r="AU489" t="inlineStr">
        <is>
          <t>Scotiabank Perú</t>
        </is>
      </c>
      <c r="AV489" t="inlineStr">
        <is>
          <t>000-2768484</t>
        </is>
      </c>
      <c r="AW489" t="inlineStr">
        <is>
          <t>TRANSFERENCIA BANCARIA</t>
        </is>
      </c>
      <c r="AY489" t="inlineStr">
        <is>
          <t>31032025</t>
        </is>
      </c>
      <c r="AZ489" t="inlineStr">
        <is>
          <t>No</t>
        </is>
      </c>
      <c r="BB489" t="n">
        <v>4</v>
      </c>
      <c r="BC489" t="inlineStr">
        <is>
          <t>CANCELADO</t>
        </is>
      </c>
      <c r="BN489" t="inlineStr">
        <is>
          <t>Si</t>
        </is>
      </c>
      <c r="BO489" s="117" t="n">
        <v>45832.51944444444</v>
      </c>
      <c r="BP489" t="inlineStr">
        <is>
          <t>Carla Michue M</t>
        </is>
      </c>
      <c r="BR489" t="n">
        <v>45</v>
      </c>
      <c r="BS489" t="inlineStr">
        <is>
          <t>07/07/2026 12:27</t>
        </is>
      </c>
      <c r="BT489" t="n">
        <v>0</v>
      </c>
      <c r="BX489" t="inlineStr">
        <is>
          <t>Cobranzas_2026.csv</t>
        </is>
      </c>
      <c r="BY489" t="n">
        <v>2026</v>
      </c>
      <c r="BZ489" t="inlineStr">
        <is>
          <t>01/01/2024</t>
        </is>
      </c>
      <c r="CA489" t="inlineStr">
        <is>
          <t>30/09/2031</t>
        </is>
      </c>
    </row>
    <row r="490">
      <c r="A490" t="inlineStr">
        <is>
          <t>RESIDENCIAL PRADA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Estacionamiento</t>
        </is>
      </c>
      <c r="F490" t="inlineStr">
        <is>
          <t>E 25 - D 19</t>
        </is>
      </c>
      <c r="G490" s="39" t="n">
        <v>60400</v>
      </c>
      <c r="H490" s="39" t="n">
        <v>60400</v>
      </c>
      <c r="M490" s="39" t="n"/>
      <c r="N490" s="39" t="n"/>
      <c r="S490" s="39" t="n"/>
      <c r="T490" s="39" t="n"/>
      <c r="Y490" s="39" t="n"/>
      <c r="Z490" s="39" t="n"/>
      <c r="AA490" t="inlineStr">
        <is>
          <t>Gersom Juver Gonzalez Alfaro</t>
        </is>
      </c>
      <c r="AB490" t="inlineStr">
        <is>
          <t>42539680</t>
        </is>
      </c>
      <c r="AC490" t="inlineStr">
        <is>
          <t>Jr. Grl. Zegarra 854 Dpto. 21 P. 4</t>
        </is>
      </c>
      <c r="AD490" t="n">
        <v>0</v>
      </c>
      <c r="AE490" t="inlineStr">
        <is>
          <t>958600003</t>
        </is>
      </c>
      <c r="AF490" t="inlineStr">
        <is>
          <t>gersomalfaro@gmail.com</t>
        </is>
      </c>
      <c r="AG490" t="inlineStr">
        <is>
          <t>LIMA</t>
        </is>
      </c>
      <c r="AH490" t="inlineStr">
        <is>
          <t>JESUS MARIA</t>
        </is>
      </c>
      <c r="AI490" s="116" t="n">
        <v>46031</v>
      </c>
      <c r="AJ490" s="116" t="n">
        <v>46031</v>
      </c>
      <c r="AK490" t="inlineStr">
        <is>
          <t>CUOTA INICIAL</t>
        </is>
      </c>
      <c r="AL490" t="n">
        <v>1</v>
      </c>
      <c r="AM490" t="n">
        <v>4000</v>
      </c>
      <c r="AN490" t="n">
        <v>0</v>
      </c>
      <c r="AO490" t="n">
        <v>0</v>
      </c>
      <c r="AP490" s="39" t="n">
        <v>4000</v>
      </c>
      <c r="AQ490" s="39" t="n">
        <v>4000</v>
      </c>
      <c r="AR490" s="39" t="n">
        <v>0</v>
      </c>
      <c r="AS490" t="n">
        <v>0</v>
      </c>
      <c r="AT490" t="inlineStr">
        <is>
          <t>Crédito Directo</t>
        </is>
      </c>
      <c r="AU490" t="inlineStr">
        <is>
          <t>Scotiabank Perú</t>
        </is>
      </c>
      <c r="AV490" t="inlineStr">
        <is>
          <t>00917000000276848424</t>
        </is>
      </c>
      <c r="AW490" t="inlineStr">
        <is>
          <t>TRANSFERENCIA BANCARIA</t>
        </is>
      </c>
      <c r="AY490" t="inlineStr">
        <is>
          <t>00002865000000000</t>
        </is>
      </c>
      <c r="AZ490" t="inlineStr">
        <is>
          <t>No</t>
        </is>
      </c>
      <c r="BA490" t="inlineStr">
        <is>
          <t>AHORROS PERSONALES</t>
        </is>
      </c>
      <c r="BB490" t="n">
        <v>4</v>
      </c>
      <c r="BC490" t="inlineStr">
        <is>
          <t>CANCELADO</t>
        </is>
      </c>
      <c r="BN490" t="inlineStr">
        <is>
          <t>Si</t>
        </is>
      </c>
      <c r="BO490" s="117" t="n">
        <v>46031.56527777778</v>
      </c>
      <c r="BP490" t="inlineStr">
        <is>
          <t>Carla Michue M</t>
        </is>
      </c>
      <c r="BR490" t="n">
        <v>63</v>
      </c>
      <c r="BS490" t="inlineStr">
        <is>
          <t>23/08/2026 13:30</t>
        </is>
      </c>
      <c r="BT490" t="n">
        <v>0</v>
      </c>
      <c r="BX490" t="inlineStr">
        <is>
          <t>Cobranzas_2026.csv</t>
        </is>
      </c>
      <c r="BY490" t="n">
        <v>2026</v>
      </c>
      <c r="BZ490" t="inlineStr">
        <is>
          <t>01/01/2024</t>
        </is>
      </c>
      <c r="CA490" t="inlineStr">
        <is>
          <t>30/09/2031</t>
        </is>
      </c>
    </row>
    <row r="491">
      <c r="A491" t="inlineStr">
        <is>
          <t>RESIDENCIAL PRADA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Estacionamiento</t>
        </is>
      </c>
      <c r="F491" t="inlineStr">
        <is>
          <t>E 25 - D 19</t>
        </is>
      </c>
      <c r="G491" s="39" t="n">
        <v>60400</v>
      </c>
      <c r="H491" s="39" t="n">
        <v>60400</v>
      </c>
      <c r="M491" s="39" t="n"/>
      <c r="N491" s="39" t="n"/>
      <c r="S491" s="39" t="n"/>
      <c r="T491" s="39" t="n"/>
      <c r="Y491" s="39" t="n"/>
      <c r="Z491" s="39" t="n"/>
      <c r="AA491" t="inlineStr">
        <is>
          <t>Gersom Juver Gonzalez Alfaro</t>
        </is>
      </c>
      <c r="AB491" t="inlineStr">
        <is>
          <t>42539680</t>
        </is>
      </c>
      <c r="AC491" t="inlineStr">
        <is>
          <t>Jr. Grl. Zegarra 854 Dpto. 21 P. 4</t>
        </is>
      </c>
      <c r="AD491" t="n">
        <v>0</v>
      </c>
      <c r="AE491" t="inlineStr">
        <is>
          <t>958600003</t>
        </is>
      </c>
      <c r="AF491" t="inlineStr">
        <is>
          <t>gersomalfaro@gmail.com</t>
        </is>
      </c>
      <c r="AG491" t="inlineStr">
        <is>
          <t>LIMA</t>
        </is>
      </c>
      <c r="AH491" t="inlineStr">
        <is>
          <t>JESUS MARIA</t>
        </is>
      </c>
      <c r="AI491" s="116" t="n">
        <v>46233</v>
      </c>
      <c r="AJ491" s="116" t="n">
        <v>46258</v>
      </c>
      <c r="AK491" t="inlineStr">
        <is>
          <t>SALDO FINANCIAR</t>
        </is>
      </c>
      <c r="AL491" t="n">
        <v>1</v>
      </c>
      <c r="AM491" t="n">
        <v>11400</v>
      </c>
      <c r="AN491" t="n">
        <v>0</v>
      </c>
      <c r="AO491" t="n">
        <v>0</v>
      </c>
      <c r="AP491" s="39" t="n">
        <v>11400</v>
      </c>
      <c r="AQ491" s="39" t="n">
        <v>11400</v>
      </c>
      <c r="AR491" s="39" t="n">
        <v>0</v>
      </c>
      <c r="AS491" t="n">
        <v>0</v>
      </c>
      <c r="AT491" t="inlineStr">
        <is>
          <t>Crédito Directo</t>
        </is>
      </c>
      <c r="AU491" t="inlineStr">
        <is>
          <t>Scotiabank Perú</t>
        </is>
      </c>
      <c r="AV491" t="inlineStr">
        <is>
          <t>000-2768484</t>
        </is>
      </c>
      <c r="AW491" t="inlineStr">
        <is>
          <t>TRANSFERENCIA BANCARIA</t>
        </is>
      </c>
      <c r="AY491" t="inlineStr">
        <is>
          <t>339900000</t>
        </is>
      </c>
      <c r="AZ491" t="inlineStr">
        <is>
          <t>No</t>
        </is>
      </c>
      <c r="BB491" t="n">
        <v>4</v>
      </c>
      <c r="BC491" t="inlineStr">
        <is>
          <t>CANCELADO</t>
        </is>
      </c>
      <c r="BN491" t="inlineStr">
        <is>
          <t>Si</t>
        </is>
      </c>
      <c r="BO491" s="117" t="n">
        <v>46031.56527777778</v>
      </c>
      <c r="BP491" t="inlineStr">
        <is>
          <t>Carla Michue M</t>
        </is>
      </c>
      <c r="BR491" t="n">
        <v>63</v>
      </c>
      <c r="BS491" t="inlineStr">
        <is>
          <t>24/08/2026 14:08</t>
        </is>
      </c>
      <c r="BT491" t="n">
        <v>0</v>
      </c>
      <c r="BX491" t="inlineStr">
        <is>
          <t>Cobranzas_2026.csv</t>
        </is>
      </c>
      <c r="BY491" t="n">
        <v>2026</v>
      </c>
      <c r="BZ491" t="inlineStr">
        <is>
          <t>01/01/2024</t>
        </is>
      </c>
      <c r="CA491" t="inlineStr">
        <is>
          <t>30/09/2031</t>
        </is>
      </c>
    </row>
    <row r="492">
      <c r="A492" t="inlineStr">
        <is>
          <t>RESIDENCIAL PRADA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Estacionamiento</t>
        </is>
      </c>
      <c r="F492" t="inlineStr">
        <is>
          <t>E 25 - D 19</t>
        </is>
      </c>
      <c r="G492" s="39" t="n">
        <v>60400</v>
      </c>
      <c r="H492" s="39" t="n">
        <v>60400</v>
      </c>
      <c r="M492" s="39" t="n"/>
      <c r="N492" s="39" t="n"/>
      <c r="S492" s="39" t="n"/>
      <c r="T492" s="39" t="n"/>
      <c r="Y492" s="39" t="n"/>
      <c r="Z492" s="39" t="n"/>
      <c r="AA492" t="inlineStr">
        <is>
          <t>Gersom Juver Gonzalez Alfaro</t>
        </is>
      </c>
      <c r="AB492" t="inlineStr">
        <is>
          <t>42539680</t>
        </is>
      </c>
      <c r="AC492" t="inlineStr">
        <is>
          <t>Jr. Grl. Zegarra 854 Dpto. 21 P. 4</t>
        </is>
      </c>
      <c r="AD492" t="n">
        <v>0</v>
      </c>
      <c r="AE492" t="inlineStr">
        <is>
          <t>958600003</t>
        </is>
      </c>
      <c r="AF492" t="inlineStr">
        <is>
          <t>gersomalfaro@gmail.com</t>
        </is>
      </c>
      <c r="AG492" t="inlineStr">
        <is>
          <t>LIMA</t>
        </is>
      </c>
      <c r="AH492" t="inlineStr">
        <is>
          <t>JESUS MARIA</t>
        </is>
      </c>
      <c r="AI492" s="116" t="n">
        <v>46295</v>
      </c>
      <c r="AJ492" s="116" t="n"/>
      <c r="AK492" t="inlineStr">
        <is>
          <t>SALDO FINANCIAR</t>
        </is>
      </c>
      <c r="AL492" t="n">
        <v>2</v>
      </c>
      <c r="AM492" t="n">
        <v>20000</v>
      </c>
      <c r="AN492" t="n">
        <v>0</v>
      </c>
      <c r="AO492" t="n">
        <v>0</v>
      </c>
      <c r="AP492" s="39" t="n">
        <v>20000</v>
      </c>
      <c r="AQ492" s="39" t="n">
        <v>0</v>
      </c>
      <c r="AR492" s="39" t="n">
        <v>20000</v>
      </c>
      <c r="AT492" t="inlineStr">
        <is>
          <t>Crédito Directo</t>
        </is>
      </c>
      <c r="AZ492" t="inlineStr">
        <is>
          <t>No</t>
        </is>
      </c>
      <c r="BC492" t="inlineStr">
        <is>
          <t>VENCIDO</t>
        </is>
      </c>
      <c r="BN492" t="inlineStr">
        <is>
          <t>No</t>
        </is>
      </c>
      <c r="BO492" s="117" t="n">
        <v>46031.56527777778</v>
      </c>
      <c r="BP492" t="inlineStr">
        <is>
          <t>Carla Michue M</t>
        </is>
      </c>
      <c r="BR492" t="n">
        <v>63</v>
      </c>
      <c r="BT492" t="n">
        <v>0</v>
      </c>
      <c r="BX492" t="inlineStr">
        <is>
          <t>Cobranzas_2026.csv</t>
        </is>
      </c>
      <c r="BY492" t="n">
        <v>2026</v>
      </c>
      <c r="BZ492" t="inlineStr">
        <is>
          <t>01/01/2024</t>
        </is>
      </c>
      <c r="CA492" t="inlineStr">
        <is>
          <t>30/09/2031</t>
        </is>
      </c>
    </row>
    <row r="493">
      <c r="A493" t="inlineStr">
        <is>
          <t>RESIDENCIAL PRADA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Estacionamiento</t>
        </is>
      </c>
      <c r="F493" t="inlineStr">
        <is>
          <t>E 25 - D 19</t>
        </is>
      </c>
      <c r="G493" s="39" t="n">
        <v>60400</v>
      </c>
      <c r="H493" s="39" t="n">
        <v>60400</v>
      </c>
      <c r="M493" s="39" t="n"/>
      <c r="N493" s="39" t="n"/>
      <c r="S493" s="39" t="n"/>
      <c r="T493" s="39" t="n"/>
      <c r="Y493" s="39" t="n"/>
      <c r="Z493" s="39" t="n"/>
      <c r="AA493" t="inlineStr">
        <is>
          <t>Gersom Juver Gonzalez Alfaro</t>
        </is>
      </c>
      <c r="AB493" t="inlineStr">
        <is>
          <t>42539680</t>
        </is>
      </c>
      <c r="AC493" t="inlineStr">
        <is>
          <t>Jr. Grl. Zegarra 854 Dpto. 21 P. 4</t>
        </is>
      </c>
      <c r="AD493" t="n">
        <v>0</v>
      </c>
      <c r="AE493" t="inlineStr">
        <is>
          <t>958600003</t>
        </is>
      </c>
      <c r="AF493" t="inlineStr">
        <is>
          <t>gersomalfaro@gmail.com</t>
        </is>
      </c>
      <c r="AG493" t="inlineStr">
        <is>
          <t>LIMA</t>
        </is>
      </c>
      <c r="AH493" t="inlineStr">
        <is>
          <t>JESUS MARIA</t>
        </is>
      </c>
      <c r="AI493" s="116" t="n">
        <v>46325</v>
      </c>
      <c r="AJ493" s="116" t="n"/>
      <c r="AK493" t="inlineStr">
        <is>
          <t>SALDO FINANCIAR</t>
        </is>
      </c>
      <c r="AL493" t="n">
        <v>3</v>
      </c>
      <c r="AM493" t="n">
        <v>20000</v>
      </c>
      <c r="AN493" t="n">
        <v>0</v>
      </c>
      <c r="AO493" t="n">
        <v>0</v>
      </c>
      <c r="AP493" s="39" t="n">
        <v>20000</v>
      </c>
      <c r="AQ493" s="39" t="n">
        <v>0</v>
      </c>
      <c r="AR493" s="39" t="n">
        <v>20000</v>
      </c>
      <c r="AT493" t="inlineStr">
        <is>
          <t>Crédito Directo</t>
        </is>
      </c>
      <c r="AZ493" t="inlineStr">
        <is>
          <t>No</t>
        </is>
      </c>
      <c r="BC493" t="inlineStr">
        <is>
          <t>PENDIENTE</t>
        </is>
      </c>
      <c r="BN493" t="inlineStr">
        <is>
          <t>No</t>
        </is>
      </c>
      <c r="BO493" s="117" t="n">
        <v>46031.56527777778</v>
      </c>
      <c r="BP493" t="inlineStr">
        <is>
          <t>Carla Michue M</t>
        </is>
      </c>
      <c r="BR493" t="n">
        <v>63</v>
      </c>
      <c r="BT493" t="n">
        <v>0</v>
      </c>
      <c r="BX493" t="inlineStr">
        <is>
          <t>Cobranzas_2026.csv</t>
        </is>
      </c>
      <c r="BY493" t="n">
        <v>2026</v>
      </c>
      <c r="BZ493" t="inlineStr">
        <is>
          <t>01/01/2024</t>
        </is>
      </c>
      <c r="CA493" t="inlineStr">
        <is>
          <t>30/09/2031</t>
        </is>
      </c>
    </row>
    <row r="494">
      <c r="A494" t="inlineStr">
        <is>
          <t>RESIDENCIAL PRADA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203</t>
        </is>
      </c>
      <c r="G494" s="39" t="n">
        <v>654000</v>
      </c>
      <c r="H494" s="39" t="n">
        <v>654000</v>
      </c>
      <c r="I494" t="inlineStr">
        <is>
          <t>Edificio</t>
        </is>
      </c>
      <c r="J494" t="inlineStr">
        <is>
          <t>A</t>
        </is>
      </c>
      <c r="K494" t="inlineStr">
        <is>
          <t>Estacionamiento</t>
        </is>
      </c>
      <c r="L494" t="inlineStr">
        <is>
          <t>E 12 - D 09</t>
        </is>
      </c>
      <c r="M494" s="39" t="n">
        <v>56300</v>
      </c>
      <c r="N494" s="39" t="n">
        <v>56300</v>
      </c>
      <c r="S494" s="39" t="n"/>
      <c r="T494" s="39" t="n"/>
      <c r="Y494" s="39" t="n"/>
      <c r="Z494" s="39" t="n"/>
      <c r="AA494" t="inlineStr">
        <is>
          <t>Gilberto Videla Flores</t>
        </is>
      </c>
      <c r="AB494" t="inlineStr">
        <is>
          <t>06571347</t>
        </is>
      </c>
      <c r="AC494" t="inlineStr">
        <is>
          <t>Mz D Lt 7 Urb. La Estrella</t>
        </is>
      </c>
      <c r="AE494" t="inlineStr">
        <is>
          <t>969742622</t>
        </is>
      </c>
      <c r="AF494" t="inlineStr">
        <is>
          <t>gvidelaf@gmail.com</t>
        </is>
      </c>
      <c r="AG494" t="inlineStr">
        <is>
          <t>LIMA</t>
        </is>
      </c>
      <c r="AH494" t="inlineStr">
        <is>
          <t>LOS OLIVOS</t>
        </is>
      </c>
      <c r="AI494" s="116" t="n">
        <v>46264.75694444445</v>
      </c>
      <c r="AJ494" s="116" t="n">
        <v>45831</v>
      </c>
      <c r="AK494" t="inlineStr">
        <is>
          <t>SALDO FINANCIAR</t>
        </is>
      </c>
      <c r="AL494" t="n">
        <v>5</v>
      </c>
      <c r="AM494" t="n">
        <v>106545</v>
      </c>
      <c r="AN494" t="n">
        <v>0</v>
      </c>
      <c r="AO494" t="n">
        <v>0</v>
      </c>
      <c r="AP494" s="39" t="n">
        <v>106545</v>
      </c>
      <c r="AQ494" s="39" t="n">
        <v>35515</v>
      </c>
      <c r="AR494" s="39" t="n">
        <v>0</v>
      </c>
      <c r="AS494" t="n">
        <v>0</v>
      </c>
      <c r="AT494" t="inlineStr">
        <is>
          <t>Crédito Directo</t>
        </is>
      </c>
      <c r="AU494" t="inlineStr">
        <is>
          <t>Scotiabank Perú</t>
        </is>
      </c>
      <c r="AV494" t="inlineStr">
        <is>
          <t>000-2768484</t>
        </is>
      </c>
      <c r="AW494" t="inlineStr">
        <is>
          <t>TRANSFERENCIA BANCARIA</t>
        </is>
      </c>
      <c r="AY494" t="inlineStr">
        <is>
          <t>02249650</t>
        </is>
      </c>
      <c r="AZ494" t="inlineStr">
        <is>
          <t>No</t>
        </is>
      </c>
      <c r="BB494" t="n">
        <v>4</v>
      </c>
      <c r="BC494" t="inlineStr">
        <is>
          <t>CANCELADO</t>
        </is>
      </c>
      <c r="BN494" t="inlineStr">
        <is>
          <t>Si</t>
        </is>
      </c>
      <c r="BO494" s="117" t="n">
        <v>45539.38055555556</v>
      </c>
      <c r="BP494" t="inlineStr">
        <is>
          <t>Carla Michue M</t>
        </is>
      </c>
      <c r="BR494" t="n">
        <v>24</v>
      </c>
      <c r="BS494" t="inlineStr">
        <is>
          <t>30/06/2026 18:17</t>
        </is>
      </c>
      <c r="BT494" t="n">
        <v>0</v>
      </c>
      <c r="BX494" t="inlineStr">
        <is>
          <t>Cobranzas_2026.csv</t>
        </is>
      </c>
      <c r="BY494" t="n">
        <v>2026</v>
      </c>
      <c r="BZ494" t="inlineStr">
        <is>
          <t>01/01/2024</t>
        </is>
      </c>
      <c r="CA494" t="inlineStr">
        <is>
          <t>30/09/2031</t>
        </is>
      </c>
    </row>
    <row r="495">
      <c r="A495" t="inlineStr">
        <is>
          <t>RESIDENCIAL PRADA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203</t>
        </is>
      </c>
      <c r="G495" s="39" t="n">
        <v>654000</v>
      </c>
      <c r="H495" s="39" t="n">
        <v>654000</v>
      </c>
      <c r="I495" t="inlineStr">
        <is>
          <t>Edificio</t>
        </is>
      </c>
      <c r="J495" t="inlineStr">
        <is>
          <t>A</t>
        </is>
      </c>
      <c r="K495" t="inlineStr">
        <is>
          <t>Estacionamiento</t>
        </is>
      </c>
      <c r="L495" t="inlineStr">
        <is>
          <t>E 12 - D 09</t>
        </is>
      </c>
      <c r="M495" s="39" t="n">
        <v>56300</v>
      </c>
      <c r="N495" s="39" t="n">
        <v>56300</v>
      </c>
      <c r="S495" s="39" t="n"/>
      <c r="T495" s="39" t="n"/>
      <c r="Y495" s="39" t="n"/>
      <c r="Z495" s="39" t="n"/>
      <c r="AA495" t="inlineStr">
        <is>
          <t>Gilberto Videla Flores</t>
        </is>
      </c>
      <c r="AB495" t="inlineStr">
        <is>
          <t>06571347</t>
        </is>
      </c>
      <c r="AC495" t="inlineStr">
        <is>
          <t>Mz D Lt 7 Urb. La Estrella</t>
        </is>
      </c>
      <c r="AE495" t="inlineStr">
        <is>
          <t>969742622</t>
        </is>
      </c>
      <c r="AF495" t="inlineStr">
        <is>
          <t>gvidelaf@gmail.com</t>
        </is>
      </c>
      <c r="AG495" t="inlineStr">
        <is>
          <t>LIMA</t>
        </is>
      </c>
      <c r="AH495" t="inlineStr">
        <is>
          <t>LOS OLIVOS</t>
        </is>
      </c>
      <c r="AI495" s="116" t="n">
        <v>46264.75694444445</v>
      </c>
      <c r="AJ495" s="116" t="n">
        <v>45858</v>
      </c>
      <c r="AK495" t="inlineStr">
        <is>
          <t>SALDO FINANCIAR</t>
        </is>
      </c>
      <c r="AL495" t="n">
        <v>5</v>
      </c>
      <c r="AM495" t="n">
        <v>0</v>
      </c>
      <c r="AN495" t="n">
        <v>0</v>
      </c>
      <c r="AO495" t="n">
        <v>0</v>
      </c>
      <c r="AP495" s="39" t="n">
        <v>0</v>
      </c>
      <c r="AQ495" s="39" t="n">
        <v>35515</v>
      </c>
      <c r="AR495" s="39" t="n">
        <v>0</v>
      </c>
      <c r="AS495" t="n">
        <v>0</v>
      </c>
      <c r="AT495" t="inlineStr">
        <is>
          <t>Crédito Directo</t>
        </is>
      </c>
      <c r="AU495" t="inlineStr">
        <is>
          <t>Scotiabank Perú</t>
        </is>
      </c>
      <c r="AV495" t="inlineStr">
        <is>
          <t>000-2768484</t>
        </is>
      </c>
      <c r="AW495" t="inlineStr">
        <is>
          <t>TRANSFERENCIA BANCARIA</t>
        </is>
      </c>
      <c r="AY495" t="inlineStr">
        <is>
          <t>02734027</t>
        </is>
      </c>
      <c r="AZ495" t="inlineStr">
        <is>
          <t>No</t>
        </is>
      </c>
      <c r="BB495" t="n">
        <v>4</v>
      </c>
      <c r="BC495" t="inlineStr">
        <is>
          <t>CANCELADO</t>
        </is>
      </c>
      <c r="BN495" t="inlineStr">
        <is>
          <t>Si</t>
        </is>
      </c>
      <c r="BO495" s="117" t="n">
        <v>45539.38055555556</v>
      </c>
      <c r="BP495" t="inlineStr">
        <is>
          <t>Carla Michue M</t>
        </is>
      </c>
      <c r="BR495" t="n">
        <v>24</v>
      </c>
      <c r="BS495" t="inlineStr">
        <is>
          <t>30/06/2026 18:19</t>
        </is>
      </c>
      <c r="BT495" t="n">
        <v>0</v>
      </c>
      <c r="BX495" t="inlineStr">
        <is>
          <t>Cobranzas_2026.csv</t>
        </is>
      </c>
      <c r="BY495" t="n">
        <v>2026</v>
      </c>
      <c r="BZ495" t="inlineStr">
        <is>
          <t>01/01/2024</t>
        </is>
      </c>
      <c r="CA495" t="inlineStr">
        <is>
          <t>30/09/2031</t>
        </is>
      </c>
    </row>
    <row r="496">
      <c r="A496" t="inlineStr">
        <is>
          <t>RESIDENCIAL PRADA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203</t>
        </is>
      </c>
      <c r="G496" s="39" t="n">
        <v>654000</v>
      </c>
      <c r="H496" s="39" t="n">
        <v>654000</v>
      </c>
      <c r="I496" t="inlineStr">
        <is>
          <t>Edificio</t>
        </is>
      </c>
      <c r="J496" t="inlineStr">
        <is>
          <t>A</t>
        </is>
      </c>
      <c r="K496" t="inlineStr">
        <is>
          <t>Estacionamiento</t>
        </is>
      </c>
      <c r="L496" t="inlineStr">
        <is>
          <t>E 12 - D 09</t>
        </is>
      </c>
      <c r="M496" s="39" t="n">
        <v>56300</v>
      </c>
      <c r="N496" s="39" t="n">
        <v>56300</v>
      </c>
      <c r="S496" s="39" t="n"/>
      <c r="T496" s="39" t="n"/>
      <c r="Y496" s="39" t="n"/>
      <c r="Z496" s="39" t="n"/>
      <c r="AA496" t="inlineStr">
        <is>
          <t>Gilberto Videla Flores</t>
        </is>
      </c>
      <c r="AB496" t="inlineStr">
        <is>
          <t>06571347</t>
        </is>
      </c>
      <c r="AC496" t="inlineStr">
        <is>
          <t>Mz D Lt 7 Urb. La Estrella</t>
        </is>
      </c>
      <c r="AE496" t="inlineStr">
        <is>
          <t>969742622</t>
        </is>
      </c>
      <c r="AF496" t="inlineStr">
        <is>
          <t>gvidelaf@gmail.com</t>
        </is>
      </c>
      <c r="AG496" t="inlineStr">
        <is>
          <t>LIMA</t>
        </is>
      </c>
      <c r="AH496" t="inlineStr">
        <is>
          <t>LOS OLIVOS</t>
        </is>
      </c>
      <c r="AI496" s="116" t="n">
        <v>46264.75694444445</v>
      </c>
      <c r="AJ496" s="116" t="n">
        <v>45894</v>
      </c>
      <c r="AK496" t="inlineStr">
        <is>
          <t>SALDO FINANCIAR</t>
        </is>
      </c>
      <c r="AL496" t="n">
        <v>5</v>
      </c>
      <c r="AM496" t="n">
        <v>0</v>
      </c>
      <c r="AN496" t="n">
        <v>0</v>
      </c>
      <c r="AO496" t="n">
        <v>0</v>
      </c>
      <c r="AP496" s="39" t="n">
        <v>0</v>
      </c>
      <c r="AQ496" s="39" t="n">
        <v>35515</v>
      </c>
      <c r="AR496" s="39" t="n">
        <v>0</v>
      </c>
      <c r="AS496" t="n">
        <v>0</v>
      </c>
      <c r="AT496" t="inlineStr">
        <is>
          <t>Crédito Directo</t>
        </is>
      </c>
      <c r="AU496" t="inlineStr">
        <is>
          <t>Scotiabank Perú</t>
        </is>
      </c>
      <c r="AV496" t="inlineStr">
        <is>
          <t>000-2768484</t>
        </is>
      </c>
      <c r="AW496" t="inlineStr">
        <is>
          <t>TRANSFERENCIA BANCARIA</t>
        </is>
      </c>
      <c r="AY496" t="inlineStr">
        <is>
          <t>04494431</t>
        </is>
      </c>
      <c r="AZ496" t="inlineStr">
        <is>
          <t>No</t>
        </is>
      </c>
      <c r="BB496" t="n">
        <v>4</v>
      </c>
      <c r="BC496" t="inlineStr">
        <is>
          <t>CANCELADO</t>
        </is>
      </c>
      <c r="BN496" t="inlineStr">
        <is>
          <t>Si</t>
        </is>
      </c>
      <c r="BO496" s="117" t="n">
        <v>45539.38055555556</v>
      </c>
      <c r="BP496" t="inlineStr">
        <is>
          <t>Carla Michue M</t>
        </is>
      </c>
      <c r="BR496" t="n">
        <v>24</v>
      </c>
      <c r="BS496" t="inlineStr">
        <is>
          <t>30/06/2026 18:20</t>
        </is>
      </c>
      <c r="BT496" t="n">
        <v>0</v>
      </c>
      <c r="BX496" t="inlineStr">
        <is>
          <t>Cobranzas_2026.csv</t>
        </is>
      </c>
      <c r="BY496" t="n">
        <v>2026</v>
      </c>
      <c r="BZ496" t="inlineStr">
        <is>
          <t>01/01/2024</t>
        </is>
      </c>
      <c r="CA496" t="inlineStr">
        <is>
          <t>30/09/2031</t>
        </is>
      </c>
    </row>
    <row r="497">
      <c r="A497" t="inlineStr">
        <is>
          <t>RESIDENCIAL PRADA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Estacionamiento</t>
        </is>
      </c>
      <c r="F497" t="inlineStr">
        <is>
          <t>E 21 - D 16</t>
        </is>
      </c>
      <c r="G497" s="39" t="n">
        <v>57300</v>
      </c>
      <c r="H497" s="39" t="n">
        <v>57300</v>
      </c>
      <c r="M497" s="39" t="n"/>
      <c r="N497" s="39" t="n"/>
      <c r="S497" s="39" t="n"/>
      <c r="T497" s="39" t="n"/>
      <c r="Y497" s="39" t="n"/>
      <c r="Z497" s="39" t="n"/>
      <c r="AA497" t="inlineStr">
        <is>
          <t>Gilda Victoria Sampi González</t>
        </is>
      </c>
      <c r="AB497" t="inlineStr">
        <is>
          <t>43636501</t>
        </is>
      </c>
      <c r="AC497" t="inlineStr">
        <is>
          <t>Av. Brasil 863 departamento 702-A</t>
        </is>
      </c>
      <c r="AD497" t="n">
        <v>966422784</v>
      </c>
      <c r="AE497" t="inlineStr">
        <is>
          <t xml:space="preserve">966422784		</t>
        </is>
      </c>
      <c r="AF497" t="inlineStr">
        <is>
          <t>victoria.sampi@gmail.com</t>
        </is>
      </c>
      <c r="AG497" t="inlineStr">
        <is>
          <t>LIMA</t>
        </is>
      </c>
      <c r="AH497" t="inlineStr">
        <is>
          <t>JESUS MARIA</t>
        </is>
      </c>
      <c r="AI497" s="116" t="n">
        <v>46041</v>
      </c>
      <c r="AJ497" s="116" t="n">
        <v>46041</v>
      </c>
      <c r="AK497" t="inlineStr">
        <is>
          <t>SEPARACION</t>
        </is>
      </c>
      <c r="AL497" t="n">
        <v>1</v>
      </c>
      <c r="AM497" t="n">
        <v>3000</v>
      </c>
      <c r="AN497" t="n">
        <v>0</v>
      </c>
      <c r="AO497" t="n">
        <v>0</v>
      </c>
      <c r="AP497" s="39" t="n">
        <v>3000</v>
      </c>
      <c r="AQ497" s="39" t="n">
        <v>3000</v>
      </c>
      <c r="AR497" s="39" t="n">
        <v>0</v>
      </c>
      <c r="AS497" t="n">
        <v>0</v>
      </c>
      <c r="AT497" t="inlineStr">
        <is>
          <t>Crédito Directo</t>
        </is>
      </c>
      <c r="AU497" t="inlineStr">
        <is>
          <t>Scotiabank Perú</t>
        </is>
      </c>
      <c r="AV497" t="inlineStr">
        <is>
          <t>000-2768484</t>
        </is>
      </c>
      <c r="AW497" t="inlineStr">
        <is>
          <t>TRANSFERENCIA BANCARIA</t>
        </is>
      </c>
      <c r="AY497" t="inlineStr">
        <is>
          <t>0000010930000001095</t>
        </is>
      </c>
      <c r="AZ497" t="inlineStr">
        <is>
          <t>No</t>
        </is>
      </c>
      <c r="BB497" t="n">
        <v>4</v>
      </c>
      <c r="BC497" t="inlineStr">
        <is>
          <t>CANCELADO</t>
        </is>
      </c>
      <c r="BN497" t="inlineStr">
        <is>
          <t>Si</t>
        </is>
      </c>
      <c r="BO497" s="117" t="n">
        <v>46041.44722222222</v>
      </c>
      <c r="BP497" t="inlineStr">
        <is>
          <t>Magaly Guevara Perez</t>
        </is>
      </c>
      <c r="BR497" t="n">
        <v>64</v>
      </c>
      <c r="BS497" t="inlineStr">
        <is>
          <t>29/06/2026 00:47</t>
        </is>
      </c>
      <c r="BT497" t="n">
        <v>0</v>
      </c>
      <c r="BX497" t="inlineStr">
        <is>
          <t>Cobranzas_2026.csv</t>
        </is>
      </c>
      <c r="BY497" t="n">
        <v>2026</v>
      </c>
      <c r="BZ497" t="inlineStr">
        <is>
          <t>01/01/2024</t>
        </is>
      </c>
      <c r="CA497" t="inlineStr">
        <is>
          <t>30/09/2031</t>
        </is>
      </c>
    </row>
    <row r="498">
      <c r="A498" t="inlineStr">
        <is>
          <t>RESIDENCIAL PRADA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Estacionamiento</t>
        </is>
      </c>
      <c r="F498" t="inlineStr">
        <is>
          <t>E 21 - D 16</t>
        </is>
      </c>
      <c r="G498" s="39" t="n">
        <v>57300</v>
      </c>
      <c r="H498" s="39" t="n">
        <v>57300</v>
      </c>
      <c r="M498" s="39" t="n"/>
      <c r="N498" s="39" t="n"/>
      <c r="S498" s="39" t="n"/>
      <c r="T498" s="39" t="n"/>
      <c r="Y498" s="39" t="n"/>
      <c r="Z498" s="39" t="n"/>
      <c r="AA498" t="inlineStr">
        <is>
          <t>Gilda Victoria Sampi González</t>
        </is>
      </c>
      <c r="AB498" t="inlineStr">
        <is>
          <t>43636501</t>
        </is>
      </c>
      <c r="AC498" t="inlineStr">
        <is>
          <t>Av. Brasil 863 departamento 702-A</t>
        </is>
      </c>
      <c r="AD498" t="n">
        <v>966422784</v>
      </c>
      <c r="AE498" t="inlineStr">
        <is>
          <t xml:space="preserve">966422784		</t>
        </is>
      </c>
      <c r="AF498" t="inlineStr">
        <is>
          <t>victoria.sampi@gmail.com</t>
        </is>
      </c>
      <c r="AG498" t="inlineStr">
        <is>
          <t>LIMA</t>
        </is>
      </c>
      <c r="AH498" t="inlineStr">
        <is>
          <t>JESUS MARIA</t>
        </is>
      </c>
      <c r="AI498" s="116" t="n">
        <v>46041</v>
      </c>
      <c r="AJ498" s="116" t="n">
        <v>46041</v>
      </c>
      <c r="AK498" t="inlineStr">
        <is>
          <t>CUOTA INICIAL</t>
        </is>
      </c>
      <c r="AL498" t="n">
        <v>1</v>
      </c>
      <c r="AM498" t="n">
        <v>7000</v>
      </c>
      <c r="AN498" t="n">
        <v>0</v>
      </c>
      <c r="AO498" t="n">
        <v>0</v>
      </c>
      <c r="AP498" s="39" t="n">
        <v>7000</v>
      </c>
      <c r="AQ498" s="39" t="n">
        <v>7000</v>
      </c>
      <c r="AR498" s="39" t="n">
        <v>0</v>
      </c>
      <c r="AS498" t="n">
        <v>0</v>
      </c>
      <c r="AT498" t="inlineStr">
        <is>
          <t>Crédito Directo</t>
        </is>
      </c>
      <c r="AU498" t="inlineStr">
        <is>
          <t>Scotiabank Perú</t>
        </is>
      </c>
      <c r="AV498" t="inlineStr">
        <is>
          <t>000-2768484</t>
        </is>
      </c>
      <c r="AW498" t="inlineStr">
        <is>
          <t>TRANSFERENCIA BANCARIA</t>
        </is>
      </c>
      <c r="AY498" t="inlineStr">
        <is>
          <t>0000109300000001095</t>
        </is>
      </c>
      <c r="AZ498" t="inlineStr">
        <is>
          <t>No</t>
        </is>
      </c>
      <c r="BB498" t="n">
        <v>4</v>
      </c>
      <c r="BC498" t="inlineStr">
        <is>
          <t>CANCELADO</t>
        </is>
      </c>
      <c r="BN498" t="inlineStr">
        <is>
          <t>Si</t>
        </is>
      </c>
      <c r="BO498" s="117" t="n">
        <v>46041.44722222222</v>
      </c>
      <c r="BP498" t="inlineStr">
        <is>
          <t>Magaly Guevara Perez</t>
        </is>
      </c>
      <c r="BR498" t="n">
        <v>64</v>
      </c>
      <c r="BS498" t="inlineStr">
        <is>
          <t>29/06/2026 00:50</t>
        </is>
      </c>
      <c r="BT498" t="n">
        <v>0</v>
      </c>
      <c r="BX498" t="inlineStr">
        <is>
          <t>Cobranzas_2026.csv</t>
        </is>
      </c>
      <c r="BY498" t="n">
        <v>2026</v>
      </c>
      <c r="BZ498" t="inlineStr">
        <is>
          <t>01/01/2024</t>
        </is>
      </c>
      <c r="CA498" t="inlineStr">
        <is>
          <t>30/09/2031</t>
        </is>
      </c>
    </row>
    <row r="499">
      <c r="A499" t="inlineStr">
        <is>
          <t>RESIDENCIAL PRADA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Estacionamiento</t>
        </is>
      </c>
      <c r="F499" t="inlineStr">
        <is>
          <t>E 21 - D 16</t>
        </is>
      </c>
      <c r="G499" s="39" t="n">
        <v>57300</v>
      </c>
      <c r="H499" s="39" t="n">
        <v>57300</v>
      </c>
      <c r="M499" s="39" t="n"/>
      <c r="N499" s="39" t="n"/>
      <c r="S499" s="39" t="n"/>
      <c r="T499" s="39" t="n"/>
      <c r="Y499" s="39" t="n"/>
      <c r="Z499" s="39" t="n"/>
      <c r="AA499" t="inlineStr">
        <is>
          <t>Gilda Victoria Sampi González</t>
        </is>
      </c>
      <c r="AB499" t="inlineStr">
        <is>
          <t>43636501</t>
        </is>
      </c>
      <c r="AC499" t="inlineStr">
        <is>
          <t>Av. Brasil 863 departamento 702-A</t>
        </is>
      </c>
      <c r="AD499" t="n">
        <v>966422784</v>
      </c>
      <c r="AE499" t="inlineStr">
        <is>
          <t xml:space="preserve">966422784		</t>
        </is>
      </c>
      <c r="AF499" t="inlineStr">
        <is>
          <t>victoria.sampi@gmail.com</t>
        </is>
      </c>
      <c r="AG499" t="inlineStr">
        <is>
          <t>LIMA</t>
        </is>
      </c>
      <c r="AH499" t="inlineStr">
        <is>
          <t>JESUS MARIA</t>
        </is>
      </c>
      <c r="AI499" s="116" t="n">
        <v>46079</v>
      </c>
      <c r="AJ499" s="116" t="n">
        <v>46079</v>
      </c>
      <c r="AK499" t="inlineStr">
        <is>
          <t>SALDO FINANCIAR</t>
        </is>
      </c>
      <c r="AL499" t="n">
        <v>1</v>
      </c>
      <c r="AM499" t="n">
        <v>25000</v>
      </c>
      <c r="AN499" t="n">
        <v>0</v>
      </c>
      <c r="AO499" t="n">
        <v>0</v>
      </c>
      <c r="AP499" s="39" t="n">
        <v>25000</v>
      </c>
      <c r="AQ499" s="39" t="n">
        <v>25000</v>
      </c>
      <c r="AR499" s="39" t="n">
        <v>0</v>
      </c>
      <c r="AS499" t="n">
        <v>0</v>
      </c>
      <c r="AT499" t="inlineStr">
        <is>
          <t>Crédito Directo</t>
        </is>
      </c>
      <c r="AU499" t="inlineStr">
        <is>
          <t>Scotiabank Perú</t>
        </is>
      </c>
      <c r="AV499" t="inlineStr">
        <is>
          <t>000-2768484</t>
        </is>
      </c>
      <c r="AW499" t="inlineStr">
        <is>
          <t>TRANSFERENCIA BANCARIA</t>
        </is>
      </c>
      <c r="AY499" t="inlineStr">
        <is>
          <t>000016840000001686</t>
        </is>
      </c>
      <c r="AZ499" t="inlineStr">
        <is>
          <t>No</t>
        </is>
      </c>
      <c r="BB499" t="n">
        <v>4</v>
      </c>
      <c r="BC499" t="inlineStr">
        <is>
          <t>CANCELADO</t>
        </is>
      </c>
      <c r="BN499" t="inlineStr">
        <is>
          <t>Si</t>
        </is>
      </c>
      <c r="BO499" s="117" t="n">
        <v>46041.44722222222</v>
      </c>
      <c r="BP499" t="inlineStr">
        <is>
          <t>Magaly Guevara Perez</t>
        </is>
      </c>
      <c r="BR499" t="n">
        <v>64</v>
      </c>
      <c r="BS499" t="inlineStr">
        <is>
          <t>29/06/2026 00:51</t>
        </is>
      </c>
      <c r="BT499" t="n">
        <v>0</v>
      </c>
      <c r="BX499" t="inlineStr">
        <is>
          <t>Cobranzas_2026.csv</t>
        </is>
      </c>
      <c r="BY499" t="n">
        <v>2026</v>
      </c>
      <c r="BZ499" t="inlineStr">
        <is>
          <t>01/01/2024</t>
        </is>
      </c>
      <c r="CA499" t="inlineStr">
        <is>
          <t>30/09/2031</t>
        </is>
      </c>
    </row>
    <row r="500">
      <c r="A500" t="inlineStr">
        <is>
          <t>RESIDENCIAL PRADA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Estacionamiento</t>
        </is>
      </c>
      <c r="F500" t="inlineStr">
        <is>
          <t>E 21 - D 16</t>
        </is>
      </c>
      <c r="G500" s="39" t="n">
        <v>57300</v>
      </c>
      <c r="H500" s="39" t="n">
        <v>57300</v>
      </c>
      <c r="M500" s="39" t="n"/>
      <c r="N500" s="39" t="n"/>
      <c r="S500" s="39" t="n"/>
      <c r="T500" s="39" t="n"/>
      <c r="Y500" s="39" t="n"/>
      <c r="Z500" s="39" t="n"/>
      <c r="AA500" t="inlineStr">
        <is>
          <t>Gilda Victoria Sampi González</t>
        </is>
      </c>
      <c r="AB500" t="inlineStr">
        <is>
          <t>43636501</t>
        </is>
      </c>
      <c r="AC500" t="inlineStr">
        <is>
          <t>Av. Brasil 863 departamento 702-A</t>
        </is>
      </c>
      <c r="AD500" t="n">
        <v>966422784</v>
      </c>
      <c r="AE500" t="inlineStr">
        <is>
          <t xml:space="preserve">966422784		</t>
        </is>
      </c>
      <c r="AF500" t="inlineStr">
        <is>
          <t>victoria.sampi@gmail.com</t>
        </is>
      </c>
      <c r="AG500" t="inlineStr">
        <is>
          <t>LIMA</t>
        </is>
      </c>
      <c r="AH500" t="inlineStr">
        <is>
          <t>JESUS MARIA</t>
        </is>
      </c>
      <c r="AI500" s="116" t="n">
        <v>46080</v>
      </c>
      <c r="AJ500" s="116" t="n">
        <v>46202</v>
      </c>
      <c r="AK500" t="inlineStr">
        <is>
          <t>SALDO FINANCIAR</t>
        </is>
      </c>
      <c r="AL500" t="n">
        <v>2</v>
      </c>
      <c r="AM500" t="n">
        <v>22300</v>
      </c>
      <c r="AN500" t="n">
        <v>0</v>
      </c>
      <c r="AO500" t="n">
        <v>0</v>
      </c>
      <c r="AP500" s="39" t="n">
        <v>22300</v>
      </c>
      <c r="AQ500" s="39" t="n">
        <v>22300</v>
      </c>
      <c r="AR500" s="39" t="n">
        <v>0</v>
      </c>
      <c r="AS500" t="n">
        <v>0</v>
      </c>
      <c r="AT500" t="inlineStr">
        <is>
          <t>Crédito Directo</t>
        </is>
      </c>
      <c r="AU500" t="inlineStr">
        <is>
          <t>Scotiabank Perú</t>
        </is>
      </c>
      <c r="AV500" t="inlineStr">
        <is>
          <t>000-2768484</t>
        </is>
      </c>
      <c r="AW500" t="inlineStr">
        <is>
          <t>TRANSFERENCIA BANCARIA</t>
        </is>
      </c>
      <c r="AY500" t="inlineStr">
        <is>
          <t>27022026</t>
        </is>
      </c>
      <c r="AZ500" t="inlineStr">
        <is>
          <t>No</t>
        </is>
      </c>
      <c r="BB500" t="n">
        <v>4</v>
      </c>
      <c r="BC500" t="inlineStr">
        <is>
          <t>CANCELADO</t>
        </is>
      </c>
      <c r="BN500" t="inlineStr">
        <is>
          <t>Si</t>
        </is>
      </c>
      <c r="BO500" s="117" t="n">
        <v>46041.44722222222</v>
      </c>
      <c r="BP500" t="inlineStr">
        <is>
          <t>Magaly Guevara Perez</t>
        </is>
      </c>
      <c r="BR500" t="n">
        <v>64</v>
      </c>
      <c r="BS500" t="inlineStr">
        <is>
          <t>29/06/2026 00:51</t>
        </is>
      </c>
      <c r="BT500" t="n">
        <v>0</v>
      </c>
      <c r="BX500" t="inlineStr">
        <is>
          <t>Cobranzas_2026.csv</t>
        </is>
      </c>
      <c r="BY500" t="n">
        <v>2026</v>
      </c>
      <c r="BZ500" t="inlineStr">
        <is>
          <t>01/01/2024</t>
        </is>
      </c>
      <c r="CA500" t="inlineStr">
        <is>
          <t>30/09/2031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402</t>
        </is>
      </c>
      <c r="G501" s="39" t="n">
        <v>430000</v>
      </c>
      <c r="H501" s="39" t="n">
        <v>400000</v>
      </c>
      <c r="I501" t="inlineStr">
        <is>
          <t>Edificio</t>
        </is>
      </c>
      <c r="J501" t="inlineStr">
        <is>
          <t>A</t>
        </is>
      </c>
      <c r="K501" t="inlineStr">
        <is>
          <t>Estacionamiento</t>
        </is>
      </c>
      <c r="L501" t="inlineStr">
        <is>
          <t>E 44 - D 26</t>
        </is>
      </c>
      <c r="M501" s="39" t="n">
        <v>48500</v>
      </c>
      <c r="N501" s="39" t="n">
        <v>48500</v>
      </c>
      <c r="S501" s="39" t="n"/>
      <c r="T501" s="39" t="n"/>
      <c r="Y501" s="39" t="n"/>
      <c r="Z501" s="39" t="n"/>
      <c r="AA501" t="inlineStr">
        <is>
          <t>Gina Victoria Saenz Pasco</t>
        </is>
      </c>
      <c r="AB501" t="inlineStr">
        <is>
          <t>70436237</t>
        </is>
      </c>
      <c r="AC501" t="inlineStr">
        <is>
          <t>Av. Cordialidad 8079 Urb. La Floresta</t>
        </is>
      </c>
      <c r="AD501" t="n">
        <v>0</v>
      </c>
      <c r="AE501" t="inlineStr">
        <is>
          <t>992686657</t>
        </is>
      </c>
      <c r="AF501" t="inlineStr">
        <is>
          <t>g.saenz22@gmail.com</t>
        </is>
      </c>
      <c r="AG501" t="inlineStr">
        <is>
          <t>LIMA</t>
        </is>
      </c>
      <c r="AH501" t="inlineStr">
        <is>
          <t>LOS OLIVOS</t>
        </is>
      </c>
      <c r="AI501" s="116" t="n">
        <v>46096</v>
      </c>
      <c r="AJ501" s="116" t="n">
        <v>46096</v>
      </c>
      <c r="AK501" t="inlineStr">
        <is>
          <t>SEPARACION</t>
        </is>
      </c>
      <c r="AL501" t="n">
        <v>1</v>
      </c>
      <c r="AM501" t="n">
        <v>3000</v>
      </c>
      <c r="AN501" t="n">
        <v>0</v>
      </c>
      <c r="AO501" t="n">
        <v>0</v>
      </c>
      <c r="AP501" s="39" t="n">
        <v>3000</v>
      </c>
      <c r="AQ501" s="39" t="n">
        <v>3000</v>
      </c>
      <c r="AR501" s="39" t="n">
        <v>0</v>
      </c>
      <c r="AS501" t="n">
        <v>0</v>
      </c>
      <c r="AT501" t="inlineStr">
        <is>
          <t>Ahorro</t>
        </is>
      </c>
      <c r="AU501" t="inlineStr">
        <is>
          <t>Banco de Credito del Perú</t>
        </is>
      </c>
      <c r="AV501" t="inlineStr">
        <is>
          <t>194-7325779-0-65</t>
        </is>
      </c>
      <c r="AW501" t="inlineStr">
        <is>
          <t>TRANSFERENCIA BANCARIA</t>
        </is>
      </c>
      <c r="AY501" t="inlineStr">
        <is>
          <t>00060044</t>
        </is>
      </c>
      <c r="AZ501" t="inlineStr">
        <is>
          <t>No</t>
        </is>
      </c>
      <c r="BB501" t="n">
        <v>4</v>
      </c>
      <c r="BC501" t="inlineStr">
        <is>
          <t>CANCELADO</t>
        </is>
      </c>
      <c r="BN501" t="inlineStr">
        <is>
          <t>Si</t>
        </is>
      </c>
      <c r="BO501" s="117" t="n">
        <v>46111.42430555556</v>
      </c>
      <c r="BP501" t="inlineStr">
        <is>
          <t>Magaly Guevara Perez</t>
        </is>
      </c>
      <c r="BR501" t="n">
        <v>27</v>
      </c>
      <c r="BS501" t="inlineStr">
        <is>
          <t>01/05/2026 17:30</t>
        </is>
      </c>
      <c r="BT501" t="n">
        <v>0</v>
      </c>
      <c r="BX501" t="inlineStr">
        <is>
          <t>Cobranzas_2026.csv</t>
        </is>
      </c>
      <c r="BY501" t="n">
        <v>2026</v>
      </c>
      <c r="BZ501" t="inlineStr">
        <is>
          <t>01/01/2024</t>
        </is>
      </c>
      <c r="CA501" t="inlineStr">
        <is>
          <t>30/09/2031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402</t>
        </is>
      </c>
      <c r="G502" s="39" t="n">
        <v>430000</v>
      </c>
      <c r="H502" s="39" t="n">
        <v>400000</v>
      </c>
      <c r="I502" t="inlineStr">
        <is>
          <t>Edificio</t>
        </is>
      </c>
      <c r="J502" t="inlineStr">
        <is>
          <t>A</t>
        </is>
      </c>
      <c r="K502" t="inlineStr">
        <is>
          <t>Estacionamiento</t>
        </is>
      </c>
      <c r="L502" t="inlineStr">
        <is>
          <t>E 44 - D 26</t>
        </is>
      </c>
      <c r="M502" s="39" t="n">
        <v>48500</v>
      </c>
      <c r="N502" s="39" t="n">
        <v>48500</v>
      </c>
      <c r="S502" s="39" t="n"/>
      <c r="T502" s="39" t="n"/>
      <c r="Y502" s="39" t="n"/>
      <c r="Z502" s="39" t="n"/>
      <c r="AA502" t="inlineStr">
        <is>
          <t>Gina Victoria Saenz Pasco</t>
        </is>
      </c>
      <c r="AB502" t="inlineStr">
        <is>
          <t>70436237</t>
        </is>
      </c>
      <c r="AC502" t="inlineStr">
        <is>
          <t>Av. Cordialidad 8079 Urb. La Floresta</t>
        </is>
      </c>
      <c r="AD502" t="n">
        <v>0</v>
      </c>
      <c r="AE502" t="inlineStr">
        <is>
          <t>992686657</t>
        </is>
      </c>
      <c r="AF502" t="inlineStr">
        <is>
          <t>g.saenz22@gmail.com</t>
        </is>
      </c>
      <c r="AG502" t="inlineStr">
        <is>
          <t>LIMA</t>
        </is>
      </c>
      <c r="AH502" t="inlineStr">
        <is>
          <t>LOS OLIVOS</t>
        </is>
      </c>
      <c r="AI502" s="116" t="n">
        <v>46112</v>
      </c>
      <c r="AJ502" s="116" t="n">
        <v>46111</v>
      </c>
      <c r="AK502" t="inlineStr">
        <is>
          <t>CUOTA INICIAL</t>
        </is>
      </c>
      <c r="AL502" t="n">
        <v>1</v>
      </c>
      <c r="AM502" t="n">
        <v>20000</v>
      </c>
      <c r="AN502" t="n">
        <v>0</v>
      </c>
      <c r="AO502" t="n">
        <v>0</v>
      </c>
      <c r="AP502" s="39" t="n">
        <v>20000</v>
      </c>
      <c r="AQ502" s="39" t="n">
        <v>20000</v>
      </c>
      <c r="AR502" s="39" t="n">
        <v>0</v>
      </c>
      <c r="AS502" t="n">
        <v>0</v>
      </c>
      <c r="AT502" t="inlineStr">
        <is>
          <t>Ahorro</t>
        </is>
      </c>
      <c r="AU502" t="inlineStr">
        <is>
          <t>Banco de Credito del Perú</t>
        </is>
      </c>
      <c r="AV502" t="inlineStr">
        <is>
          <t>194-7325779-0-65</t>
        </is>
      </c>
      <c r="AW502" t="inlineStr">
        <is>
          <t>TRANSFERENCIA BANCARIA</t>
        </is>
      </c>
      <c r="AY502" t="inlineStr">
        <is>
          <t>06683896</t>
        </is>
      </c>
      <c r="AZ502" t="inlineStr">
        <is>
          <t>No</t>
        </is>
      </c>
      <c r="BB502" t="n">
        <v>4</v>
      </c>
      <c r="BC502" t="inlineStr">
        <is>
          <t>CANCELADO</t>
        </is>
      </c>
      <c r="BN502" t="inlineStr">
        <is>
          <t>Si</t>
        </is>
      </c>
      <c r="BO502" s="117" t="n">
        <v>46111.42430555556</v>
      </c>
      <c r="BP502" t="inlineStr">
        <is>
          <t>Magaly Guevara Perez</t>
        </is>
      </c>
      <c r="BR502" t="n">
        <v>27</v>
      </c>
      <c r="BS502" t="inlineStr">
        <is>
          <t>13/08/2026 10:46</t>
        </is>
      </c>
      <c r="BT502" t="n">
        <v>0</v>
      </c>
      <c r="BX502" t="inlineStr">
        <is>
          <t>Cobranzas_2026.csv</t>
        </is>
      </c>
      <c r="BY502" t="n">
        <v>2026</v>
      </c>
      <c r="BZ502" t="inlineStr">
        <is>
          <t>01/01/2024</t>
        </is>
      </c>
      <c r="CA502" t="inlineStr">
        <is>
          <t>30/09/2031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402</t>
        </is>
      </c>
      <c r="G503" s="39" t="n">
        <v>430000</v>
      </c>
      <c r="H503" s="39" t="n">
        <v>400000</v>
      </c>
      <c r="I503" t="inlineStr">
        <is>
          <t>Edificio</t>
        </is>
      </c>
      <c r="J503" t="inlineStr">
        <is>
          <t>A</t>
        </is>
      </c>
      <c r="K503" t="inlineStr">
        <is>
          <t>Estacionamiento</t>
        </is>
      </c>
      <c r="L503" t="inlineStr">
        <is>
          <t>E 44 - D 26</t>
        </is>
      </c>
      <c r="M503" s="39" t="n">
        <v>48500</v>
      </c>
      <c r="N503" s="39" t="n">
        <v>48500</v>
      </c>
      <c r="S503" s="39" t="n"/>
      <c r="T503" s="39" t="n"/>
      <c r="Y503" s="39" t="n"/>
      <c r="Z503" s="39" t="n"/>
      <c r="AA503" t="inlineStr">
        <is>
          <t>Gina Victoria Saenz Pasco</t>
        </is>
      </c>
      <c r="AB503" t="inlineStr">
        <is>
          <t>70436237</t>
        </is>
      </c>
      <c r="AC503" t="inlineStr">
        <is>
          <t>Av. Cordialidad 8079 Urb. La Floresta</t>
        </is>
      </c>
      <c r="AD503" t="n">
        <v>0</v>
      </c>
      <c r="AE503" t="inlineStr">
        <is>
          <t>992686657</t>
        </is>
      </c>
      <c r="AF503" t="inlineStr">
        <is>
          <t>g.saenz22@gmail.com</t>
        </is>
      </c>
      <c r="AG503" t="inlineStr">
        <is>
          <t>LIMA</t>
        </is>
      </c>
      <c r="AH503" t="inlineStr">
        <is>
          <t>LOS OLIVOS</t>
        </is>
      </c>
      <c r="AI503" s="116" t="n">
        <v>46142</v>
      </c>
      <c r="AJ503" s="116" t="n">
        <v>46142</v>
      </c>
      <c r="AK503" t="inlineStr">
        <is>
          <t>CUOTA INICIAL</t>
        </is>
      </c>
      <c r="AL503" t="n">
        <v>2</v>
      </c>
      <c r="AM503" t="n">
        <v>10000</v>
      </c>
      <c r="AN503" t="n">
        <v>0</v>
      </c>
      <c r="AO503" t="n">
        <v>0</v>
      </c>
      <c r="AP503" s="39" t="n">
        <v>10000</v>
      </c>
      <c r="AQ503" s="39" t="n">
        <v>10000</v>
      </c>
      <c r="AR503" s="39" t="n">
        <v>0</v>
      </c>
      <c r="AS503" t="n">
        <v>0</v>
      </c>
      <c r="AT503" t="inlineStr">
        <is>
          <t>Ahorro</t>
        </is>
      </c>
      <c r="AU503" t="inlineStr">
        <is>
          <t>Banco de Credito del Perú</t>
        </is>
      </c>
      <c r="AV503" t="inlineStr">
        <is>
          <t>194-7325779-0-65</t>
        </is>
      </c>
      <c r="AW503" t="inlineStr">
        <is>
          <t>TRANSFERENCIA BANCARIA</t>
        </is>
      </c>
      <c r="AY503" t="inlineStr">
        <is>
          <t>02662119</t>
        </is>
      </c>
      <c r="AZ503" t="inlineStr">
        <is>
          <t>No</t>
        </is>
      </c>
      <c r="BB503" t="n">
        <v>4</v>
      </c>
      <c r="BC503" t="inlineStr">
        <is>
          <t>CANCELADO</t>
        </is>
      </c>
      <c r="BN503" t="inlineStr">
        <is>
          <t>Si</t>
        </is>
      </c>
      <c r="BO503" s="117" t="n">
        <v>46111.42430555556</v>
      </c>
      <c r="BP503" t="inlineStr">
        <is>
          <t>Magaly Guevara Perez</t>
        </is>
      </c>
      <c r="BR503" t="n">
        <v>27</v>
      </c>
      <c r="BS503" t="inlineStr">
        <is>
          <t>13/08/2026 10:48</t>
        </is>
      </c>
      <c r="BT503" t="n">
        <v>0</v>
      </c>
      <c r="BX503" t="inlineStr">
        <is>
          <t>Cobranzas_2026.csv</t>
        </is>
      </c>
      <c r="BY503" t="n">
        <v>2026</v>
      </c>
      <c r="BZ503" t="inlineStr">
        <is>
          <t>01/01/2024</t>
        </is>
      </c>
      <c r="CA503" t="inlineStr">
        <is>
          <t>30/09/2031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402</t>
        </is>
      </c>
      <c r="G504" s="39" t="n">
        <v>430000</v>
      </c>
      <c r="H504" s="39" t="n">
        <v>400000</v>
      </c>
      <c r="I504" t="inlineStr">
        <is>
          <t>Edificio</t>
        </is>
      </c>
      <c r="J504" t="inlineStr">
        <is>
          <t>A</t>
        </is>
      </c>
      <c r="K504" t="inlineStr">
        <is>
          <t>Estacionamiento</t>
        </is>
      </c>
      <c r="L504" t="inlineStr">
        <is>
          <t>E 44 - D 26</t>
        </is>
      </c>
      <c r="M504" s="39" t="n">
        <v>48500</v>
      </c>
      <c r="N504" s="39" t="n">
        <v>48500</v>
      </c>
      <c r="S504" s="39" t="n"/>
      <c r="T504" s="39" t="n"/>
      <c r="Y504" s="39" t="n"/>
      <c r="Z504" s="39" t="n"/>
      <c r="AA504" t="inlineStr">
        <is>
          <t>Gina Victoria Saenz Pasco</t>
        </is>
      </c>
      <c r="AB504" t="inlineStr">
        <is>
          <t>70436237</t>
        </is>
      </c>
      <c r="AC504" t="inlineStr">
        <is>
          <t>Av. Cordialidad 8079 Urb. La Floresta</t>
        </is>
      </c>
      <c r="AD504" t="n">
        <v>0</v>
      </c>
      <c r="AE504" t="inlineStr">
        <is>
          <t>992686657</t>
        </is>
      </c>
      <c r="AF504" t="inlineStr">
        <is>
          <t>g.saenz22@gmail.com</t>
        </is>
      </c>
      <c r="AG504" t="inlineStr">
        <is>
          <t>LIMA</t>
        </is>
      </c>
      <c r="AH504" t="inlineStr">
        <is>
          <t>LOS OLIVOS</t>
        </is>
      </c>
      <c r="AI504" s="116" t="n">
        <v>46265</v>
      </c>
      <c r="AJ504" s="116" t="n"/>
      <c r="AK504" t="inlineStr">
        <is>
          <t>CUOTA INICIAL</t>
        </is>
      </c>
      <c r="AL504" t="n">
        <v>3</v>
      </c>
      <c r="AM504" t="n">
        <v>17000</v>
      </c>
      <c r="AN504" t="n">
        <v>0</v>
      </c>
      <c r="AO504" t="n">
        <v>0</v>
      </c>
      <c r="AP504" s="39" t="n">
        <v>17000</v>
      </c>
      <c r="AQ504" s="39" t="n">
        <v>0</v>
      </c>
      <c r="AR504" s="39" t="n">
        <v>17000</v>
      </c>
      <c r="AT504" t="inlineStr">
        <is>
          <t>Ahorro</t>
        </is>
      </c>
      <c r="AZ504" t="inlineStr">
        <is>
          <t>No</t>
        </is>
      </c>
      <c r="BC504" t="inlineStr">
        <is>
          <t>VENCIDO</t>
        </is>
      </c>
      <c r="BN504" t="inlineStr">
        <is>
          <t>No</t>
        </is>
      </c>
      <c r="BO504" s="117" t="n">
        <v>46111.42430555556</v>
      </c>
      <c r="BP504" t="inlineStr">
        <is>
          <t>Magaly Guevara Perez</t>
        </is>
      </c>
      <c r="BR504" t="n">
        <v>27</v>
      </c>
      <c r="BT504" t="n">
        <v>0</v>
      </c>
      <c r="BX504" t="inlineStr">
        <is>
          <t>Cobranzas_2026.csv</t>
        </is>
      </c>
      <c r="BY504" t="n">
        <v>2026</v>
      </c>
      <c r="BZ504" t="inlineStr">
        <is>
          <t>01/01/2024</t>
        </is>
      </c>
      <c r="CA504" t="inlineStr">
        <is>
          <t>30/09/2031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402</t>
        </is>
      </c>
      <c r="G505" s="39" t="n">
        <v>430000</v>
      </c>
      <c r="H505" s="39" t="n">
        <v>400000</v>
      </c>
      <c r="I505" t="inlineStr">
        <is>
          <t>Edificio</t>
        </is>
      </c>
      <c r="J505" t="inlineStr">
        <is>
          <t>A</t>
        </is>
      </c>
      <c r="K505" t="inlineStr">
        <is>
          <t>Estacionamiento</t>
        </is>
      </c>
      <c r="L505" t="inlineStr">
        <is>
          <t>E 44 - D 26</t>
        </is>
      </c>
      <c r="M505" s="39" t="n">
        <v>48500</v>
      </c>
      <c r="N505" s="39" t="n">
        <v>48500</v>
      </c>
      <c r="S505" s="39" t="n"/>
      <c r="T505" s="39" t="n"/>
      <c r="Y505" s="39" t="n"/>
      <c r="Z505" s="39" t="n"/>
      <c r="AA505" t="inlineStr">
        <is>
          <t>Gina Victoria Saenz Pasco</t>
        </is>
      </c>
      <c r="AB505" t="inlineStr">
        <is>
          <t>70436237</t>
        </is>
      </c>
      <c r="AC505" t="inlineStr">
        <is>
          <t>Av. Cordialidad 8079 Urb. La Floresta</t>
        </is>
      </c>
      <c r="AD505" t="n">
        <v>0</v>
      </c>
      <c r="AE505" t="inlineStr">
        <is>
          <t>992686657</t>
        </is>
      </c>
      <c r="AF505" t="inlineStr">
        <is>
          <t>g.saenz22@gmail.com</t>
        </is>
      </c>
      <c r="AG505" t="inlineStr">
        <is>
          <t>LIMA</t>
        </is>
      </c>
      <c r="AH505" t="inlineStr">
        <is>
          <t>LOS OLIVOS</t>
        </is>
      </c>
      <c r="AI505" s="116" t="n">
        <v>46386</v>
      </c>
      <c r="AJ505" s="116" t="n"/>
      <c r="AK505" t="inlineStr">
        <is>
          <t>CUOTA INICIAL</t>
        </is>
      </c>
      <c r="AL505" t="n">
        <v>4</v>
      </c>
      <c r="AM505" t="n">
        <v>5000</v>
      </c>
      <c r="AN505" t="n">
        <v>0</v>
      </c>
      <c r="AO505" t="n">
        <v>0</v>
      </c>
      <c r="AP505" s="39" t="n">
        <v>5000</v>
      </c>
      <c r="AQ505" s="39" t="n">
        <v>0</v>
      </c>
      <c r="AR505" s="39" t="n">
        <v>5000</v>
      </c>
      <c r="AT505" t="inlineStr">
        <is>
          <t>Ahorro</t>
        </is>
      </c>
      <c r="AZ505" t="inlineStr">
        <is>
          <t>No</t>
        </is>
      </c>
      <c r="BC505" t="inlineStr">
        <is>
          <t>PENDIENTE</t>
        </is>
      </c>
      <c r="BN505" t="inlineStr">
        <is>
          <t>No</t>
        </is>
      </c>
      <c r="BO505" s="117" t="n">
        <v>46111.42430555556</v>
      </c>
      <c r="BP505" t="inlineStr">
        <is>
          <t>Magaly Guevara Perez</t>
        </is>
      </c>
      <c r="BR505" t="n">
        <v>27</v>
      </c>
      <c r="BT505" t="n">
        <v>0</v>
      </c>
      <c r="BX505" t="inlineStr">
        <is>
          <t>Cobranzas_2026.csv</t>
        </is>
      </c>
      <c r="BY505" t="n">
        <v>2026</v>
      </c>
      <c r="BZ505" t="inlineStr">
        <is>
          <t>01/01/2024</t>
        </is>
      </c>
      <c r="CA505" t="inlineStr">
        <is>
          <t>30/09/2031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402</t>
        </is>
      </c>
      <c r="G506" s="39" t="n">
        <v>430000</v>
      </c>
      <c r="H506" s="39" t="n">
        <v>400000</v>
      </c>
      <c r="I506" t="inlineStr">
        <is>
          <t>Edificio</t>
        </is>
      </c>
      <c r="J506" t="inlineStr">
        <is>
          <t>A</t>
        </is>
      </c>
      <c r="K506" t="inlineStr">
        <is>
          <t>Estacionamiento</t>
        </is>
      </c>
      <c r="L506" t="inlineStr">
        <is>
          <t>E 44 - D 26</t>
        </is>
      </c>
      <c r="M506" s="39" t="n">
        <v>48500</v>
      </c>
      <c r="N506" s="39" t="n">
        <v>48500</v>
      </c>
      <c r="S506" s="39" t="n"/>
      <c r="T506" s="39" t="n"/>
      <c r="Y506" s="39" t="n"/>
      <c r="Z506" s="39" t="n"/>
      <c r="AA506" t="inlineStr">
        <is>
          <t>Gina Victoria Saenz Pasco</t>
        </is>
      </c>
      <c r="AB506" t="inlineStr">
        <is>
          <t>70436237</t>
        </is>
      </c>
      <c r="AC506" t="inlineStr">
        <is>
          <t>Av. Cordialidad 8079 Urb. La Floresta</t>
        </is>
      </c>
      <c r="AD506" t="n">
        <v>0</v>
      </c>
      <c r="AE506" t="inlineStr">
        <is>
          <t>992686657</t>
        </is>
      </c>
      <c r="AF506" t="inlineStr">
        <is>
          <t>g.saenz22@gmail.com</t>
        </is>
      </c>
      <c r="AG506" t="inlineStr">
        <is>
          <t>LIMA</t>
        </is>
      </c>
      <c r="AH506" t="inlineStr">
        <is>
          <t>LOS OLIVOS</t>
        </is>
      </c>
      <c r="AI506" s="116" t="n">
        <v>46280</v>
      </c>
      <c r="AJ506" s="116" t="n"/>
      <c r="AK506" t="inlineStr">
        <is>
          <t>SALDO FINANCIAR</t>
        </is>
      </c>
      <c r="AL506" t="n">
        <v>1</v>
      </c>
      <c r="AM506" t="n">
        <v>98375</v>
      </c>
      <c r="AN506" t="n">
        <v>0</v>
      </c>
      <c r="AO506" t="n">
        <v>0</v>
      </c>
      <c r="AP506" s="39" t="n">
        <v>98375</v>
      </c>
      <c r="AQ506" s="39" t="n">
        <v>0</v>
      </c>
      <c r="AR506" s="39" t="n">
        <v>98375</v>
      </c>
      <c r="AT506" t="inlineStr">
        <is>
          <t>Ahorro</t>
        </is>
      </c>
      <c r="AZ506" t="inlineStr">
        <is>
          <t>No</t>
        </is>
      </c>
      <c r="BC506" t="inlineStr">
        <is>
          <t>VENCIDO</t>
        </is>
      </c>
      <c r="BN506" t="inlineStr">
        <is>
          <t>No</t>
        </is>
      </c>
      <c r="BO506" s="117" t="n">
        <v>46111.42430555556</v>
      </c>
      <c r="BP506" t="inlineStr">
        <is>
          <t>Magaly Guevara Perez</t>
        </is>
      </c>
      <c r="BR506" t="n">
        <v>27</v>
      </c>
      <c r="BT506" t="n">
        <v>0</v>
      </c>
      <c r="BX506" t="inlineStr">
        <is>
          <t>Cobranzas_2026.csv</t>
        </is>
      </c>
      <c r="BY506" t="n">
        <v>2026</v>
      </c>
      <c r="BZ506" t="inlineStr">
        <is>
          <t>01/01/2024</t>
        </is>
      </c>
      <c r="CA506" t="inlineStr">
        <is>
          <t>30/09/2031</t>
        </is>
      </c>
    </row>
    <row r="507">
      <c r="A507" t="inlineStr">
        <is>
          <t>RESIDENCIAL VENECIA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304</t>
        </is>
      </c>
      <c r="G507" s="39" t="n">
        <v>438000</v>
      </c>
      <c r="H507" s="39" t="n">
        <v>438000</v>
      </c>
      <c r="I507" t="inlineStr">
        <is>
          <t>Edificio</t>
        </is>
      </c>
      <c r="J507" t="inlineStr">
        <is>
          <t>A</t>
        </is>
      </c>
      <c r="K507" t="inlineStr">
        <is>
          <t>Estacionamiento</t>
        </is>
      </c>
      <c r="L507" t="inlineStr">
        <is>
          <t>E 28 - D 15</t>
        </is>
      </c>
      <c r="M507" s="39" t="n">
        <v>43000</v>
      </c>
      <c r="N507" s="39" t="n">
        <v>43000</v>
      </c>
      <c r="S507" s="39" t="n"/>
      <c r="T507" s="39" t="n"/>
      <c r="Y507" s="39" t="n"/>
      <c r="Z507" s="39" t="n"/>
      <c r="AA507" t="inlineStr">
        <is>
          <t>Giovani Chumioque Garcia</t>
        </is>
      </c>
      <c r="AB507" t="inlineStr">
        <is>
          <t>46074285</t>
        </is>
      </c>
      <c r="AC507" t="inlineStr">
        <is>
          <t xml:space="preserve">JR.CANGALLO Nº185 </t>
        </is>
      </c>
      <c r="AD507" t="n">
        <v>0</v>
      </c>
      <c r="AE507" t="inlineStr">
        <is>
          <t>970793151</t>
        </is>
      </c>
      <c r="AF507" t="inlineStr">
        <is>
          <t>giojoy@hotmail.com</t>
        </is>
      </c>
      <c r="AG507" t="inlineStr">
        <is>
          <t>LIMA</t>
        </is>
      </c>
      <c r="AH507" t="inlineStr">
        <is>
          <t>CERCADO DE LIMA</t>
        </is>
      </c>
      <c r="AI507" s="116" t="n">
        <v>46203</v>
      </c>
      <c r="AJ507" s="116" t="n">
        <v>46230</v>
      </c>
      <c r="AK507" t="inlineStr">
        <is>
          <t>SALDO FINANCIAR</t>
        </is>
      </c>
      <c r="AL507" t="n">
        <v>1</v>
      </c>
      <c r="AM507" t="n">
        <v>331000</v>
      </c>
      <c r="AN507" t="n">
        <v>0</v>
      </c>
      <c r="AO507" t="n">
        <v>0</v>
      </c>
      <c r="AP507" s="39" t="n">
        <v>331000</v>
      </c>
      <c r="AQ507" s="39" t="n">
        <v>331000</v>
      </c>
      <c r="AR507" s="39" t="n">
        <v>0</v>
      </c>
      <c r="AS507" t="n">
        <v>0</v>
      </c>
      <c r="AT507" t="inlineStr">
        <is>
          <t>Crédito Hipotecario</t>
        </is>
      </c>
      <c r="AU507" t="inlineStr">
        <is>
          <t>Scotiabank Perú</t>
        </is>
      </c>
      <c r="AV507" t="inlineStr">
        <is>
          <t>0004071419</t>
        </is>
      </c>
      <c r="AW507" t="inlineStr">
        <is>
          <t>TRANSFERENCIA BANCARIA</t>
        </is>
      </c>
      <c r="AZ507" t="inlineStr">
        <is>
          <t>No</t>
        </is>
      </c>
      <c r="BB507" t="n">
        <v>4</v>
      </c>
      <c r="BC507" t="inlineStr">
        <is>
          <t>CANCELADO</t>
        </is>
      </c>
      <c r="BN507" t="inlineStr">
        <is>
          <t>Si</t>
        </is>
      </c>
      <c r="BO507" s="117" t="n">
        <v>46178.33888888889</v>
      </c>
      <c r="BP507" t="inlineStr">
        <is>
          <t>Magaly Guevara Perez</t>
        </is>
      </c>
      <c r="BR507" t="n">
        <v>6</v>
      </c>
      <c r="BS507" t="inlineStr">
        <is>
          <t>18/08/2026 15:10</t>
        </is>
      </c>
      <c r="BT507" t="n">
        <v>0</v>
      </c>
      <c r="BX507" t="inlineStr">
        <is>
          <t>Cobranzas_2026.csv</t>
        </is>
      </c>
      <c r="BY507" t="n">
        <v>2026</v>
      </c>
      <c r="BZ507" t="inlineStr">
        <is>
          <t>01/01/2024</t>
        </is>
      </c>
      <c r="CA507" t="inlineStr">
        <is>
          <t>30/09/2031</t>
        </is>
      </c>
    </row>
    <row r="508">
      <c r="A508" t="inlineStr">
        <is>
          <t>RESIDENCIAL PRADA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304</t>
        </is>
      </c>
      <c r="G508" s="39" t="n">
        <v>480000</v>
      </c>
      <c r="H508" s="39" t="n">
        <v>428700</v>
      </c>
      <c r="I508" t="inlineStr">
        <is>
          <t>Edificio</t>
        </is>
      </c>
      <c r="J508" t="inlineStr">
        <is>
          <t>A</t>
        </is>
      </c>
      <c r="K508" t="inlineStr">
        <is>
          <t>Estacionamiento</t>
        </is>
      </c>
      <c r="L508" t="inlineStr">
        <is>
          <t>E 27 - D 21</t>
        </is>
      </c>
      <c r="M508" s="39" t="n">
        <v>57800</v>
      </c>
      <c r="N508" s="39" t="n">
        <v>57800</v>
      </c>
      <c r="S508" s="39" t="n"/>
      <c r="T508" s="39" t="n"/>
      <c r="Y508" s="39" t="n"/>
      <c r="Z508" s="39" t="n"/>
      <c r="AA508" t="inlineStr">
        <is>
          <t>Gisella Isabel Martinez Andrade</t>
        </is>
      </c>
      <c r="AB508" t="inlineStr">
        <is>
          <t>41633863</t>
        </is>
      </c>
      <c r="AC508" t="inlineStr">
        <is>
          <t xml:space="preserve"> Pasaje Manuel Gonzales Prada 1286</t>
        </is>
      </c>
      <c r="AD508" t="n">
        <v>993079451</v>
      </c>
      <c r="AE508" t="inlineStr">
        <is>
          <t>993079451</t>
        </is>
      </c>
      <c r="AF508" t="inlineStr">
        <is>
          <t>gisella.martinez01@gmail.com</t>
        </is>
      </c>
      <c r="AG508" t="inlineStr">
        <is>
          <t>LIMA</t>
        </is>
      </c>
      <c r="AH508" t="inlineStr">
        <is>
          <t>EL AGUSTINO</t>
        </is>
      </c>
      <c r="AI508" s="116" t="n">
        <v>46171</v>
      </c>
      <c r="AJ508" s="116" t="n">
        <v>46171</v>
      </c>
      <c r="AK508" t="inlineStr">
        <is>
          <t>SEPARACION</t>
        </is>
      </c>
      <c r="AL508" t="n">
        <v>1</v>
      </c>
      <c r="AM508" t="n">
        <v>3000</v>
      </c>
      <c r="AN508" t="n">
        <v>0</v>
      </c>
      <c r="AO508" t="n">
        <v>0</v>
      </c>
      <c r="AP508" s="39" t="n">
        <v>3000</v>
      </c>
      <c r="AQ508" s="39" t="n">
        <v>3000</v>
      </c>
      <c r="AR508" s="39" t="n">
        <v>0</v>
      </c>
      <c r="AS508" t="n">
        <v>0</v>
      </c>
      <c r="AT508" t="inlineStr">
        <is>
          <t>Crédito Hipotecario</t>
        </is>
      </c>
      <c r="AU508" t="inlineStr">
        <is>
          <t>Scotiabank Perú</t>
        </is>
      </c>
      <c r="AV508" t="inlineStr">
        <is>
          <t>000-2768484</t>
        </is>
      </c>
      <c r="AW508" t="inlineStr">
        <is>
          <t>TRANSFERENCIA BANCARIA</t>
        </is>
      </c>
      <c r="AY508" t="inlineStr">
        <is>
          <t>03360743</t>
        </is>
      </c>
      <c r="AZ508" t="inlineStr">
        <is>
          <t>No</t>
        </is>
      </c>
      <c r="BB508" t="n">
        <v>4</v>
      </c>
      <c r="BC508" t="inlineStr">
        <is>
          <t>CANCELADO</t>
        </is>
      </c>
      <c r="BN508" t="inlineStr">
        <is>
          <t>Si</t>
        </is>
      </c>
      <c r="BO508" s="117" t="n">
        <v>46191.65902777778</v>
      </c>
      <c r="BP508" t="inlineStr">
        <is>
          <t>Magaly Guevara Perez</t>
        </is>
      </c>
      <c r="BR508" t="n">
        <v>52</v>
      </c>
      <c r="BS508" t="inlineStr">
        <is>
          <t>14/07/2026 12:19</t>
        </is>
      </c>
      <c r="BT508" t="n">
        <v>0</v>
      </c>
      <c r="BX508" t="inlineStr">
        <is>
          <t>Cobranzas_2026.csv</t>
        </is>
      </c>
      <c r="BY508" t="n">
        <v>2026</v>
      </c>
      <c r="BZ508" t="inlineStr">
        <is>
          <t>01/01/2024</t>
        </is>
      </c>
      <c r="CA508" t="inlineStr">
        <is>
          <t>30/09/2031</t>
        </is>
      </c>
    </row>
    <row r="509">
      <c r="A509" t="inlineStr">
        <is>
          <t>RESIDENCIAL PRADA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304</t>
        </is>
      </c>
      <c r="G509" s="39" t="n">
        <v>480000</v>
      </c>
      <c r="H509" s="39" t="n">
        <v>428700</v>
      </c>
      <c r="I509" t="inlineStr">
        <is>
          <t>Edificio</t>
        </is>
      </c>
      <c r="J509" t="inlineStr">
        <is>
          <t>A</t>
        </is>
      </c>
      <c r="K509" t="inlineStr">
        <is>
          <t>Estacionamiento</t>
        </is>
      </c>
      <c r="L509" t="inlineStr">
        <is>
          <t>E 27 - D 21</t>
        </is>
      </c>
      <c r="M509" s="39" t="n">
        <v>57800</v>
      </c>
      <c r="N509" s="39" t="n">
        <v>57800</v>
      </c>
      <c r="S509" s="39" t="n"/>
      <c r="T509" s="39" t="n"/>
      <c r="Y509" s="39" t="n"/>
      <c r="Z509" s="39" t="n"/>
      <c r="AA509" t="inlineStr">
        <is>
          <t>Gisella Isabel Martinez Andrade</t>
        </is>
      </c>
      <c r="AB509" t="inlineStr">
        <is>
          <t>41633863</t>
        </is>
      </c>
      <c r="AC509" t="inlineStr">
        <is>
          <t xml:space="preserve"> Pasaje Manuel Gonzales Prada 1286</t>
        </is>
      </c>
      <c r="AD509" t="n">
        <v>993079451</v>
      </c>
      <c r="AE509" t="inlineStr">
        <is>
          <t>993079451</t>
        </is>
      </c>
      <c r="AF509" t="inlineStr">
        <is>
          <t>gisella.martinez01@gmail.com</t>
        </is>
      </c>
      <c r="AG509" t="inlineStr">
        <is>
          <t>LIMA</t>
        </is>
      </c>
      <c r="AH509" t="inlineStr">
        <is>
          <t>EL AGUSTINO</t>
        </is>
      </c>
      <c r="AI509" s="116" t="n">
        <v>46191</v>
      </c>
      <c r="AJ509" s="116" t="n">
        <v>46191</v>
      </c>
      <c r="AK509" t="inlineStr">
        <is>
          <t>CUOTA INICIAL</t>
        </is>
      </c>
      <c r="AL509" t="n">
        <v>1</v>
      </c>
      <c r="AM509" t="n">
        <v>30000</v>
      </c>
      <c r="AN509" t="n">
        <v>0</v>
      </c>
      <c r="AO509" t="n">
        <v>0</v>
      </c>
      <c r="AP509" s="39" t="n">
        <v>30000</v>
      </c>
      <c r="AQ509" s="39" t="n">
        <v>30000</v>
      </c>
      <c r="AR509" s="39" t="n">
        <v>0</v>
      </c>
      <c r="AS509" t="n">
        <v>0</v>
      </c>
      <c r="AT509" t="inlineStr">
        <is>
          <t>Crédito Hipotecario</t>
        </is>
      </c>
      <c r="AU509" t="inlineStr">
        <is>
          <t>Scotiabank Perú</t>
        </is>
      </c>
      <c r="AV509" t="inlineStr">
        <is>
          <t>000-2768484</t>
        </is>
      </c>
      <c r="AW509" t="inlineStr">
        <is>
          <t>TRANSFERENCIA BANCARIA</t>
        </is>
      </c>
      <c r="AX509" t="inlineStr">
        <is>
          <t>41633863</t>
        </is>
      </c>
      <c r="AY509" t="inlineStr">
        <is>
          <t>000078289</t>
        </is>
      </c>
      <c r="AZ509" t="inlineStr">
        <is>
          <t>No</t>
        </is>
      </c>
      <c r="BA509" t="inlineStr">
        <is>
          <t>NO PRECISA</t>
        </is>
      </c>
      <c r="BB509" t="n">
        <v>4</v>
      </c>
      <c r="BC509" t="inlineStr">
        <is>
          <t>CANCELADO</t>
        </is>
      </c>
      <c r="BN509" t="inlineStr">
        <is>
          <t>Si</t>
        </is>
      </c>
      <c r="BO509" s="117" t="n">
        <v>46191.65902777778</v>
      </c>
      <c r="BP509" t="inlineStr">
        <is>
          <t>Magaly Guevara Perez</t>
        </is>
      </c>
      <c r="BR509" t="n">
        <v>52</v>
      </c>
      <c r="BS509" t="inlineStr">
        <is>
          <t>14/07/2026 12:33</t>
        </is>
      </c>
      <c r="BT509" t="n">
        <v>0</v>
      </c>
      <c r="BX509" t="inlineStr">
        <is>
          <t>Cobranzas_2026.csv</t>
        </is>
      </c>
      <c r="BY509" t="n">
        <v>2026</v>
      </c>
      <c r="BZ509" t="inlineStr">
        <is>
          <t>01/01/2024</t>
        </is>
      </c>
      <c r="CA509" t="inlineStr">
        <is>
          <t>30/09/2031</t>
        </is>
      </c>
    </row>
    <row r="510">
      <c r="A510" t="inlineStr">
        <is>
          <t>RESIDENCIAL PRADA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304</t>
        </is>
      </c>
      <c r="G510" s="39" t="n">
        <v>480000</v>
      </c>
      <c r="H510" s="39" t="n">
        <v>428700</v>
      </c>
      <c r="I510" t="inlineStr">
        <is>
          <t>Edificio</t>
        </is>
      </c>
      <c r="J510" t="inlineStr">
        <is>
          <t>A</t>
        </is>
      </c>
      <c r="K510" t="inlineStr">
        <is>
          <t>Estacionamiento</t>
        </is>
      </c>
      <c r="L510" t="inlineStr">
        <is>
          <t>E 27 - D 21</t>
        </is>
      </c>
      <c r="M510" s="39" t="n">
        <v>57800</v>
      </c>
      <c r="N510" s="39" t="n">
        <v>57800</v>
      </c>
      <c r="S510" s="39" t="n"/>
      <c r="T510" s="39" t="n"/>
      <c r="Y510" s="39" t="n"/>
      <c r="Z510" s="39" t="n"/>
      <c r="AA510" t="inlineStr">
        <is>
          <t>Gisella Isabel Martinez Andrade</t>
        </is>
      </c>
      <c r="AB510" t="inlineStr">
        <is>
          <t>41633863</t>
        </is>
      </c>
      <c r="AC510" t="inlineStr">
        <is>
          <t xml:space="preserve"> Pasaje Manuel Gonzales Prada 1286</t>
        </is>
      </c>
      <c r="AD510" t="n">
        <v>993079451</v>
      </c>
      <c r="AE510" t="inlineStr">
        <is>
          <t>993079451</t>
        </is>
      </c>
      <c r="AF510" t="inlineStr">
        <is>
          <t>gisella.martinez01@gmail.com</t>
        </is>
      </c>
      <c r="AG510" t="inlineStr">
        <is>
          <t>LIMA</t>
        </is>
      </c>
      <c r="AH510" t="inlineStr">
        <is>
          <t>EL AGUSTINO</t>
        </is>
      </c>
      <c r="AI510" s="116" t="n">
        <v>46191</v>
      </c>
      <c r="AJ510" s="116" t="n">
        <v>46191</v>
      </c>
      <c r="AK510" t="inlineStr">
        <is>
          <t>CUOTA INICIAL</t>
        </is>
      </c>
      <c r="AL510" t="n">
        <v>2</v>
      </c>
      <c r="AM510" t="n">
        <v>15650</v>
      </c>
      <c r="AN510" t="n">
        <v>0</v>
      </c>
      <c r="AO510" t="n">
        <v>0</v>
      </c>
      <c r="AP510" s="39" t="n">
        <v>15650</v>
      </c>
      <c r="AQ510" s="39" t="n">
        <v>15650</v>
      </c>
      <c r="AR510" s="39" t="n">
        <v>0</v>
      </c>
      <c r="AS510" t="n">
        <v>0</v>
      </c>
      <c r="AT510" t="inlineStr">
        <is>
          <t>Crédito Hipotecario</t>
        </is>
      </c>
      <c r="AU510" t="inlineStr">
        <is>
          <t>Scotiabank Perú</t>
        </is>
      </c>
      <c r="AV510" t="inlineStr">
        <is>
          <t>000-2768484</t>
        </is>
      </c>
      <c r="AW510" t="inlineStr">
        <is>
          <t>TRANSFERENCIA BANCARIA</t>
        </is>
      </c>
      <c r="AX510" t="inlineStr">
        <is>
          <t>41633863</t>
        </is>
      </c>
      <c r="AY510" t="inlineStr">
        <is>
          <t>06099409</t>
        </is>
      </c>
      <c r="AZ510" t="inlineStr">
        <is>
          <t>No</t>
        </is>
      </c>
      <c r="BA510" t="inlineStr">
        <is>
          <t>NO PRECISA</t>
        </is>
      </c>
      <c r="BB510" t="n">
        <v>4</v>
      </c>
      <c r="BC510" t="inlineStr">
        <is>
          <t>CANCELADO</t>
        </is>
      </c>
      <c r="BN510" t="inlineStr">
        <is>
          <t>Si</t>
        </is>
      </c>
      <c r="BO510" s="117" t="n">
        <v>46191.65902777778</v>
      </c>
      <c r="BP510" t="inlineStr">
        <is>
          <t>Magaly Guevara Perez</t>
        </is>
      </c>
      <c r="BR510" t="n">
        <v>52</v>
      </c>
      <c r="BS510" t="inlineStr">
        <is>
          <t>14/07/2026 12:36</t>
        </is>
      </c>
      <c r="BT510" t="n">
        <v>0</v>
      </c>
      <c r="BX510" t="inlineStr">
        <is>
          <t>Cobranzas_2026.csv</t>
        </is>
      </c>
      <c r="BY510" t="n">
        <v>2026</v>
      </c>
      <c r="BZ510" t="inlineStr">
        <is>
          <t>01/01/2024</t>
        </is>
      </c>
      <c r="CA510" t="inlineStr">
        <is>
          <t>30/09/2031</t>
        </is>
      </c>
    </row>
    <row r="511">
      <c r="A511" t="inlineStr">
        <is>
          <t>RESIDENCIAL PRADA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304</t>
        </is>
      </c>
      <c r="G511" s="39" t="n">
        <v>480000</v>
      </c>
      <c r="H511" s="39" t="n">
        <v>428700</v>
      </c>
      <c r="I511" t="inlineStr">
        <is>
          <t>Edificio</t>
        </is>
      </c>
      <c r="J511" t="inlineStr">
        <is>
          <t>A</t>
        </is>
      </c>
      <c r="K511" t="inlineStr">
        <is>
          <t>Estacionamiento</t>
        </is>
      </c>
      <c r="L511" t="inlineStr">
        <is>
          <t>E 27 - D 21</t>
        </is>
      </c>
      <c r="M511" s="39" t="n">
        <v>57800</v>
      </c>
      <c r="N511" s="39" t="n">
        <v>57800</v>
      </c>
      <c r="S511" s="39" t="n"/>
      <c r="T511" s="39" t="n"/>
      <c r="Y511" s="39" t="n"/>
      <c r="Z511" s="39" t="n"/>
      <c r="AA511" t="inlineStr">
        <is>
          <t>Gisella Isabel Martinez Andrade</t>
        </is>
      </c>
      <c r="AB511" t="inlineStr">
        <is>
          <t>41633863</t>
        </is>
      </c>
      <c r="AC511" t="inlineStr">
        <is>
          <t xml:space="preserve"> Pasaje Manuel Gonzales Prada 1286</t>
        </is>
      </c>
      <c r="AD511" t="n">
        <v>993079451</v>
      </c>
      <c r="AE511" t="inlineStr">
        <is>
          <t>993079451</t>
        </is>
      </c>
      <c r="AF511" t="inlineStr">
        <is>
          <t>gisella.martinez01@gmail.com</t>
        </is>
      </c>
      <c r="AG511" t="inlineStr">
        <is>
          <t>LIMA</t>
        </is>
      </c>
      <c r="AH511" t="inlineStr">
        <is>
          <t>EL AGUSTINO</t>
        </is>
      </c>
      <c r="AI511" s="116" t="n">
        <v>46218</v>
      </c>
      <c r="AJ511" s="116" t="n"/>
      <c r="AK511" t="inlineStr">
        <is>
          <t>CUOTA INICIAL</t>
        </is>
      </c>
      <c r="AL511" t="n">
        <v>3</v>
      </c>
      <c r="AM511" t="n">
        <v>99850</v>
      </c>
      <c r="AN511" t="n">
        <v>0</v>
      </c>
      <c r="AO511" t="n">
        <v>0</v>
      </c>
      <c r="AP511" s="39" t="n">
        <v>99850</v>
      </c>
      <c r="AQ511" s="39" t="n">
        <v>0</v>
      </c>
      <c r="AR511" s="39" t="n">
        <v>99850</v>
      </c>
      <c r="AT511" t="inlineStr">
        <is>
          <t>Crédito Hipotecario</t>
        </is>
      </c>
      <c r="AZ511" t="inlineStr">
        <is>
          <t>No</t>
        </is>
      </c>
      <c r="BC511" t="inlineStr">
        <is>
          <t>VENCIDO</t>
        </is>
      </c>
      <c r="BN511" t="inlineStr">
        <is>
          <t>No</t>
        </is>
      </c>
      <c r="BO511" s="117" t="n">
        <v>46191.65902777778</v>
      </c>
      <c r="BP511" t="inlineStr">
        <is>
          <t>Magaly Guevara Perez</t>
        </is>
      </c>
      <c r="BR511" t="n">
        <v>52</v>
      </c>
      <c r="BT511" t="n">
        <v>0</v>
      </c>
      <c r="BX511" t="inlineStr">
        <is>
          <t>Cobranzas_2026.csv</t>
        </is>
      </c>
      <c r="BY511" t="n">
        <v>2026</v>
      </c>
      <c r="BZ511" t="inlineStr">
        <is>
          <t>01/01/2024</t>
        </is>
      </c>
      <c r="CA511" t="inlineStr">
        <is>
          <t>30/09/2031</t>
        </is>
      </c>
    </row>
    <row r="512">
      <c r="A512" t="inlineStr">
        <is>
          <t>RESIDENCIAL PRADA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304</t>
        </is>
      </c>
      <c r="G512" s="39" t="n">
        <v>480000</v>
      </c>
      <c r="H512" s="39" t="n">
        <v>428700</v>
      </c>
      <c r="I512" t="inlineStr">
        <is>
          <t>Edificio</t>
        </is>
      </c>
      <c r="J512" t="inlineStr">
        <is>
          <t>A</t>
        </is>
      </c>
      <c r="K512" t="inlineStr">
        <is>
          <t>Estacionamiento</t>
        </is>
      </c>
      <c r="L512" t="inlineStr">
        <is>
          <t>E 27 - D 21</t>
        </is>
      </c>
      <c r="M512" s="39" t="n">
        <v>57800</v>
      </c>
      <c r="N512" s="39" t="n">
        <v>57800</v>
      </c>
      <c r="S512" s="39" t="n"/>
      <c r="T512" s="39" t="n"/>
      <c r="Y512" s="39" t="n"/>
      <c r="Z512" s="39" t="n"/>
      <c r="AA512" t="inlineStr">
        <is>
          <t>Gisella Isabel Martinez Andrade</t>
        </is>
      </c>
      <c r="AB512" t="inlineStr">
        <is>
          <t>41633863</t>
        </is>
      </c>
      <c r="AC512" t="inlineStr">
        <is>
          <t xml:space="preserve"> Pasaje Manuel Gonzales Prada 1286</t>
        </is>
      </c>
      <c r="AD512" t="n">
        <v>993079451</v>
      </c>
      <c r="AE512" t="inlineStr">
        <is>
          <t>993079451</t>
        </is>
      </c>
      <c r="AF512" t="inlineStr">
        <is>
          <t>gisella.martinez01@gmail.com</t>
        </is>
      </c>
      <c r="AG512" t="inlineStr">
        <is>
          <t>LIMA</t>
        </is>
      </c>
      <c r="AH512" t="inlineStr">
        <is>
          <t>EL AGUSTINO</t>
        </is>
      </c>
      <c r="AI512" s="116" t="n">
        <v>46254.44652777778</v>
      </c>
      <c r="AJ512" s="116" t="n">
        <v>46255</v>
      </c>
      <c r="AK512" t="inlineStr">
        <is>
          <t>SALDO FINANCIAR</t>
        </is>
      </c>
      <c r="AL512" t="n">
        <v>1</v>
      </c>
      <c r="AM512" t="n">
        <v>0</v>
      </c>
      <c r="AN512" t="n">
        <v>0</v>
      </c>
      <c r="AO512" t="n">
        <v>0</v>
      </c>
      <c r="AP512" s="39" t="n">
        <v>338000</v>
      </c>
      <c r="AQ512" s="39" t="n">
        <v>165000</v>
      </c>
      <c r="AR512" s="39" t="n">
        <v>8000</v>
      </c>
      <c r="AS512" t="n">
        <v>0</v>
      </c>
      <c r="AT512" t="inlineStr">
        <is>
          <t>Crédito Hipotecario</t>
        </is>
      </c>
      <c r="AU512" t="inlineStr">
        <is>
          <t>Scotiabank Perú</t>
        </is>
      </c>
      <c r="AV512" t="inlineStr">
        <is>
          <t>000-2768484</t>
        </is>
      </c>
      <c r="AW512" t="inlineStr">
        <is>
          <t>CHEQUE DE GERENCIA</t>
        </is>
      </c>
      <c r="AX512" t="inlineStr">
        <is>
          <t>20647</t>
        </is>
      </c>
      <c r="AY512" t="inlineStr">
        <is>
          <t>0500030001</t>
        </is>
      </c>
      <c r="AZ512" t="inlineStr">
        <is>
          <t>No</t>
        </is>
      </c>
      <c r="BB512" t="n">
        <v>3.3</v>
      </c>
      <c r="BC512" t="inlineStr">
        <is>
          <t>VENCIDO - PARC. CANCELADO</t>
        </is>
      </c>
      <c r="BN512" t="inlineStr">
        <is>
          <t>Si</t>
        </is>
      </c>
      <c r="BO512" s="117" t="n">
        <v>46191.65902777778</v>
      </c>
      <c r="BP512" t="inlineStr">
        <is>
          <t>Magaly Guevara Perez</t>
        </is>
      </c>
      <c r="BR512" t="n">
        <v>52</v>
      </c>
      <c r="BS512" t="inlineStr">
        <is>
          <t>02/09/2026 12:16</t>
        </is>
      </c>
      <c r="BT512" t="n">
        <v>0</v>
      </c>
      <c r="BX512" t="inlineStr">
        <is>
          <t>Cobranzas_2026.csv</t>
        </is>
      </c>
      <c r="BY512" t="n">
        <v>2026</v>
      </c>
      <c r="BZ512" t="inlineStr">
        <is>
          <t>01/01/2024</t>
        </is>
      </c>
      <c r="CA512" t="inlineStr">
        <is>
          <t>30/09/2031</t>
        </is>
      </c>
    </row>
    <row r="513">
      <c r="A513" t="inlineStr">
        <is>
          <t>RESIDENCIAL PRADA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304</t>
        </is>
      </c>
      <c r="G513" s="39" t="n">
        <v>480000</v>
      </c>
      <c r="H513" s="39" t="n">
        <v>428700</v>
      </c>
      <c r="I513" t="inlineStr">
        <is>
          <t>Edificio</t>
        </is>
      </c>
      <c r="J513" t="inlineStr">
        <is>
          <t>A</t>
        </is>
      </c>
      <c r="K513" t="inlineStr">
        <is>
          <t>Estacionamiento</t>
        </is>
      </c>
      <c r="L513" t="inlineStr">
        <is>
          <t>E 27 - D 21</t>
        </is>
      </c>
      <c r="M513" s="39" t="n">
        <v>57800</v>
      </c>
      <c r="N513" s="39" t="n">
        <v>57800</v>
      </c>
      <c r="S513" s="39" t="n"/>
      <c r="T513" s="39" t="n"/>
      <c r="Y513" s="39" t="n"/>
      <c r="Z513" s="39" t="n"/>
      <c r="AA513" t="inlineStr">
        <is>
          <t>Gisella Isabel Martinez Andrade</t>
        </is>
      </c>
      <c r="AB513" t="inlineStr">
        <is>
          <t>41633863</t>
        </is>
      </c>
      <c r="AC513" t="inlineStr">
        <is>
          <t xml:space="preserve"> Pasaje Manuel Gonzales Prada 1286</t>
        </is>
      </c>
      <c r="AD513" t="n">
        <v>993079451</v>
      </c>
      <c r="AE513" t="inlineStr">
        <is>
          <t>993079451</t>
        </is>
      </c>
      <c r="AF513" t="inlineStr">
        <is>
          <t>gisella.martinez01@gmail.com</t>
        </is>
      </c>
      <c r="AG513" t="inlineStr">
        <is>
          <t>LIMA</t>
        </is>
      </c>
      <c r="AH513" t="inlineStr">
        <is>
          <t>EL AGUSTINO</t>
        </is>
      </c>
      <c r="AI513" s="116" t="n">
        <v>46254.44652777778</v>
      </c>
      <c r="AJ513" s="116" t="n">
        <v>46255</v>
      </c>
      <c r="AK513" t="inlineStr">
        <is>
          <t>SALDO FINANCIAR</t>
        </is>
      </c>
      <c r="AL513" t="n">
        <v>1</v>
      </c>
      <c r="AM513" t="n">
        <v>338000</v>
      </c>
      <c r="AN513" t="n">
        <v>0</v>
      </c>
      <c r="AO513" t="n">
        <v>0</v>
      </c>
      <c r="AP513" s="39" t="n">
        <v>0</v>
      </c>
      <c r="AQ513" s="39" t="n">
        <v>165000</v>
      </c>
      <c r="AR513" s="39" t="n">
        <v>0</v>
      </c>
      <c r="AS513" t="n">
        <v>0</v>
      </c>
      <c r="AT513" t="inlineStr">
        <is>
          <t>Crédito Hipotecario</t>
        </is>
      </c>
      <c r="AU513" t="inlineStr">
        <is>
          <t>Scotiabank Perú</t>
        </is>
      </c>
      <c r="AV513" t="inlineStr">
        <is>
          <t>000-2768484</t>
        </is>
      </c>
      <c r="AW513" t="inlineStr">
        <is>
          <t>CHEQUE DE GERENCIA</t>
        </is>
      </c>
      <c r="AX513" t="inlineStr">
        <is>
          <t>20650</t>
        </is>
      </c>
      <c r="AY513" t="inlineStr">
        <is>
          <t>0500030002</t>
        </is>
      </c>
      <c r="AZ513" t="inlineStr">
        <is>
          <t>No</t>
        </is>
      </c>
      <c r="BB513" t="n">
        <v>3.3</v>
      </c>
      <c r="BC513" t="inlineStr">
        <is>
          <t>VENCIDO</t>
        </is>
      </c>
      <c r="BN513" t="inlineStr">
        <is>
          <t>Si</t>
        </is>
      </c>
      <c r="BO513" s="117" t="n">
        <v>46191.65902777778</v>
      </c>
      <c r="BP513" t="inlineStr">
        <is>
          <t>Magaly Guevara Perez</t>
        </is>
      </c>
      <c r="BR513" t="n">
        <v>52</v>
      </c>
      <c r="BS513" t="inlineStr">
        <is>
          <t>02/09/2026 12:17</t>
        </is>
      </c>
      <c r="BT513" t="n">
        <v>0</v>
      </c>
      <c r="BX513" t="inlineStr">
        <is>
          <t>Cobranzas_2026.csv</t>
        </is>
      </c>
      <c r="BY513" t="n">
        <v>2026</v>
      </c>
      <c r="BZ513" t="inlineStr">
        <is>
          <t>01/01/2024</t>
        </is>
      </c>
      <c r="CA513" t="inlineStr">
        <is>
          <t>30/09/2031</t>
        </is>
      </c>
    </row>
    <row r="514">
      <c r="A514" t="inlineStr">
        <is>
          <t>RESIDENCIAL PRADA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401</t>
        </is>
      </c>
      <c r="G514" s="39" t="n">
        <v>630000</v>
      </c>
      <c r="H514" s="39" t="n">
        <v>630000</v>
      </c>
      <c r="M514" s="39" t="n"/>
      <c r="N514" s="39" t="n"/>
      <c r="S514" s="39" t="n"/>
      <c r="T514" s="39" t="n"/>
      <c r="Y514" s="39" t="n"/>
      <c r="Z514" s="39" t="n"/>
      <c r="AA514" t="inlineStr">
        <is>
          <t>Gladys Marta Moreano Bellido</t>
        </is>
      </c>
      <c r="AB514" t="inlineStr">
        <is>
          <t>23951642</t>
        </is>
      </c>
      <c r="AC514" t="inlineStr">
        <is>
          <t>General Sta. Cruz 416 interior 311</t>
        </is>
      </c>
      <c r="AD514" t="n">
        <v>0</v>
      </c>
      <c r="AE514" t="inlineStr">
        <is>
          <t>944421327</t>
        </is>
      </c>
      <c r="AF514" t="inlineStr">
        <is>
          <t>cuscoya@gmail.com</t>
        </is>
      </c>
      <c r="AG514" t="inlineStr">
        <is>
          <t>LIMA</t>
        </is>
      </c>
      <c r="AH514" t="inlineStr">
        <is>
          <t>JESUS MARIA</t>
        </is>
      </c>
      <c r="AI514" s="116" t="n">
        <v>46185</v>
      </c>
      <c r="AJ514" s="116" t="n">
        <v>46017</v>
      </c>
      <c r="AK514" t="inlineStr">
        <is>
          <t>SALDO FINANCIAR</t>
        </is>
      </c>
      <c r="AL514" t="n">
        <v>5</v>
      </c>
      <c r="AM514" t="n">
        <v>0</v>
      </c>
      <c r="AN514" t="n">
        <v>0</v>
      </c>
      <c r="AO514" t="n">
        <v>0</v>
      </c>
      <c r="AP514" s="39" t="n">
        <v>73333.33</v>
      </c>
      <c r="AQ514" s="39" t="n">
        <v>11666.68</v>
      </c>
      <c r="AR514" s="39" t="n">
        <v>0</v>
      </c>
      <c r="AS514" t="n">
        <v>0</v>
      </c>
      <c r="AT514" t="inlineStr">
        <is>
          <t>Crédito Directo</t>
        </is>
      </c>
      <c r="AU514" t="inlineStr">
        <is>
          <t>Scotiabank Perú</t>
        </is>
      </c>
      <c r="AV514" t="inlineStr">
        <is>
          <t>000-2768484</t>
        </is>
      </c>
      <c r="AW514" t="inlineStr">
        <is>
          <t>TRANSFERENCIA BANCARIA</t>
        </is>
      </c>
      <c r="AY514" t="inlineStr">
        <is>
          <t>01346005</t>
        </is>
      </c>
      <c r="AZ514" t="inlineStr">
        <is>
          <t>No</t>
        </is>
      </c>
      <c r="BB514" t="n">
        <v>4</v>
      </c>
      <c r="BC514" t="inlineStr">
        <is>
          <t>CANCELADO</t>
        </is>
      </c>
      <c r="BN514" t="inlineStr">
        <is>
          <t>Si</t>
        </is>
      </c>
      <c r="BO514" s="117" t="n">
        <v>45773.61388888889</v>
      </c>
      <c r="BP514" t="inlineStr">
        <is>
          <t>Kenny Salazar S</t>
        </is>
      </c>
      <c r="BR514" t="n">
        <v>35</v>
      </c>
      <c r="BS514" t="inlineStr">
        <is>
          <t>03/07/2026 11:57</t>
        </is>
      </c>
      <c r="BT514" t="n">
        <v>0</v>
      </c>
      <c r="BX514" t="inlineStr">
        <is>
          <t>Cobranzas_2026.csv</t>
        </is>
      </c>
      <c r="BY514" t="n">
        <v>2026</v>
      </c>
      <c r="BZ514" t="inlineStr">
        <is>
          <t>01/01/2024</t>
        </is>
      </c>
      <c r="CA514" t="inlineStr">
        <is>
          <t>30/09/2031</t>
        </is>
      </c>
    </row>
    <row r="515">
      <c r="A515" t="inlineStr">
        <is>
          <t>RESIDENCIAL PRADA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401</t>
        </is>
      </c>
      <c r="G515" s="39" t="n">
        <v>630000</v>
      </c>
      <c r="H515" s="39" t="n">
        <v>630000</v>
      </c>
      <c r="M515" s="39" t="n"/>
      <c r="N515" s="39" t="n"/>
      <c r="S515" s="39" t="n"/>
      <c r="T515" s="39" t="n"/>
      <c r="Y515" s="39" t="n"/>
      <c r="Z515" s="39" t="n"/>
      <c r="AA515" t="inlineStr">
        <is>
          <t>Gladys Marta Moreano Bellido</t>
        </is>
      </c>
      <c r="AB515" t="inlineStr">
        <is>
          <t>23951642</t>
        </is>
      </c>
      <c r="AC515" t="inlineStr">
        <is>
          <t>General Sta. Cruz 416 interior 311</t>
        </is>
      </c>
      <c r="AD515" t="n">
        <v>0</v>
      </c>
      <c r="AE515" t="inlineStr">
        <is>
          <t>944421327</t>
        </is>
      </c>
      <c r="AF515" t="inlineStr">
        <is>
          <t>cuscoya@gmail.com</t>
        </is>
      </c>
      <c r="AG515" t="inlineStr">
        <is>
          <t>LIMA</t>
        </is>
      </c>
      <c r="AH515" t="inlineStr">
        <is>
          <t>JESUS MARIA</t>
        </is>
      </c>
      <c r="AI515" s="116" t="n">
        <v>46185</v>
      </c>
      <c r="AJ515" s="116" t="n">
        <v>46185</v>
      </c>
      <c r="AK515" t="inlineStr">
        <is>
          <t>SALDO FINANCIAR</t>
        </is>
      </c>
      <c r="AL515" t="n">
        <v>5</v>
      </c>
      <c r="AM515" t="n">
        <v>0</v>
      </c>
      <c r="AN515" t="n">
        <v>0</v>
      </c>
      <c r="AO515" t="n">
        <v>0</v>
      </c>
      <c r="AP515" s="39" t="n">
        <v>0</v>
      </c>
      <c r="AQ515" s="39" t="n">
        <v>50000</v>
      </c>
      <c r="AR515" s="39" t="n">
        <v>0</v>
      </c>
      <c r="AS515" t="n">
        <v>0</v>
      </c>
      <c r="AT515" t="inlineStr">
        <is>
          <t>Crédito Directo</t>
        </is>
      </c>
      <c r="AU515" t="inlineStr">
        <is>
          <t>Scotiabank Perú</t>
        </is>
      </c>
      <c r="AV515" t="inlineStr">
        <is>
          <t>000-2768484</t>
        </is>
      </c>
      <c r="AW515" t="inlineStr">
        <is>
          <t>TRANSFERENCIA BANCARIA</t>
        </is>
      </c>
      <c r="AY515" t="inlineStr">
        <is>
          <t>005509418</t>
        </is>
      </c>
      <c r="AZ515" t="inlineStr">
        <is>
          <t>No</t>
        </is>
      </c>
      <c r="BB515" t="n">
        <v>4</v>
      </c>
      <c r="BC515" t="inlineStr">
        <is>
          <t>CANCELADO</t>
        </is>
      </c>
      <c r="BN515" t="inlineStr">
        <is>
          <t>Si</t>
        </is>
      </c>
      <c r="BO515" s="117" t="n">
        <v>45773.61388888889</v>
      </c>
      <c r="BP515" t="inlineStr">
        <is>
          <t>Kenny Salazar S</t>
        </is>
      </c>
      <c r="BR515" t="n">
        <v>35</v>
      </c>
      <c r="BS515" t="inlineStr">
        <is>
          <t>03/07/2026 11:57</t>
        </is>
      </c>
      <c r="BT515" t="n">
        <v>0</v>
      </c>
      <c r="BX515" t="inlineStr">
        <is>
          <t>Cobranzas_2026.csv</t>
        </is>
      </c>
      <c r="BY515" t="n">
        <v>2026</v>
      </c>
      <c r="BZ515" t="inlineStr">
        <is>
          <t>01/01/2024</t>
        </is>
      </c>
      <c r="CA515" t="inlineStr">
        <is>
          <t>30/09/2031</t>
        </is>
      </c>
    </row>
    <row r="516">
      <c r="A516" t="inlineStr">
        <is>
          <t>RESIDENCIAL PRADA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401</t>
        </is>
      </c>
      <c r="G516" s="39" t="n">
        <v>630000</v>
      </c>
      <c r="H516" s="39" t="n">
        <v>630000</v>
      </c>
      <c r="M516" s="39" t="n"/>
      <c r="N516" s="39" t="n"/>
      <c r="S516" s="39" t="n"/>
      <c r="T516" s="39" t="n"/>
      <c r="Y516" s="39" t="n"/>
      <c r="Z516" s="39" t="n"/>
      <c r="AA516" t="inlineStr">
        <is>
          <t>Gladys Marta Moreano Bellido</t>
        </is>
      </c>
      <c r="AB516" t="inlineStr">
        <is>
          <t>23951642</t>
        </is>
      </c>
      <c r="AC516" t="inlineStr">
        <is>
          <t>General Sta. Cruz 416 interior 311</t>
        </is>
      </c>
      <c r="AD516" t="n">
        <v>0</v>
      </c>
      <c r="AE516" t="inlineStr">
        <is>
          <t>944421327</t>
        </is>
      </c>
      <c r="AF516" t="inlineStr">
        <is>
          <t>cuscoya@gmail.com</t>
        </is>
      </c>
      <c r="AG516" t="inlineStr">
        <is>
          <t>LIMA</t>
        </is>
      </c>
      <c r="AH516" t="inlineStr">
        <is>
          <t>JESUS MARIA</t>
        </is>
      </c>
      <c r="AI516" s="116" t="n">
        <v>46185</v>
      </c>
      <c r="AJ516" s="116" t="n">
        <v>46197</v>
      </c>
      <c r="AK516" t="inlineStr">
        <is>
          <t>SALDO FINANCIAR</t>
        </is>
      </c>
      <c r="AL516" t="n">
        <v>5</v>
      </c>
      <c r="AM516" t="n">
        <v>73333.33</v>
      </c>
      <c r="AN516" t="n">
        <v>0</v>
      </c>
      <c r="AO516" t="n">
        <v>0</v>
      </c>
      <c r="AP516" s="39" t="n">
        <v>0</v>
      </c>
      <c r="AQ516" s="39" t="n">
        <v>11666.65</v>
      </c>
      <c r="AR516" s="39" t="n">
        <v>0</v>
      </c>
      <c r="AS516" t="n">
        <v>0</v>
      </c>
      <c r="AT516" t="inlineStr">
        <is>
          <t>Crédito Directo</t>
        </is>
      </c>
      <c r="AU516" t="inlineStr">
        <is>
          <t>Scotiabank Perú</t>
        </is>
      </c>
      <c r="AV516" t="inlineStr">
        <is>
          <t>000-2768484</t>
        </is>
      </c>
      <c r="AW516" t="inlineStr">
        <is>
          <t>TRANSFERENCIA BANCARIA</t>
        </is>
      </c>
      <c r="AY516" t="inlineStr">
        <is>
          <t>0142288</t>
        </is>
      </c>
      <c r="AZ516" t="inlineStr">
        <is>
          <t>No</t>
        </is>
      </c>
      <c r="BB516" t="n">
        <v>4</v>
      </c>
      <c r="BC516" t="inlineStr">
        <is>
          <t>CANCELADO</t>
        </is>
      </c>
      <c r="BN516" t="inlineStr">
        <is>
          <t>Si</t>
        </is>
      </c>
      <c r="BO516" s="117" t="n">
        <v>45773.61388888889</v>
      </c>
      <c r="BP516" t="inlineStr">
        <is>
          <t>Kenny Salazar S</t>
        </is>
      </c>
      <c r="BR516" t="n">
        <v>35</v>
      </c>
      <c r="BS516" t="inlineStr">
        <is>
          <t>03/07/2026 11:59</t>
        </is>
      </c>
      <c r="BT516" t="n">
        <v>0</v>
      </c>
      <c r="BX516" t="inlineStr">
        <is>
          <t>Cobranzas_2026.csv</t>
        </is>
      </c>
      <c r="BY516" t="n">
        <v>2026</v>
      </c>
      <c r="BZ516" t="inlineStr">
        <is>
          <t>01/01/2024</t>
        </is>
      </c>
      <c r="CA516" t="inlineStr">
        <is>
          <t>30/09/2031</t>
        </is>
      </c>
    </row>
    <row r="517">
      <c r="A517" t="inlineStr">
        <is>
          <t>RESIDENCIAL PRADA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Departamento</t>
        </is>
      </c>
      <c r="F517" t="inlineStr">
        <is>
          <t>401</t>
        </is>
      </c>
      <c r="G517" s="39" t="n">
        <v>630000</v>
      </c>
      <c r="H517" s="39" t="n">
        <v>630000</v>
      </c>
      <c r="M517" s="39" t="n"/>
      <c r="N517" s="39" t="n"/>
      <c r="S517" s="39" t="n"/>
      <c r="T517" s="39" t="n"/>
      <c r="Y517" s="39" t="n"/>
      <c r="Z517" s="39" t="n"/>
      <c r="AA517" t="inlineStr">
        <is>
          <t>Gladys Marta Moreano Bellido</t>
        </is>
      </c>
      <c r="AB517" t="inlineStr">
        <is>
          <t>23951642</t>
        </is>
      </c>
      <c r="AC517" t="inlineStr">
        <is>
          <t>General Sta. Cruz 416 interior 311</t>
        </is>
      </c>
      <c r="AD517" t="n">
        <v>0</v>
      </c>
      <c r="AE517" t="inlineStr">
        <is>
          <t>944421327</t>
        </is>
      </c>
      <c r="AF517" t="inlineStr">
        <is>
          <t>cuscoya@gmail.com</t>
        </is>
      </c>
      <c r="AG517" t="inlineStr">
        <is>
          <t>LIMA</t>
        </is>
      </c>
      <c r="AH517" t="inlineStr">
        <is>
          <t>JESUS MARIA</t>
        </is>
      </c>
      <c r="AI517" s="116" t="n">
        <v>46197</v>
      </c>
      <c r="AJ517" s="116" t="n">
        <v>46197</v>
      </c>
      <c r="AK517" t="inlineStr">
        <is>
          <t>SALDO FINANCIAR</t>
        </is>
      </c>
      <c r="AL517" t="n">
        <v>6</v>
      </c>
      <c r="AM517" t="n">
        <v>73333.35000000001</v>
      </c>
      <c r="AN517" t="n">
        <v>0</v>
      </c>
      <c r="AO517" t="n">
        <v>0</v>
      </c>
      <c r="AP517" s="39" t="n">
        <v>73333.35000000001</v>
      </c>
      <c r="AQ517" s="39" t="n">
        <v>73333.35000000001</v>
      </c>
      <c r="AR517" s="39" t="n">
        <v>0</v>
      </c>
      <c r="AS517" t="n">
        <v>0</v>
      </c>
      <c r="AT517" t="inlineStr">
        <is>
          <t>Crédito Directo</t>
        </is>
      </c>
      <c r="AU517" t="inlineStr">
        <is>
          <t>Scotiabank Perú</t>
        </is>
      </c>
      <c r="AV517" t="inlineStr">
        <is>
          <t>000-2768484</t>
        </is>
      </c>
      <c r="AW517" t="inlineStr">
        <is>
          <t>TRANSFERENCIA BANCARIA</t>
        </is>
      </c>
      <c r="AY517" t="inlineStr">
        <is>
          <t>0142288</t>
        </is>
      </c>
      <c r="AZ517" t="inlineStr">
        <is>
          <t>No</t>
        </is>
      </c>
      <c r="BB517" t="n">
        <v>4</v>
      </c>
      <c r="BC517" t="inlineStr">
        <is>
          <t>CANCELADO</t>
        </is>
      </c>
      <c r="BN517" t="inlineStr">
        <is>
          <t>Si</t>
        </is>
      </c>
      <c r="BO517" s="117" t="n">
        <v>45773.61388888889</v>
      </c>
      <c r="BP517" t="inlineStr">
        <is>
          <t>Kenny Salazar S</t>
        </is>
      </c>
      <c r="BR517" t="n">
        <v>35</v>
      </c>
      <c r="BS517" t="inlineStr">
        <is>
          <t>03/07/2026 11:59</t>
        </is>
      </c>
      <c r="BT517" t="n">
        <v>0</v>
      </c>
      <c r="BX517" t="inlineStr">
        <is>
          <t>Cobranzas_2026.csv</t>
        </is>
      </c>
      <c r="BY517" t="n">
        <v>2026</v>
      </c>
      <c r="BZ517" t="inlineStr">
        <is>
          <t>01/01/2024</t>
        </is>
      </c>
      <c r="CA517" t="inlineStr">
        <is>
          <t>30/09/2031</t>
        </is>
      </c>
    </row>
    <row r="518">
      <c r="A518" t="inlineStr">
        <is>
          <t>RESIDENCIAL PRADA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16</t>
        </is>
      </c>
      <c r="G518" s="39" t="n">
        <v>50500</v>
      </c>
      <c r="H518" s="39" t="n">
        <v>50500</v>
      </c>
      <c r="M518" s="39" t="n"/>
      <c r="N518" s="39" t="n"/>
      <c r="S518" s="39" t="n"/>
      <c r="T518" s="39" t="n"/>
      <c r="Y518" s="39" t="n"/>
      <c r="Z518" s="39" t="n"/>
      <c r="AA518" t="inlineStr">
        <is>
          <t>Gladys Marta Moreano Bellido</t>
        </is>
      </c>
      <c r="AB518" t="inlineStr">
        <is>
          <t>23951642</t>
        </is>
      </c>
      <c r="AC518" t="inlineStr">
        <is>
          <t>General Sta. Cruz 416 interior 311</t>
        </is>
      </c>
      <c r="AD518" t="n">
        <v>0</v>
      </c>
      <c r="AE518" t="inlineStr">
        <is>
          <t>944421327</t>
        </is>
      </c>
      <c r="AF518" t="inlineStr">
        <is>
          <t>cuscoya@gmail.com</t>
        </is>
      </c>
      <c r="AG518" t="inlineStr">
        <is>
          <t>LIMA</t>
        </is>
      </c>
      <c r="AH518" t="inlineStr">
        <is>
          <t>JESUS MARIA</t>
        </is>
      </c>
      <c r="AI518" s="116" t="n">
        <v>46225</v>
      </c>
      <c r="AJ518" s="116" t="n">
        <v>46225</v>
      </c>
      <c r="AK518" t="inlineStr">
        <is>
          <t>SALDO FINANCIAR</t>
        </is>
      </c>
      <c r="AL518" t="n">
        <v>1</v>
      </c>
      <c r="AM518" t="n">
        <v>10000</v>
      </c>
      <c r="AN518" t="n">
        <v>0</v>
      </c>
      <c r="AO518" t="n">
        <v>0</v>
      </c>
      <c r="AP518" s="39" t="n">
        <v>10000</v>
      </c>
      <c r="AQ518" s="39" t="n">
        <v>10000</v>
      </c>
      <c r="AR518" s="39" t="n">
        <v>0</v>
      </c>
      <c r="AS518" t="n">
        <v>0</v>
      </c>
      <c r="AT518" t="inlineStr">
        <is>
          <t>Crédito Directo</t>
        </is>
      </c>
      <c r="AU518" t="inlineStr">
        <is>
          <t>Scotiabank Perú</t>
        </is>
      </c>
      <c r="AV518" t="inlineStr">
        <is>
          <t>000-2768484</t>
        </is>
      </c>
      <c r="AW518" t="inlineStr">
        <is>
          <t>TRANSFERENCIA BANCARIA</t>
        </is>
      </c>
      <c r="AY518" t="inlineStr">
        <is>
          <t>006621198</t>
        </is>
      </c>
      <c r="AZ518" t="inlineStr">
        <is>
          <t>Si</t>
        </is>
      </c>
      <c r="BB518" t="n">
        <v>4</v>
      </c>
      <c r="BC518" t="inlineStr">
        <is>
          <t>CANCELADO</t>
        </is>
      </c>
      <c r="BN518" t="inlineStr">
        <is>
          <t>Si</t>
        </is>
      </c>
      <c r="BO518" s="117" t="n">
        <v>46218.65555555555</v>
      </c>
      <c r="BP518" t="inlineStr">
        <is>
          <t>Carla Michue M</t>
        </is>
      </c>
      <c r="BR518" t="n">
        <v>58</v>
      </c>
      <c r="BS518" t="inlineStr">
        <is>
          <t>26/08/2026 17:26</t>
        </is>
      </c>
      <c r="BT518" t="n">
        <v>0</v>
      </c>
      <c r="BX518" t="inlineStr">
        <is>
          <t>Cobranzas_2026.csv</t>
        </is>
      </c>
      <c r="BY518" t="n">
        <v>2026</v>
      </c>
      <c r="BZ518" t="inlineStr">
        <is>
          <t>01/01/2024</t>
        </is>
      </c>
      <c r="CA518" t="inlineStr">
        <is>
          <t>30/09/2031</t>
        </is>
      </c>
    </row>
    <row r="519">
      <c r="A519" t="inlineStr">
        <is>
          <t>RESIDENCIAL PRADA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16</t>
        </is>
      </c>
      <c r="G519" s="39" t="n">
        <v>50500</v>
      </c>
      <c r="H519" s="39" t="n">
        <v>50500</v>
      </c>
      <c r="M519" s="39" t="n"/>
      <c r="N519" s="39" t="n"/>
      <c r="S519" s="39" t="n"/>
      <c r="T519" s="39" t="n"/>
      <c r="Y519" s="39" t="n"/>
      <c r="Z519" s="39" t="n"/>
      <c r="AA519" t="inlineStr">
        <is>
          <t>Gladys Marta Moreano Bellido</t>
        </is>
      </c>
      <c r="AB519" t="inlineStr">
        <is>
          <t>23951642</t>
        </is>
      </c>
      <c r="AC519" t="inlineStr">
        <is>
          <t>General Sta. Cruz 416 interior 311</t>
        </is>
      </c>
      <c r="AD519" t="n">
        <v>0</v>
      </c>
      <c r="AE519" t="inlineStr">
        <is>
          <t>944421327</t>
        </is>
      </c>
      <c r="AF519" t="inlineStr">
        <is>
          <t>cuscoya@gmail.com</t>
        </is>
      </c>
      <c r="AG519" t="inlineStr">
        <is>
          <t>LIMA</t>
        </is>
      </c>
      <c r="AH519" t="inlineStr">
        <is>
          <t>JESUS MARIA</t>
        </is>
      </c>
      <c r="AI519" s="116" t="n">
        <v>46244</v>
      </c>
      <c r="AJ519" s="116" t="n">
        <v>46244</v>
      </c>
      <c r="AK519" t="inlineStr">
        <is>
          <t>SALDO FINANCIAR</t>
        </is>
      </c>
      <c r="AL519" t="n">
        <v>2</v>
      </c>
      <c r="AM519" t="n">
        <v>16500</v>
      </c>
      <c r="AN519" t="n">
        <v>0</v>
      </c>
      <c r="AO519" t="n">
        <v>0</v>
      </c>
      <c r="AP519" s="39" t="n">
        <v>16500</v>
      </c>
      <c r="AQ519" s="39" t="n">
        <v>16500</v>
      </c>
      <c r="AR519" s="39" t="n">
        <v>0</v>
      </c>
      <c r="AS519" t="n">
        <v>0</v>
      </c>
      <c r="AT519" t="inlineStr">
        <is>
          <t>Crédito Directo</t>
        </is>
      </c>
      <c r="AU519" t="inlineStr">
        <is>
          <t>Scotiabank Perú</t>
        </is>
      </c>
      <c r="AV519" t="inlineStr">
        <is>
          <t>00917000000276848424</t>
        </is>
      </c>
      <c r="AW519" t="inlineStr">
        <is>
          <t>TRANSFERENCIA BANCARIA</t>
        </is>
      </c>
      <c r="AY519" t="inlineStr">
        <is>
          <t>03579619</t>
        </is>
      </c>
      <c r="AZ519" t="inlineStr">
        <is>
          <t>Si</t>
        </is>
      </c>
      <c r="BB519" t="n">
        <v>4</v>
      </c>
      <c r="BC519" t="inlineStr">
        <is>
          <t>CANCELADO</t>
        </is>
      </c>
      <c r="BN519" t="inlineStr">
        <is>
          <t>Si</t>
        </is>
      </c>
      <c r="BO519" s="117" t="n">
        <v>46218.65555555555</v>
      </c>
      <c r="BP519" t="inlineStr">
        <is>
          <t>Carla Michue M</t>
        </is>
      </c>
      <c r="BR519" t="n">
        <v>58</v>
      </c>
      <c r="BS519" t="inlineStr">
        <is>
          <t>26/08/2026 17:27</t>
        </is>
      </c>
      <c r="BT519" t="n">
        <v>0</v>
      </c>
      <c r="BX519" t="inlineStr">
        <is>
          <t>Cobranzas_2026.csv</t>
        </is>
      </c>
      <c r="BY519" t="n">
        <v>2026</v>
      </c>
      <c r="BZ519" t="inlineStr">
        <is>
          <t>01/01/2024</t>
        </is>
      </c>
      <c r="CA519" t="inlineStr">
        <is>
          <t>30/09/2031</t>
        </is>
      </c>
    </row>
    <row r="520">
      <c r="A520" t="inlineStr">
        <is>
          <t>RESIDENCIAL PRADA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16</t>
        </is>
      </c>
      <c r="G520" s="39" t="n">
        <v>50500</v>
      </c>
      <c r="H520" s="39" t="n">
        <v>50500</v>
      </c>
      <c r="M520" s="39" t="n"/>
      <c r="N520" s="39" t="n"/>
      <c r="S520" s="39" t="n"/>
      <c r="T520" s="39" t="n"/>
      <c r="Y520" s="39" t="n"/>
      <c r="Z520" s="39" t="n"/>
      <c r="AA520" t="inlineStr">
        <is>
          <t>Gladys Marta Moreano Bellido</t>
        </is>
      </c>
      <c r="AB520" t="inlineStr">
        <is>
          <t>23951642</t>
        </is>
      </c>
      <c r="AC520" t="inlineStr">
        <is>
          <t>General Sta. Cruz 416 interior 311</t>
        </is>
      </c>
      <c r="AD520" t="n">
        <v>0</v>
      </c>
      <c r="AE520" t="inlineStr">
        <is>
          <t>944421327</t>
        </is>
      </c>
      <c r="AF520" t="inlineStr">
        <is>
          <t>cuscoya@gmail.com</t>
        </is>
      </c>
      <c r="AG520" t="inlineStr">
        <is>
          <t>LIMA</t>
        </is>
      </c>
      <c r="AH520" t="inlineStr">
        <is>
          <t>JESUS MARIA</t>
        </is>
      </c>
      <c r="AI520" s="116" t="n">
        <v>46289</v>
      </c>
      <c r="AJ520" s="116" t="n">
        <v>46289</v>
      </c>
      <c r="AK520" t="inlineStr">
        <is>
          <t>SALDO FINANCIAR</t>
        </is>
      </c>
      <c r="AL520" t="n">
        <v>3</v>
      </c>
      <c r="AM520" t="n">
        <v>16000</v>
      </c>
      <c r="AN520" t="n">
        <v>0</v>
      </c>
      <c r="AO520" t="n">
        <v>0</v>
      </c>
      <c r="AP520" s="39" t="n">
        <v>16000</v>
      </c>
      <c r="AQ520" s="39" t="n">
        <v>16000</v>
      </c>
      <c r="AR520" s="39" t="n">
        <v>0</v>
      </c>
      <c r="AS520" t="n">
        <v>0</v>
      </c>
      <c r="AT520" t="inlineStr">
        <is>
          <t>Crédito Directo</t>
        </is>
      </c>
      <c r="AU520" t="inlineStr">
        <is>
          <t>Scotiabank Perú</t>
        </is>
      </c>
      <c r="AV520" t="inlineStr">
        <is>
          <t>000-2768484</t>
        </is>
      </c>
      <c r="AW520" t="inlineStr">
        <is>
          <t>TRANSFERENCIA BANCARIA</t>
        </is>
      </c>
      <c r="AZ520" t="inlineStr">
        <is>
          <t>Si</t>
        </is>
      </c>
      <c r="BB520" t="n">
        <v>4</v>
      </c>
      <c r="BC520" t="inlineStr">
        <is>
          <t>CANCELADO</t>
        </is>
      </c>
      <c r="BN520" t="inlineStr">
        <is>
          <t>Si</t>
        </is>
      </c>
      <c r="BO520" s="117" t="n">
        <v>46218.65555555555</v>
      </c>
      <c r="BP520" t="inlineStr">
        <is>
          <t>Carla Michue M</t>
        </is>
      </c>
      <c r="BR520" t="n">
        <v>58</v>
      </c>
      <c r="BS520" t="inlineStr">
        <is>
          <t>24/09/2026 17:17</t>
        </is>
      </c>
      <c r="BT520" t="n">
        <v>0</v>
      </c>
      <c r="BX520" t="inlineStr">
        <is>
          <t>Cobranzas_2026.csv</t>
        </is>
      </c>
      <c r="BY520" t="n">
        <v>2026</v>
      </c>
      <c r="BZ520" t="inlineStr">
        <is>
          <t>01/01/2024</t>
        </is>
      </c>
      <c r="CA520" t="inlineStr">
        <is>
          <t>30/09/2031</t>
        </is>
      </c>
    </row>
    <row r="521">
      <c r="A521" t="inlineStr">
        <is>
          <t>RESIDENCIAL BEYOND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Departamento</t>
        </is>
      </c>
      <c r="F521" t="inlineStr">
        <is>
          <t>805</t>
        </is>
      </c>
      <c r="G521" s="39" t="n">
        <v>532100</v>
      </c>
      <c r="H521" s="39" t="n">
        <v>485300</v>
      </c>
      <c r="I521" t="inlineStr">
        <is>
          <t>Edificio</t>
        </is>
      </c>
      <c r="J521" t="inlineStr">
        <is>
          <t>A</t>
        </is>
      </c>
      <c r="K521" t="inlineStr">
        <is>
          <t>Estacionamiento</t>
        </is>
      </c>
      <c r="L521" t="inlineStr">
        <is>
          <t>E 18</t>
        </is>
      </c>
      <c r="M521" s="39" t="n">
        <v>46800</v>
      </c>
      <c r="N521" s="39" t="n">
        <v>46800</v>
      </c>
      <c r="S521" s="39" t="n"/>
      <c r="T521" s="39" t="n"/>
      <c r="Y521" s="39" t="n"/>
      <c r="Z521" s="39" t="n"/>
      <c r="AA521" t="inlineStr">
        <is>
          <t>Harry Anderson Yance Ruiz</t>
        </is>
      </c>
      <c r="AB521" t="inlineStr">
        <is>
          <t>10582963</t>
        </is>
      </c>
      <c r="AC521" t="inlineStr">
        <is>
          <t xml:space="preserve">Calle Las Pajillas 2329 - Urb. Mangomarca </t>
        </is>
      </c>
      <c r="AD521" t="n">
        <v>0</v>
      </c>
      <c r="AE521" t="inlineStr">
        <is>
          <t>948519070</t>
        </is>
      </c>
      <c r="AF521" t="inlineStr">
        <is>
          <t>harry_yance@hotmail.com</t>
        </is>
      </c>
      <c r="AG521" t="inlineStr">
        <is>
          <t>LIMA</t>
        </is>
      </c>
      <c r="AH521" t="inlineStr">
        <is>
          <t>SAN JUAN DE LURIGANCHO</t>
        </is>
      </c>
      <c r="AI521" s="116" t="n">
        <v>46039</v>
      </c>
      <c r="AJ521" s="116" t="n">
        <v>46039</v>
      </c>
      <c r="AK521" t="inlineStr">
        <is>
          <t>CUOTA INICIAL</t>
        </is>
      </c>
      <c r="AL521" t="n">
        <v>1</v>
      </c>
      <c r="AM521" t="n">
        <v>30000</v>
      </c>
      <c r="AN521" t="n">
        <v>0</v>
      </c>
      <c r="AO521" t="n">
        <v>0</v>
      </c>
      <c r="AP521" s="39" t="n">
        <v>30000</v>
      </c>
      <c r="AQ521" s="39" t="n">
        <v>30000</v>
      </c>
      <c r="AR521" s="39" t="n">
        <v>0</v>
      </c>
      <c r="AS521" t="n">
        <v>0</v>
      </c>
      <c r="AT521" t="inlineStr">
        <is>
          <t>Crédito Hipotecario</t>
        </is>
      </c>
      <c r="AU521" t="inlineStr">
        <is>
          <t>Banco de Credito del Perú</t>
        </is>
      </c>
      <c r="AV521" t="inlineStr">
        <is>
          <t>194-7325779-0-65</t>
        </is>
      </c>
      <c r="AW521" t="inlineStr">
        <is>
          <t>TRANSFERENCIA BANCARIA</t>
        </is>
      </c>
      <c r="AY521" t="inlineStr">
        <is>
          <t>06062341</t>
        </is>
      </c>
      <c r="AZ521" t="inlineStr">
        <is>
          <t>No</t>
        </is>
      </c>
      <c r="BB521" t="n">
        <v>4</v>
      </c>
      <c r="BC521" t="inlineStr">
        <is>
          <t>CANCELADO</t>
        </is>
      </c>
      <c r="BN521" t="inlineStr">
        <is>
          <t>Si</t>
        </is>
      </c>
      <c r="BO521" s="117" t="n">
        <v>46039.41944444444</v>
      </c>
      <c r="BP521" t="inlineStr">
        <is>
          <t>Carla Michue M</t>
        </is>
      </c>
      <c r="BR521" t="n">
        <v>17</v>
      </c>
      <c r="BS521" t="inlineStr">
        <is>
          <t>17/08/2026 12:27</t>
        </is>
      </c>
      <c r="BT521" t="n">
        <v>0</v>
      </c>
      <c r="BX521" t="inlineStr">
        <is>
          <t>Cobranzas_2026.csv</t>
        </is>
      </c>
      <c r="BY521" t="n">
        <v>2026</v>
      </c>
      <c r="BZ521" t="inlineStr">
        <is>
          <t>01/01/2024</t>
        </is>
      </c>
      <c r="CA521" t="inlineStr">
        <is>
          <t>30/09/2031</t>
        </is>
      </c>
    </row>
    <row r="522">
      <c r="A522" t="inlineStr">
        <is>
          <t>RESIDENCIAL BEYOND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Departamento</t>
        </is>
      </c>
      <c r="F522" t="inlineStr">
        <is>
          <t>805</t>
        </is>
      </c>
      <c r="G522" s="39" t="n">
        <v>532100</v>
      </c>
      <c r="H522" s="39" t="n">
        <v>485300</v>
      </c>
      <c r="I522" t="inlineStr">
        <is>
          <t>Edificio</t>
        </is>
      </c>
      <c r="J522" t="inlineStr">
        <is>
          <t>A</t>
        </is>
      </c>
      <c r="K522" t="inlineStr">
        <is>
          <t>Estacionamiento</t>
        </is>
      </c>
      <c r="L522" t="inlineStr">
        <is>
          <t>E 18</t>
        </is>
      </c>
      <c r="M522" s="39" t="n">
        <v>46800</v>
      </c>
      <c r="N522" s="39" t="n">
        <v>46800</v>
      </c>
      <c r="S522" s="39" t="n"/>
      <c r="T522" s="39" t="n"/>
      <c r="Y522" s="39" t="n"/>
      <c r="Z522" s="39" t="n"/>
      <c r="AA522" t="inlineStr">
        <is>
          <t>Harry Anderson Yance Ruiz</t>
        </is>
      </c>
      <c r="AB522" t="inlineStr">
        <is>
          <t>10582963</t>
        </is>
      </c>
      <c r="AC522" t="inlineStr">
        <is>
          <t xml:space="preserve">Calle Las Pajillas 2329 - Urb. Mangomarca </t>
        </is>
      </c>
      <c r="AD522" t="n">
        <v>0</v>
      </c>
      <c r="AE522" t="inlineStr">
        <is>
          <t>948519070</t>
        </is>
      </c>
      <c r="AF522" t="inlineStr">
        <is>
          <t>harry_yance@hotmail.com</t>
        </is>
      </c>
      <c r="AG522" t="inlineStr">
        <is>
          <t>LIMA</t>
        </is>
      </c>
      <c r="AH522" t="inlineStr">
        <is>
          <t>SAN JUAN DE LURIGANCHO</t>
        </is>
      </c>
      <c r="AI522" s="116" t="n">
        <v>46039</v>
      </c>
      <c r="AJ522" s="116" t="n">
        <v>46039</v>
      </c>
      <c r="AK522" t="inlineStr">
        <is>
          <t>CUOTA INICIAL</t>
        </is>
      </c>
      <c r="AL522" t="n">
        <v>2</v>
      </c>
      <c r="AM522" t="n">
        <v>20210</v>
      </c>
      <c r="AN522" t="n">
        <v>0</v>
      </c>
      <c r="AO522" t="n">
        <v>0</v>
      </c>
      <c r="AP522" s="39" t="n">
        <v>20210</v>
      </c>
      <c r="AQ522" s="39" t="n">
        <v>20210</v>
      </c>
      <c r="AR522" s="39" t="n">
        <v>0</v>
      </c>
      <c r="AS522" t="n">
        <v>0</v>
      </c>
      <c r="AT522" t="inlineStr">
        <is>
          <t>Crédito Hipotecario</t>
        </is>
      </c>
      <c r="AU522" t="inlineStr">
        <is>
          <t>Banco de Credito del Perú</t>
        </is>
      </c>
      <c r="AV522" t="inlineStr">
        <is>
          <t>194-7325779-0-65</t>
        </is>
      </c>
      <c r="AW522" t="inlineStr">
        <is>
          <t>TRANSFERENCIA BANCARIA</t>
        </is>
      </c>
      <c r="AY522" t="inlineStr">
        <is>
          <t>06063406</t>
        </is>
      </c>
      <c r="AZ522" t="inlineStr">
        <is>
          <t>No</t>
        </is>
      </c>
      <c r="BB522" t="n">
        <v>4</v>
      </c>
      <c r="BC522" t="inlineStr">
        <is>
          <t>CANCELADO</t>
        </is>
      </c>
      <c r="BN522" t="inlineStr">
        <is>
          <t>Si</t>
        </is>
      </c>
      <c r="BO522" s="117" t="n">
        <v>46039.41944444444</v>
      </c>
      <c r="BP522" t="inlineStr">
        <is>
          <t>Carla Michue M</t>
        </is>
      </c>
      <c r="BR522" t="n">
        <v>17</v>
      </c>
      <c r="BS522" t="inlineStr">
        <is>
          <t>17/08/2026 12:28</t>
        </is>
      </c>
      <c r="BT522" t="n">
        <v>0</v>
      </c>
      <c r="BX522" t="inlineStr">
        <is>
          <t>Cobranzas_2026.csv</t>
        </is>
      </c>
      <c r="BY522" t="n">
        <v>2026</v>
      </c>
      <c r="BZ522" t="inlineStr">
        <is>
          <t>01/01/2024</t>
        </is>
      </c>
      <c r="CA522" t="inlineStr">
        <is>
          <t>30/09/2031</t>
        </is>
      </c>
    </row>
    <row r="523">
      <c r="A523" t="inlineStr">
        <is>
          <t>RESIDENCIAL BEYOND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Departamento</t>
        </is>
      </c>
      <c r="F523" t="inlineStr">
        <is>
          <t>805</t>
        </is>
      </c>
      <c r="G523" s="39" t="n">
        <v>532100</v>
      </c>
      <c r="H523" s="39" t="n">
        <v>485300</v>
      </c>
      <c r="I523" t="inlineStr">
        <is>
          <t>Edificio</t>
        </is>
      </c>
      <c r="J523" t="inlineStr">
        <is>
          <t>A</t>
        </is>
      </c>
      <c r="K523" t="inlineStr">
        <is>
          <t>Estacionamiento</t>
        </is>
      </c>
      <c r="L523" t="inlineStr">
        <is>
          <t>E 18</t>
        </is>
      </c>
      <c r="M523" s="39" t="n">
        <v>46800</v>
      </c>
      <c r="N523" s="39" t="n">
        <v>46800</v>
      </c>
      <c r="S523" s="39" t="n"/>
      <c r="T523" s="39" t="n"/>
      <c r="Y523" s="39" t="n"/>
      <c r="Z523" s="39" t="n"/>
      <c r="AA523" t="inlineStr">
        <is>
          <t>Harry Anderson Yance Ruiz</t>
        </is>
      </c>
      <c r="AB523" t="inlineStr">
        <is>
          <t>10582963</t>
        </is>
      </c>
      <c r="AC523" t="inlineStr">
        <is>
          <t xml:space="preserve">Calle Las Pajillas 2329 - Urb. Mangomarca </t>
        </is>
      </c>
      <c r="AD523" t="n">
        <v>0</v>
      </c>
      <c r="AE523" t="inlineStr">
        <is>
          <t>948519070</t>
        </is>
      </c>
      <c r="AF523" t="inlineStr">
        <is>
          <t>harry_yance@hotmail.com</t>
        </is>
      </c>
      <c r="AG523" t="inlineStr">
        <is>
          <t>LIMA</t>
        </is>
      </c>
      <c r="AH523" t="inlineStr">
        <is>
          <t>SAN JUAN DE LURIGANCHO</t>
        </is>
      </c>
      <c r="AI523" s="116" t="n">
        <v>46046</v>
      </c>
      <c r="AJ523" s="116" t="n">
        <v>46046</v>
      </c>
      <c r="AK523" t="inlineStr">
        <is>
          <t>CUOTA INICIAL</t>
        </is>
      </c>
      <c r="AL523" t="n">
        <v>3</v>
      </c>
      <c r="AM523" t="n">
        <v>90</v>
      </c>
      <c r="AN523" t="n">
        <v>0</v>
      </c>
      <c r="AO523" t="n">
        <v>0</v>
      </c>
      <c r="AP523" s="39" t="n">
        <v>90</v>
      </c>
      <c r="AQ523" s="39" t="n">
        <v>90</v>
      </c>
      <c r="AR523" s="39" t="n">
        <v>0</v>
      </c>
      <c r="AS523" t="n">
        <v>0</v>
      </c>
      <c r="AT523" t="inlineStr">
        <is>
          <t>Crédito Hipotecario</t>
        </is>
      </c>
      <c r="AU523" t="inlineStr">
        <is>
          <t>Banco de Credito del Perú</t>
        </is>
      </c>
      <c r="AV523" t="inlineStr">
        <is>
          <t>194-7325779-0-65</t>
        </is>
      </c>
      <c r="AW523" t="inlineStr">
        <is>
          <t>TRANSFERENCIA BANCARIA</t>
        </is>
      </c>
      <c r="AY523" t="inlineStr">
        <is>
          <t>02259551</t>
        </is>
      </c>
      <c r="AZ523" t="inlineStr">
        <is>
          <t>No</t>
        </is>
      </c>
      <c r="BB523" t="n">
        <v>4</v>
      </c>
      <c r="BC523" t="inlineStr">
        <is>
          <t>CANCELADO</t>
        </is>
      </c>
      <c r="BN523" t="inlineStr">
        <is>
          <t>Si</t>
        </is>
      </c>
      <c r="BO523" s="117" t="n">
        <v>46039.41944444444</v>
      </c>
      <c r="BP523" t="inlineStr">
        <is>
          <t>Carla Michue M</t>
        </is>
      </c>
      <c r="BR523" t="n">
        <v>17</v>
      </c>
      <c r="BS523" t="inlineStr">
        <is>
          <t>17/08/2026 12:29</t>
        </is>
      </c>
      <c r="BT523" t="n">
        <v>0</v>
      </c>
      <c r="BX523" t="inlineStr">
        <is>
          <t>Cobranzas_2026.csv</t>
        </is>
      </c>
      <c r="BY523" t="n">
        <v>2026</v>
      </c>
      <c r="BZ523" t="inlineStr">
        <is>
          <t>01/01/2024</t>
        </is>
      </c>
      <c r="CA523" t="inlineStr">
        <is>
          <t>30/09/2031</t>
        </is>
      </c>
    </row>
    <row r="524">
      <c r="A524" t="inlineStr">
        <is>
          <t>RESIDENCIAL BEYOND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Departamento</t>
        </is>
      </c>
      <c r="F524" t="inlineStr">
        <is>
          <t>805</t>
        </is>
      </c>
      <c r="G524" s="39" t="n">
        <v>532100</v>
      </c>
      <c r="H524" s="39" t="n">
        <v>485300</v>
      </c>
      <c r="I524" t="inlineStr">
        <is>
          <t>Edificio</t>
        </is>
      </c>
      <c r="J524" t="inlineStr">
        <is>
          <t>A</t>
        </is>
      </c>
      <c r="K524" t="inlineStr">
        <is>
          <t>Estacionamiento</t>
        </is>
      </c>
      <c r="L524" t="inlineStr">
        <is>
          <t>E 18</t>
        </is>
      </c>
      <c r="M524" s="39" t="n">
        <v>46800</v>
      </c>
      <c r="N524" s="39" t="n">
        <v>46800</v>
      </c>
      <c r="S524" s="39" t="n"/>
      <c r="T524" s="39" t="n"/>
      <c r="Y524" s="39" t="n"/>
      <c r="Z524" s="39" t="n"/>
      <c r="AA524" t="inlineStr">
        <is>
          <t>Harry Anderson Yance Ruiz</t>
        </is>
      </c>
      <c r="AB524" t="inlineStr">
        <is>
          <t>10582963</t>
        </is>
      </c>
      <c r="AC524" t="inlineStr">
        <is>
          <t xml:space="preserve">Calle Las Pajillas 2329 - Urb. Mangomarca </t>
        </is>
      </c>
      <c r="AD524" t="n">
        <v>0</v>
      </c>
      <c r="AE524" t="inlineStr">
        <is>
          <t>948519070</t>
        </is>
      </c>
      <c r="AF524" t="inlineStr">
        <is>
          <t>harry_yance@hotmail.com</t>
        </is>
      </c>
      <c r="AG524" t="inlineStr">
        <is>
          <t>LIMA</t>
        </is>
      </c>
      <c r="AH524" t="inlineStr">
        <is>
          <t>SAN JUAN DE LURIGANCHO</t>
        </is>
      </c>
      <c r="AI524" s="116" t="n">
        <v>46324.71180555555</v>
      </c>
      <c r="AJ524" s="116" t="n"/>
      <c r="AK524" t="inlineStr">
        <is>
          <t>SALDO FINANCIAR</t>
        </is>
      </c>
      <c r="AL524" t="n">
        <v>1</v>
      </c>
      <c r="AM524" t="n">
        <v>478800</v>
      </c>
      <c r="AN524" t="n">
        <v>0</v>
      </c>
      <c r="AO524" t="n">
        <v>0</v>
      </c>
      <c r="AP524" s="39" t="n">
        <v>478800</v>
      </c>
      <c r="AQ524" s="39" t="n">
        <v>0</v>
      </c>
      <c r="AR524" s="39" t="n">
        <v>478800</v>
      </c>
      <c r="AT524" t="inlineStr">
        <is>
          <t>Crédito Hipotecario</t>
        </is>
      </c>
      <c r="AZ524" t="inlineStr">
        <is>
          <t>No</t>
        </is>
      </c>
      <c r="BC524" t="inlineStr">
        <is>
          <t>PENDIENTE</t>
        </is>
      </c>
      <c r="BN524" t="inlineStr">
        <is>
          <t>No</t>
        </is>
      </c>
      <c r="BO524" s="117" t="n">
        <v>46039.41944444444</v>
      </c>
      <c r="BP524" t="inlineStr">
        <is>
          <t>Carla Michue M</t>
        </is>
      </c>
      <c r="BR524" t="n">
        <v>17</v>
      </c>
      <c r="BT524" t="n">
        <v>0</v>
      </c>
      <c r="BX524" t="inlineStr">
        <is>
          <t>Cobranzas_2026.csv</t>
        </is>
      </c>
      <c r="BY524" t="n">
        <v>2026</v>
      </c>
      <c r="BZ524" t="inlineStr">
        <is>
          <t>01/01/2024</t>
        </is>
      </c>
      <c r="CA524" t="inlineStr">
        <is>
          <t>30/09/2031</t>
        </is>
      </c>
    </row>
    <row r="525">
      <c r="A525" t="inlineStr">
        <is>
          <t>RESIDENCIAL PRADA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Departamento</t>
        </is>
      </c>
      <c r="F525" t="inlineStr">
        <is>
          <t>502</t>
        </is>
      </c>
      <c r="G525" s="39" t="n">
        <v>457000</v>
      </c>
      <c r="H525" s="39" t="n">
        <v>457000</v>
      </c>
      <c r="M525" s="39" t="n"/>
      <c r="N525" s="39" t="n"/>
      <c r="S525" s="39" t="n"/>
      <c r="T525" s="39" t="n"/>
      <c r="Y525" s="39" t="n"/>
      <c r="Z525" s="39" t="n"/>
      <c r="AA525" t="inlineStr">
        <is>
          <t>HONOFRE JUAN GONZALES ATAHUALPA</t>
        </is>
      </c>
      <c r="AB525" t="inlineStr">
        <is>
          <t>09518829</t>
        </is>
      </c>
      <c r="AC525" t="inlineStr">
        <is>
          <t xml:space="preserve">Av. 17 de noviembre 229 - 231 </t>
        </is>
      </c>
      <c r="AD525" t="n">
        <v>990889063</v>
      </c>
      <c r="AE525" t="inlineStr">
        <is>
          <t>990889063</t>
        </is>
      </c>
      <c r="AF525" t="inlineStr">
        <is>
          <t>juanga0420@hotmail.com</t>
        </is>
      </c>
      <c r="AG525" t="inlineStr">
        <is>
          <t>LIMA</t>
        </is>
      </c>
      <c r="AH525" t="inlineStr">
        <is>
          <t>INDEPENDENCIA</t>
        </is>
      </c>
      <c r="AI525" s="116" t="n">
        <v>46085</v>
      </c>
      <c r="AJ525" s="116" t="n">
        <v>46085</v>
      </c>
      <c r="AK525" t="inlineStr">
        <is>
          <t>SEPARACION</t>
        </is>
      </c>
      <c r="AL525" t="n">
        <v>1</v>
      </c>
      <c r="AM525" t="n">
        <v>3000</v>
      </c>
      <c r="AN525" t="n">
        <v>0</v>
      </c>
      <c r="AO525" t="n">
        <v>0</v>
      </c>
      <c r="AP525" s="39" t="n">
        <v>3000</v>
      </c>
      <c r="AQ525" s="39" t="n">
        <v>3000</v>
      </c>
      <c r="AR525" s="39" t="n">
        <v>0</v>
      </c>
      <c r="AS525" t="n">
        <v>0</v>
      </c>
      <c r="AT525" t="inlineStr">
        <is>
          <t>Crédito Hipotecario</t>
        </is>
      </c>
      <c r="AU525" t="inlineStr">
        <is>
          <t>Scotiabank Perú</t>
        </is>
      </c>
      <c r="AV525" t="inlineStr">
        <is>
          <t>000-2768484</t>
        </is>
      </c>
      <c r="AW525" t="inlineStr">
        <is>
          <t>POS VISA</t>
        </is>
      </c>
      <c r="AX525" t="inlineStr">
        <is>
          <t>09518829</t>
        </is>
      </c>
      <c r="AY525" t="inlineStr">
        <is>
          <t>0000606321425788</t>
        </is>
      </c>
      <c r="AZ525" t="inlineStr">
        <is>
          <t>No</t>
        </is>
      </c>
      <c r="BA525" t="inlineStr">
        <is>
          <t>NO PRECISA</t>
        </is>
      </c>
      <c r="BB525" t="n">
        <v>4</v>
      </c>
      <c r="BC525" t="inlineStr">
        <is>
          <t>CANCELADO</t>
        </is>
      </c>
      <c r="BN525" t="inlineStr">
        <is>
          <t>Si</t>
        </is>
      </c>
      <c r="BO525" s="117" t="n">
        <v>46134.40069444444</v>
      </c>
      <c r="BP525" t="inlineStr">
        <is>
          <t>Kenny Salazar S</t>
        </is>
      </c>
      <c r="BR525" t="n">
        <v>43</v>
      </c>
      <c r="BS525" t="inlineStr">
        <is>
          <t>03/06/2026 08:37</t>
        </is>
      </c>
      <c r="BT525" t="n">
        <v>0</v>
      </c>
      <c r="BX525" t="inlineStr">
        <is>
          <t>Cobranzas_2026.csv</t>
        </is>
      </c>
      <c r="BY525" t="n">
        <v>2026</v>
      </c>
      <c r="BZ525" t="inlineStr">
        <is>
          <t>01/01/2024</t>
        </is>
      </c>
      <c r="CA525" t="inlineStr">
        <is>
          <t>30/09/2031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Departamento</t>
        </is>
      </c>
      <c r="F526" t="inlineStr">
        <is>
          <t>502</t>
        </is>
      </c>
      <c r="G526" s="39" t="n">
        <v>457000</v>
      </c>
      <c r="H526" s="39" t="n">
        <v>457000</v>
      </c>
      <c r="M526" s="39" t="n"/>
      <c r="N526" s="39" t="n"/>
      <c r="S526" s="39" t="n"/>
      <c r="T526" s="39" t="n"/>
      <c r="Y526" s="39" t="n"/>
      <c r="Z526" s="39" t="n"/>
      <c r="AA526" t="inlineStr">
        <is>
          <t>HONOFRE JUAN GONZALES ATAHUALPA</t>
        </is>
      </c>
      <c r="AB526" t="inlineStr">
        <is>
          <t>09518829</t>
        </is>
      </c>
      <c r="AC526" t="inlineStr">
        <is>
          <t xml:space="preserve">Av. 17 de noviembre 229 - 231 </t>
        </is>
      </c>
      <c r="AD526" t="n">
        <v>990889063</v>
      </c>
      <c r="AE526" t="inlineStr">
        <is>
          <t>990889063</t>
        </is>
      </c>
      <c r="AF526" t="inlineStr">
        <is>
          <t>juanga0420@hotmail.com</t>
        </is>
      </c>
      <c r="AG526" t="inlineStr">
        <is>
          <t>LIMA</t>
        </is>
      </c>
      <c r="AH526" t="inlineStr">
        <is>
          <t>INDEPENDENCIA</t>
        </is>
      </c>
      <c r="AI526" s="116" t="n">
        <v>46134</v>
      </c>
      <c r="AJ526" s="116" t="n">
        <v>46134</v>
      </c>
      <c r="AK526" t="inlineStr">
        <is>
          <t>CUOTA INICIAL</t>
        </is>
      </c>
      <c r="AL526" t="n">
        <v>1</v>
      </c>
      <c r="AM526" t="n">
        <v>21350</v>
      </c>
      <c r="AN526" t="n">
        <v>0</v>
      </c>
      <c r="AO526" t="n">
        <v>0</v>
      </c>
      <c r="AP526" s="39" t="n">
        <v>21350</v>
      </c>
      <c r="AQ526" s="39" t="n">
        <v>21350</v>
      </c>
      <c r="AR526" s="39" t="n">
        <v>0</v>
      </c>
      <c r="AS526" t="n">
        <v>0</v>
      </c>
      <c r="AT526" t="inlineStr">
        <is>
          <t>Crédito Hipotecario</t>
        </is>
      </c>
      <c r="AU526" t="inlineStr">
        <is>
          <t>Scotiabank Perú</t>
        </is>
      </c>
      <c r="AV526" t="inlineStr">
        <is>
          <t>000-2768484</t>
        </is>
      </c>
      <c r="AW526" t="inlineStr">
        <is>
          <t>TRANSFERENCIA BANCARIA</t>
        </is>
      </c>
      <c r="AX526" t="inlineStr">
        <is>
          <t>09518829</t>
        </is>
      </c>
      <c r="AY526" t="inlineStr">
        <is>
          <t>0500010095</t>
        </is>
      </c>
      <c r="AZ526" t="inlineStr">
        <is>
          <t>No</t>
        </is>
      </c>
      <c r="BA526" t="inlineStr">
        <is>
          <t>NO PRECISA</t>
        </is>
      </c>
      <c r="BB526" t="n">
        <v>4</v>
      </c>
      <c r="BC526" t="inlineStr">
        <is>
          <t>CANCELADO</t>
        </is>
      </c>
      <c r="BN526" t="inlineStr">
        <is>
          <t>Si</t>
        </is>
      </c>
      <c r="BO526" s="117" t="n">
        <v>46134.40069444444</v>
      </c>
      <c r="BP526" t="inlineStr">
        <is>
          <t>Kenny Salazar S</t>
        </is>
      </c>
      <c r="BR526" t="n">
        <v>43</v>
      </c>
      <c r="BS526" t="inlineStr">
        <is>
          <t>05/06/2026 08:47</t>
        </is>
      </c>
      <c r="BT526" t="n">
        <v>0</v>
      </c>
      <c r="BX526" t="inlineStr">
        <is>
          <t>Cobranzas_2026.csv</t>
        </is>
      </c>
      <c r="BY526" t="n">
        <v>2026</v>
      </c>
      <c r="BZ526" t="inlineStr">
        <is>
          <t>01/01/2024</t>
        </is>
      </c>
      <c r="CA526" t="inlineStr">
        <is>
          <t>30/09/2031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Departamento</t>
        </is>
      </c>
      <c r="F527" t="inlineStr">
        <is>
          <t>502</t>
        </is>
      </c>
      <c r="G527" s="39" t="n">
        <v>457000</v>
      </c>
      <c r="H527" s="39" t="n">
        <v>457000</v>
      </c>
      <c r="M527" s="39" t="n"/>
      <c r="N527" s="39" t="n"/>
      <c r="S527" s="39" t="n"/>
      <c r="T527" s="39" t="n"/>
      <c r="Y527" s="39" t="n"/>
      <c r="Z527" s="39" t="n"/>
      <c r="AA527" t="inlineStr">
        <is>
          <t>HONOFRE JUAN GONZALES ATAHUALPA</t>
        </is>
      </c>
      <c r="AB527" t="inlineStr">
        <is>
          <t>09518829</t>
        </is>
      </c>
      <c r="AC527" t="inlineStr">
        <is>
          <t xml:space="preserve">Av. 17 de noviembre 229 - 231 </t>
        </is>
      </c>
      <c r="AD527" t="n">
        <v>990889063</v>
      </c>
      <c r="AE527" t="inlineStr">
        <is>
          <t>990889063</t>
        </is>
      </c>
      <c r="AF527" t="inlineStr">
        <is>
          <t>juanga0420@hotmail.com</t>
        </is>
      </c>
      <c r="AG527" t="inlineStr">
        <is>
          <t>LIMA</t>
        </is>
      </c>
      <c r="AH527" t="inlineStr">
        <is>
          <t>INDEPENDENCIA</t>
        </is>
      </c>
      <c r="AI527" s="116" t="n">
        <v>46137</v>
      </c>
      <c r="AJ527" s="116" t="n">
        <v>46137</v>
      </c>
      <c r="AK527" t="inlineStr">
        <is>
          <t>CUOTA INICIAL</t>
        </is>
      </c>
      <c r="AL527" t="n">
        <v>2</v>
      </c>
      <c r="AM527" t="n">
        <v>21350</v>
      </c>
      <c r="AN527" t="n">
        <v>0</v>
      </c>
      <c r="AO527" t="n">
        <v>0</v>
      </c>
      <c r="AP527" s="39" t="n">
        <v>21350</v>
      </c>
      <c r="AQ527" s="39" t="n">
        <v>21350</v>
      </c>
      <c r="AR527" s="39" t="n">
        <v>0</v>
      </c>
      <c r="AS527" t="n">
        <v>0</v>
      </c>
      <c r="AT527" t="inlineStr">
        <is>
          <t>Crédito Hipotecario</t>
        </is>
      </c>
      <c r="AU527" t="inlineStr">
        <is>
          <t>Scotiabank Perú</t>
        </is>
      </c>
      <c r="AV527" t="inlineStr">
        <is>
          <t>000-2768484</t>
        </is>
      </c>
      <c r="AW527" t="inlineStr">
        <is>
          <t>TRANSFERENCIA BANCARIA</t>
        </is>
      </c>
      <c r="AX527" t="inlineStr">
        <is>
          <t>09518829</t>
        </is>
      </c>
      <c r="AY527" t="inlineStr">
        <is>
          <t>0500010046</t>
        </is>
      </c>
      <c r="AZ527" t="inlineStr">
        <is>
          <t>No</t>
        </is>
      </c>
      <c r="BA527" t="inlineStr">
        <is>
          <t>NO PRECISA</t>
        </is>
      </c>
      <c r="BB527" t="n">
        <v>4</v>
      </c>
      <c r="BC527" t="inlineStr">
        <is>
          <t>CANCELADO</t>
        </is>
      </c>
      <c r="BN527" t="inlineStr">
        <is>
          <t>Si</t>
        </is>
      </c>
      <c r="BO527" s="117" t="n">
        <v>46134.40069444444</v>
      </c>
      <c r="BP527" t="inlineStr">
        <is>
          <t>Kenny Salazar S</t>
        </is>
      </c>
      <c r="BR527" t="n">
        <v>43</v>
      </c>
      <c r="BS527" t="inlineStr">
        <is>
          <t>05/06/2026 08:48</t>
        </is>
      </c>
      <c r="BT527" t="n">
        <v>0</v>
      </c>
      <c r="BX527" t="inlineStr">
        <is>
          <t>Cobranzas_2026.csv</t>
        </is>
      </c>
      <c r="BY527" t="n">
        <v>2026</v>
      </c>
      <c r="BZ527" t="inlineStr">
        <is>
          <t>01/01/2024</t>
        </is>
      </c>
      <c r="CA527" t="inlineStr">
        <is>
          <t>30/09/2031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Departamento</t>
        </is>
      </c>
      <c r="F528" t="inlineStr">
        <is>
          <t>502</t>
        </is>
      </c>
      <c r="G528" s="39" t="n">
        <v>457000</v>
      </c>
      <c r="H528" s="39" t="n">
        <v>457000</v>
      </c>
      <c r="M528" s="39" t="n"/>
      <c r="N528" s="39" t="n"/>
      <c r="S528" s="39" t="n"/>
      <c r="T528" s="39" t="n"/>
      <c r="Y528" s="39" t="n"/>
      <c r="Z528" s="39" t="n"/>
      <c r="AA528" t="inlineStr">
        <is>
          <t>HONOFRE JUAN GONZALES ATAHUALPA</t>
        </is>
      </c>
      <c r="AB528" t="inlineStr">
        <is>
          <t>09518829</t>
        </is>
      </c>
      <c r="AC528" t="inlineStr">
        <is>
          <t xml:space="preserve">Av. 17 de noviembre 229 - 231 </t>
        </is>
      </c>
      <c r="AD528" t="n">
        <v>990889063</v>
      </c>
      <c r="AE528" t="inlineStr">
        <is>
          <t>990889063</t>
        </is>
      </c>
      <c r="AF528" t="inlineStr">
        <is>
          <t>juanga0420@hotmail.com</t>
        </is>
      </c>
      <c r="AG528" t="inlineStr">
        <is>
          <t>LIMA</t>
        </is>
      </c>
      <c r="AH528" t="inlineStr">
        <is>
          <t>INDEPENDENCIA</t>
        </is>
      </c>
      <c r="AI528" s="116" t="n">
        <v>46203</v>
      </c>
      <c r="AJ528" s="116" t="n">
        <v>46171</v>
      </c>
      <c r="AK528" t="inlineStr">
        <is>
          <t>SALDO FINANCIAR</t>
        </is>
      </c>
      <c r="AL528" t="n">
        <v>1</v>
      </c>
      <c r="AM528" t="n">
        <v>411300</v>
      </c>
      <c r="AN528" t="n">
        <v>0</v>
      </c>
      <c r="AO528" t="n">
        <v>0</v>
      </c>
      <c r="AP528" s="39" t="n">
        <v>411300</v>
      </c>
      <c r="AQ528" s="39" t="n">
        <v>411300</v>
      </c>
      <c r="AR528" s="39" t="n">
        <v>0</v>
      </c>
      <c r="AS528" t="n">
        <v>0</v>
      </c>
      <c r="AT528" t="inlineStr">
        <is>
          <t>Crédito Hipotecario</t>
        </is>
      </c>
      <c r="AU528" t="inlineStr">
        <is>
          <t>Scotiabank Perú</t>
        </is>
      </c>
      <c r="AV528" t="inlineStr">
        <is>
          <t>000-2768484</t>
        </is>
      </c>
      <c r="AW528" t="inlineStr">
        <is>
          <t>TRANSFERENCIA BANCARIA</t>
        </is>
      </c>
      <c r="AY528" t="inlineStr">
        <is>
          <t>0270800024</t>
        </is>
      </c>
      <c r="AZ528" t="inlineStr">
        <is>
          <t>No</t>
        </is>
      </c>
      <c r="BB528" t="n">
        <v>4</v>
      </c>
      <c r="BC528" t="inlineStr">
        <is>
          <t>CANCELADO</t>
        </is>
      </c>
      <c r="BN528" t="inlineStr">
        <is>
          <t>Si</t>
        </is>
      </c>
      <c r="BO528" s="117" t="n">
        <v>46134.40069444444</v>
      </c>
      <c r="BP528" t="inlineStr">
        <is>
          <t>Kenny Salazar S</t>
        </is>
      </c>
      <c r="BR528" t="n">
        <v>43</v>
      </c>
      <c r="BS528" t="inlineStr">
        <is>
          <t>07/07/2026 09:38</t>
        </is>
      </c>
      <c r="BT528" t="n">
        <v>0</v>
      </c>
      <c r="BX528" t="inlineStr">
        <is>
          <t>Cobranzas_2026.csv</t>
        </is>
      </c>
      <c r="BY528" t="n">
        <v>2026</v>
      </c>
      <c r="BZ528" t="inlineStr">
        <is>
          <t>01/01/2024</t>
        </is>
      </c>
      <c r="CA528" t="inlineStr">
        <is>
          <t>30/09/2031</t>
        </is>
      </c>
    </row>
    <row r="529">
      <c r="A529" t="inlineStr">
        <is>
          <t>RESIDENCIAL VENECIA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Departamento</t>
        </is>
      </c>
      <c r="F529" t="inlineStr">
        <is>
          <t>701</t>
        </is>
      </c>
      <c r="G529" s="39" t="n">
        <v>561000</v>
      </c>
      <c r="H529" s="39" t="n">
        <v>561000</v>
      </c>
      <c r="M529" s="39" t="n"/>
      <c r="N529" s="39" t="n"/>
      <c r="S529" s="39" t="n"/>
      <c r="T529" s="39" t="n"/>
      <c r="Y529" s="39" t="n"/>
      <c r="Z529" s="39" t="n"/>
      <c r="AA529" t="inlineStr">
        <is>
          <t>Irma Paulina Palomino Huaman</t>
        </is>
      </c>
      <c r="AB529" t="inlineStr">
        <is>
          <t>76840101</t>
        </is>
      </c>
      <c r="AC529" t="inlineStr">
        <is>
          <t>Jr. Manco Segundo 2202 Dpto. 102</t>
        </is>
      </c>
      <c r="AD529" t="n">
        <v>0</v>
      </c>
      <c r="AE529" t="inlineStr">
        <is>
          <t>939315617</t>
        </is>
      </c>
      <c r="AF529" t="inlineStr">
        <is>
          <t>paulinapalomino8@gmail.com</t>
        </is>
      </c>
      <c r="AG529" t="inlineStr">
        <is>
          <t>LIMA</t>
        </is>
      </c>
      <c r="AH529" t="inlineStr">
        <is>
          <t>LINCE</t>
        </is>
      </c>
      <c r="AI529" s="116" t="n">
        <v>46039</v>
      </c>
      <c r="AJ529" s="116" t="n">
        <v>46039</v>
      </c>
      <c r="AK529" t="inlineStr">
        <is>
          <t>SEPARACION</t>
        </is>
      </c>
      <c r="AL529" t="n">
        <v>1</v>
      </c>
      <c r="AM529" t="n">
        <v>3000</v>
      </c>
      <c r="AN529" t="n">
        <v>0</v>
      </c>
      <c r="AO529" t="n">
        <v>0</v>
      </c>
      <c r="AP529" s="39" t="n">
        <v>3000</v>
      </c>
      <c r="AQ529" s="39" t="n">
        <v>3000</v>
      </c>
      <c r="AR529" s="39" t="n">
        <v>0</v>
      </c>
      <c r="AS529" t="n">
        <v>0</v>
      </c>
      <c r="AT529" t="inlineStr">
        <is>
          <t>Ahorro</t>
        </is>
      </c>
      <c r="AU529" t="inlineStr">
        <is>
          <t>Scotiabank Perú</t>
        </is>
      </c>
      <c r="AV529" t="inlineStr">
        <is>
          <t>0004071419</t>
        </is>
      </c>
      <c r="AW529" t="inlineStr">
        <is>
          <t>TRANSFERENCIA BANCARIA</t>
        </is>
      </c>
      <c r="AY529" t="inlineStr">
        <is>
          <t>04546375</t>
        </is>
      </c>
      <c r="AZ529" t="inlineStr">
        <is>
          <t>No</t>
        </is>
      </c>
      <c r="BB529" t="n">
        <v>4</v>
      </c>
      <c r="BC529" t="inlineStr">
        <is>
          <t>CANCELADO</t>
        </is>
      </c>
      <c r="BN529" t="inlineStr">
        <is>
          <t>Si</t>
        </is>
      </c>
      <c r="BO529" s="117" t="n">
        <v>46178.34861111111</v>
      </c>
      <c r="BP529" t="inlineStr">
        <is>
          <t>Magaly Guevara Perez</t>
        </is>
      </c>
      <c r="BR529" t="n">
        <v>13</v>
      </c>
      <c r="BS529" t="inlineStr">
        <is>
          <t>24/05/2026 20:56</t>
        </is>
      </c>
      <c r="BT529" t="n">
        <v>0</v>
      </c>
      <c r="BX529" t="inlineStr">
        <is>
          <t>Cobranzas_2026.csv</t>
        </is>
      </c>
      <c r="BY529" t="n">
        <v>2026</v>
      </c>
      <c r="BZ529" t="inlineStr">
        <is>
          <t>01/01/2024</t>
        </is>
      </c>
      <c r="CA529" t="inlineStr">
        <is>
          <t>30/09/2031</t>
        </is>
      </c>
    </row>
    <row r="530">
      <c r="A530" t="inlineStr">
        <is>
          <t>RESIDENCIAL VENECIA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Departamento</t>
        </is>
      </c>
      <c r="F530" t="inlineStr">
        <is>
          <t>701</t>
        </is>
      </c>
      <c r="G530" s="39" t="n">
        <v>561000</v>
      </c>
      <c r="H530" s="39" t="n">
        <v>561000</v>
      </c>
      <c r="M530" s="39" t="n"/>
      <c r="N530" s="39" t="n"/>
      <c r="S530" s="39" t="n"/>
      <c r="T530" s="39" t="n"/>
      <c r="Y530" s="39" t="n"/>
      <c r="Z530" s="39" t="n"/>
      <c r="AA530" t="inlineStr">
        <is>
          <t>Irma Paulina Palomino Huaman</t>
        </is>
      </c>
      <c r="AB530" t="inlineStr">
        <is>
          <t>76840101</t>
        </is>
      </c>
      <c r="AC530" t="inlineStr">
        <is>
          <t>Jr. Manco Segundo 2202 Dpto. 102</t>
        </is>
      </c>
      <c r="AD530" t="n">
        <v>0</v>
      </c>
      <c r="AE530" t="inlineStr">
        <is>
          <t>939315617</t>
        </is>
      </c>
      <c r="AF530" t="inlineStr">
        <is>
          <t>paulinapalomino8@gmail.com</t>
        </is>
      </c>
      <c r="AG530" t="inlineStr">
        <is>
          <t>LIMA</t>
        </is>
      </c>
      <c r="AH530" t="inlineStr">
        <is>
          <t>LINCE</t>
        </is>
      </c>
      <c r="AI530" s="116" t="n">
        <v>46051</v>
      </c>
      <c r="AJ530" s="116" t="n">
        <v>46051</v>
      </c>
      <c r="AK530" t="inlineStr">
        <is>
          <t>CUOTA INICIAL</t>
        </is>
      </c>
      <c r="AL530" t="n">
        <v>1</v>
      </c>
      <c r="AM530" t="n">
        <v>18900</v>
      </c>
      <c r="AN530" t="n">
        <v>0</v>
      </c>
      <c r="AO530" t="n">
        <v>0</v>
      </c>
      <c r="AP530" s="39" t="n">
        <v>18900</v>
      </c>
      <c r="AQ530" s="39" t="n">
        <v>18900</v>
      </c>
      <c r="AR530" s="39" t="n">
        <v>0</v>
      </c>
      <c r="AS530" t="n">
        <v>0</v>
      </c>
      <c r="AT530" t="inlineStr">
        <is>
          <t>Ahorro</t>
        </is>
      </c>
      <c r="AU530" t="inlineStr">
        <is>
          <t>Scotiabank Perú</t>
        </is>
      </c>
      <c r="AV530" t="inlineStr">
        <is>
          <t>0004071419</t>
        </is>
      </c>
      <c r="AW530" t="inlineStr">
        <is>
          <t>TRANSFERENCIA BANCARIA</t>
        </is>
      </c>
      <c r="AY530" t="inlineStr">
        <is>
          <t>04640462</t>
        </is>
      </c>
      <c r="AZ530" t="inlineStr">
        <is>
          <t>No</t>
        </is>
      </c>
      <c r="BB530" t="n">
        <v>4</v>
      </c>
      <c r="BC530" t="inlineStr">
        <is>
          <t>CANCELADO</t>
        </is>
      </c>
      <c r="BN530" t="inlineStr">
        <is>
          <t>Si</t>
        </is>
      </c>
      <c r="BO530" s="117" t="n">
        <v>46178.34861111111</v>
      </c>
      <c r="BP530" t="inlineStr">
        <is>
          <t>Magaly Guevara Perez</t>
        </is>
      </c>
      <c r="BR530" t="n">
        <v>13</v>
      </c>
      <c r="BS530" t="inlineStr">
        <is>
          <t>24/05/2026 20:58</t>
        </is>
      </c>
      <c r="BT530" t="n">
        <v>0</v>
      </c>
      <c r="BX530" t="inlineStr">
        <is>
          <t>Cobranzas_2026.csv</t>
        </is>
      </c>
      <c r="BY530" t="n">
        <v>2026</v>
      </c>
      <c r="BZ530" t="inlineStr">
        <is>
          <t>01/01/2024</t>
        </is>
      </c>
      <c r="CA530" t="inlineStr">
        <is>
          <t>30/09/2031</t>
        </is>
      </c>
    </row>
    <row r="531">
      <c r="A531" t="inlineStr">
        <is>
          <t>RESIDENCIAL VENECIA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Departamento</t>
        </is>
      </c>
      <c r="F531" t="inlineStr">
        <is>
          <t>701</t>
        </is>
      </c>
      <c r="G531" s="39" t="n">
        <v>561000</v>
      </c>
      <c r="H531" s="39" t="n">
        <v>561000</v>
      </c>
      <c r="M531" s="39" t="n"/>
      <c r="N531" s="39" t="n"/>
      <c r="S531" s="39" t="n"/>
      <c r="T531" s="39" t="n"/>
      <c r="Y531" s="39" t="n"/>
      <c r="Z531" s="39" t="n"/>
      <c r="AA531" t="inlineStr">
        <is>
          <t>Irma Paulina Palomino Huaman</t>
        </is>
      </c>
      <c r="AB531" t="inlineStr">
        <is>
          <t>76840101</t>
        </is>
      </c>
      <c r="AC531" t="inlineStr">
        <is>
          <t>Jr. Manco Segundo 2202 Dpto. 102</t>
        </is>
      </c>
      <c r="AD531" t="n">
        <v>0</v>
      </c>
      <c r="AE531" t="inlineStr">
        <is>
          <t>939315617</t>
        </is>
      </c>
      <c r="AF531" t="inlineStr">
        <is>
          <t>paulinapalomino8@gmail.com</t>
        </is>
      </c>
      <c r="AG531" t="inlineStr">
        <is>
          <t>LIMA</t>
        </is>
      </c>
      <c r="AH531" t="inlineStr">
        <is>
          <t>LINCE</t>
        </is>
      </c>
      <c r="AI531" s="116" t="n">
        <v>46234</v>
      </c>
      <c r="AJ531" s="116" t="n"/>
      <c r="AK531" t="inlineStr">
        <is>
          <t>AHORRO CASA</t>
        </is>
      </c>
      <c r="AL531" t="n">
        <v>2</v>
      </c>
      <c r="AM531" t="n">
        <v>34200</v>
      </c>
      <c r="AN531" t="n">
        <v>0</v>
      </c>
      <c r="AO531" t="n">
        <v>0</v>
      </c>
      <c r="AP531" s="39" t="n">
        <v>34200</v>
      </c>
      <c r="AQ531" s="39" t="n">
        <v>0</v>
      </c>
      <c r="AR531" s="39" t="n">
        <v>34200</v>
      </c>
      <c r="AT531" t="inlineStr">
        <is>
          <t>Ahorro</t>
        </is>
      </c>
      <c r="AZ531" t="inlineStr">
        <is>
          <t>No</t>
        </is>
      </c>
      <c r="BC531" t="inlineStr">
        <is>
          <t>VENCIDO</t>
        </is>
      </c>
      <c r="BN531" t="inlineStr">
        <is>
          <t>No</t>
        </is>
      </c>
      <c r="BO531" s="117" t="n">
        <v>46178.34861111111</v>
      </c>
      <c r="BP531" t="inlineStr">
        <is>
          <t>Magaly Guevara Perez</t>
        </is>
      </c>
      <c r="BR531" t="n">
        <v>13</v>
      </c>
      <c r="BT531" t="n">
        <v>0</v>
      </c>
      <c r="BX531" t="inlineStr">
        <is>
          <t>Cobranzas_2026.csv</t>
        </is>
      </c>
      <c r="BY531" t="n">
        <v>2026</v>
      </c>
      <c r="BZ531" t="inlineStr">
        <is>
          <t>01/01/2024</t>
        </is>
      </c>
      <c r="CA531" t="inlineStr">
        <is>
          <t>30/09/2031</t>
        </is>
      </c>
    </row>
    <row r="532">
      <c r="A532" t="inlineStr">
        <is>
          <t>RESIDENCIAL VENECIA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Departamento</t>
        </is>
      </c>
      <c r="F532" t="inlineStr">
        <is>
          <t>701</t>
        </is>
      </c>
      <c r="G532" s="39" t="n">
        <v>561000</v>
      </c>
      <c r="H532" s="39" t="n">
        <v>561000</v>
      </c>
      <c r="M532" s="39" t="n"/>
      <c r="N532" s="39" t="n"/>
      <c r="S532" s="39" t="n"/>
      <c r="T532" s="39" t="n"/>
      <c r="Y532" s="39" t="n"/>
      <c r="Z532" s="39" t="n"/>
      <c r="AA532" t="inlineStr">
        <is>
          <t>Irma Paulina Palomino Huaman</t>
        </is>
      </c>
      <c r="AB532" t="inlineStr">
        <is>
          <t>76840101</t>
        </is>
      </c>
      <c r="AC532" t="inlineStr">
        <is>
          <t>Jr. Manco Segundo 2202 Dpto. 102</t>
        </is>
      </c>
      <c r="AD532" t="n">
        <v>0</v>
      </c>
      <c r="AE532" t="inlineStr">
        <is>
          <t>939315617</t>
        </is>
      </c>
      <c r="AF532" t="inlineStr">
        <is>
          <t>paulinapalomino8@gmail.com</t>
        </is>
      </c>
      <c r="AG532" t="inlineStr">
        <is>
          <t>LIMA</t>
        </is>
      </c>
      <c r="AH532" t="inlineStr">
        <is>
          <t>LINCE</t>
        </is>
      </c>
      <c r="AI532" s="116" t="n">
        <v>46295</v>
      </c>
      <c r="AJ532" s="116" t="n"/>
      <c r="AK532" t="inlineStr">
        <is>
          <t>SALDO FINANCIAR</t>
        </is>
      </c>
      <c r="AL532" t="n">
        <v>1</v>
      </c>
      <c r="AM532" t="n">
        <v>504900</v>
      </c>
      <c r="AN532" t="n">
        <v>0</v>
      </c>
      <c r="AO532" t="n">
        <v>0</v>
      </c>
      <c r="AP532" s="39" t="n">
        <v>504900</v>
      </c>
      <c r="AQ532" s="39" t="n">
        <v>0</v>
      </c>
      <c r="AR532" s="39" t="n">
        <v>504900</v>
      </c>
      <c r="AT532" t="inlineStr">
        <is>
          <t>Ahorro</t>
        </is>
      </c>
      <c r="AZ532" t="inlineStr">
        <is>
          <t>No</t>
        </is>
      </c>
      <c r="BC532" t="inlineStr">
        <is>
          <t>VENCIDO</t>
        </is>
      </c>
      <c r="BN532" t="inlineStr">
        <is>
          <t>No</t>
        </is>
      </c>
      <c r="BO532" s="117" t="n">
        <v>46178.34861111111</v>
      </c>
      <c r="BP532" t="inlineStr">
        <is>
          <t>Magaly Guevara Perez</t>
        </is>
      </c>
      <c r="BR532" t="n">
        <v>13</v>
      </c>
      <c r="BT532" t="n">
        <v>0</v>
      </c>
      <c r="BX532" t="inlineStr">
        <is>
          <t>Cobranzas_2026.csv</t>
        </is>
      </c>
      <c r="BY532" t="n">
        <v>2026</v>
      </c>
      <c r="BZ532" t="inlineStr">
        <is>
          <t>01/01/2024</t>
        </is>
      </c>
      <c r="CA532" t="inlineStr">
        <is>
          <t>30/09/2031</t>
        </is>
      </c>
    </row>
    <row r="533">
      <c r="A533" t="inlineStr">
        <is>
          <t>RESIDENCIAL VENECIA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805</t>
        </is>
      </c>
      <c r="G533" s="39" t="n">
        <v>442000</v>
      </c>
      <c r="H533" s="39" t="n">
        <v>415000</v>
      </c>
      <c r="M533" s="39" t="n"/>
      <c r="N533" s="39" t="n"/>
      <c r="S533" s="39" t="n"/>
      <c r="T533" s="39" t="n"/>
      <c r="Y533" s="39" t="n"/>
      <c r="Z533" s="39" t="n"/>
      <c r="AA533" t="inlineStr">
        <is>
          <t>Isabel Cristina Franco Zegarra</t>
        </is>
      </c>
      <c r="AB533" t="inlineStr">
        <is>
          <t>09884970</t>
        </is>
      </c>
      <c r="AC533" t="inlineStr">
        <is>
          <t>Coop Union Mz D Lt 5</t>
        </is>
      </c>
      <c r="AD533" t="n">
        <v>959158450</v>
      </c>
      <c r="AE533" t="inlineStr">
        <is>
          <t>959158450</t>
        </is>
      </c>
      <c r="AF533" t="inlineStr">
        <is>
          <t>959158450@gmail.com</t>
        </is>
      </c>
      <c r="AG533" t="inlineStr">
        <is>
          <t>LIMA</t>
        </is>
      </c>
      <c r="AH533" t="inlineStr">
        <is>
          <t>SAN MARTIN DE PORRES</t>
        </is>
      </c>
      <c r="AI533" s="116" t="n">
        <v>46159</v>
      </c>
      <c r="AJ533" s="116" t="n">
        <v>46159</v>
      </c>
      <c r="AK533" t="inlineStr">
        <is>
          <t>SEPARACION</t>
        </is>
      </c>
      <c r="AL533" t="n">
        <v>1</v>
      </c>
      <c r="AM533" t="n">
        <v>3000</v>
      </c>
      <c r="AN533" t="n">
        <v>0</v>
      </c>
      <c r="AO533" t="n">
        <v>0</v>
      </c>
      <c r="AP533" s="39" t="n">
        <v>3000</v>
      </c>
      <c r="AQ533" s="39" t="n">
        <v>3000</v>
      </c>
      <c r="AR533" s="39" t="n">
        <v>0</v>
      </c>
      <c r="AS533" t="n">
        <v>0</v>
      </c>
      <c r="AT533" t="inlineStr">
        <is>
          <t>Crédito Hipotecario</t>
        </is>
      </c>
      <c r="AU533" t="inlineStr">
        <is>
          <t>Scotiabank Perú</t>
        </is>
      </c>
      <c r="AV533" t="inlineStr">
        <is>
          <t>0004071419</t>
        </is>
      </c>
      <c r="AW533" t="inlineStr">
        <is>
          <t>POS VISA</t>
        </is>
      </c>
      <c r="AY533" t="inlineStr">
        <is>
          <t>0038</t>
        </is>
      </c>
      <c r="AZ533" t="inlineStr">
        <is>
          <t>Si</t>
        </is>
      </c>
      <c r="BB533" t="n">
        <v>4</v>
      </c>
      <c r="BC533" t="inlineStr">
        <is>
          <t>CANCELADO</t>
        </is>
      </c>
      <c r="BN533" t="inlineStr">
        <is>
          <t>Si</t>
        </is>
      </c>
      <c r="BO533" s="117" t="n">
        <v>46168.40138888889</v>
      </c>
      <c r="BP533" t="inlineStr">
        <is>
          <t>Josue andres Perez Chamorro</t>
        </is>
      </c>
      <c r="BR533" t="n">
        <v>16</v>
      </c>
      <c r="BS533" t="inlineStr">
        <is>
          <t>17/05/2026 17:56</t>
        </is>
      </c>
      <c r="BT533" t="n">
        <v>0</v>
      </c>
      <c r="BX533" t="inlineStr">
        <is>
          <t>Cobranzas_2026.csv</t>
        </is>
      </c>
      <c r="BY533" t="n">
        <v>2026</v>
      </c>
      <c r="BZ533" t="inlineStr">
        <is>
          <t>01/01/2024</t>
        </is>
      </c>
      <c r="CA533" t="inlineStr">
        <is>
          <t>30/09/2031</t>
        </is>
      </c>
    </row>
    <row r="534">
      <c r="A534" t="inlineStr">
        <is>
          <t>RESIDENCIAL VENECIA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805</t>
        </is>
      </c>
      <c r="G534" s="39" t="n">
        <v>442000</v>
      </c>
      <c r="H534" s="39" t="n">
        <v>415000</v>
      </c>
      <c r="M534" s="39" t="n"/>
      <c r="N534" s="39" t="n"/>
      <c r="S534" s="39" t="n"/>
      <c r="T534" s="39" t="n"/>
      <c r="Y534" s="39" t="n"/>
      <c r="Z534" s="39" t="n"/>
      <c r="AA534" t="inlineStr">
        <is>
          <t>Isabel Cristina Franco Zegarra</t>
        </is>
      </c>
      <c r="AB534" t="inlineStr">
        <is>
          <t>09884970</t>
        </is>
      </c>
      <c r="AC534" t="inlineStr">
        <is>
          <t>Coop Union Mz D Lt 5</t>
        </is>
      </c>
      <c r="AD534" t="n">
        <v>959158450</v>
      </c>
      <c r="AE534" t="inlineStr">
        <is>
          <t>959158450</t>
        </is>
      </c>
      <c r="AF534" t="inlineStr">
        <is>
          <t>959158450@gmail.com</t>
        </is>
      </c>
      <c r="AG534" t="inlineStr">
        <is>
          <t>LIMA</t>
        </is>
      </c>
      <c r="AH534" t="inlineStr">
        <is>
          <t>SAN MARTIN DE PORRES</t>
        </is>
      </c>
      <c r="AI534" s="116" t="n">
        <v>46171</v>
      </c>
      <c r="AJ534" s="116" t="n">
        <v>46168</v>
      </c>
      <c r="AK534" t="inlineStr">
        <is>
          <t>CUOTA INICIAL</t>
        </is>
      </c>
      <c r="AL534" t="n">
        <v>1</v>
      </c>
      <c r="AM534" t="n">
        <v>30000</v>
      </c>
      <c r="AN534" t="n">
        <v>0</v>
      </c>
      <c r="AO534" t="n">
        <v>0</v>
      </c>
      <c r="AP534" s="39" t="n">
        <v>30000</v>
      </c>
      <c r="AQ534" s="39" t="n">
        <v>30000</v>
      </c>
      <c r="AR534" s="39" t="n">
        <v>0</v>
      </c>
      <c r="AS534" t="n">
        <v>0</v>
      </c>
      <c r="AT534" t="inlineStr">
        <is>
          <t>Crédito Hipotecario</t>
        </is>
      </c>
      <c r="AU534" t="inlineStr">
        <is>
          <t>Scotiabank Perú</t>
        </is>
      </c>
      <c r="AV534" t="inlineStr">
        <is>
          <t>0004071419</t>
        </is>
      </c>
      <c r="AW534" t="inlineStr">
        <is>
          <t>TRANSFERENCIA BANCARIA</t>
        </is>
      </c>
      <c r="AY534" t="inlineStr">
        <is>
          <t>109884970</t>
        </is>
      </c>
      <c r="AZ534" t="inlineStr">
        <is>
          <t>Si</t>
        </is>
      </c>
      <c r="BB534" t="n">
        <v>4</v>
      </c>
      <c r="BC534" t="inlineStr">
        <is>
          <t>CANCELADO</t>
        </is>
      </c>
      <c r="BN534" t="inlineStr">
        <is>
          <t>Si</t>
        </is>
      </c>
      <c r="BO534" s="117" t="n">
        <v>46168.40138888889</v>
      </c>
      <c r="BP534" t="inlineStr">
        <is>
          <t>Josue andres Perez Chamorro</t>
        </is>
      </c>
      <c r="BR534" t="n">
        <v>16</v>
      </c>
      <c r="BS534" t="inlineStr">
        <is>
          <t>23/06/2026 10:59</t>
        </is>
      </c>
      <c r="BT534" t="n">
        <v>0</v>
      </c>
      <c r="BX534" t="inlineStr">
        <is>
          <t>Cobranzas_2026.csv</t>
        </is>
      </c>
      <c r="BY534" t="n">
        <v>2026</v>
      </c>
      <c r="BZ534" t="inlineStr">
        <is>
          <t>01/01/2024</t>
        </is>
      </c>
      <c r="CA534" t="inlineStr">
        <is>
          <t>30/09/2031</t>
        </is>
      </c>
    </row>
    <row r="535">
      <c r="A535" t="inlineStr">
        <is>
          <t>RESIDENCIAL VENECIA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805</t>
        </is>
      </c>
      <c r="G535" s="39" t="n">
        <v>442000</v>
      </c>
      <c r="H535" s="39" t="n">
        <v>415000</v>
      </c>
      <c r="M535" s="39" t="n"/>
      <c r="N535" s="39" t="n"/>
      <c r="S535" s="39" t="n"/>
      <c r="T535" s="39" t="n"/>
      <c r="Y535" s="39" t="n"/>
      <c r="Z535" s="39" t="n"/>
      <c r="AA535" t="inlineStr">
        <is>
          <t>Isabel Cristina Franco Zegarra</t>
        </is>
      </c>
      <c r="AB535" t="inlineStr">
        <is>
          <t>09884970</t>
        </is>
      </c>
      <c r="AC535" t="inlineStr">
        <is>
          <t>Coop Union Mz D Lt 5</t>
        </is>
      </c>
      <c r="AD535" t="n">
        <v>959158450</v>
      </c>
      <c r="AE535" t="inlineStr">
        <is>
          <t>959158450</t>
        </is>
      </c>
      <c r="AF535" t="inlineStr">
        <is>
          <t>959158450@gmail.com</t>
        </is>
      </c>
      <c r="AG535" t="inlineStr">
        <is>
          <t>LIMA</t>
        </is>
      </c>
      <c r="AH535" t="inlineStr">
        <is>
          <t>SAN MARTIN DE PORRES</t>
        </is>
      </c>
      <c r="AI535" s="116" t="n">
        <v>46171</v>
      </c>
      <c r="AJ535" s="116" t="n">
        <v>46168</v>
      </c>
      <c r="AK535" t="inlineStr">
        <is>
          <t>CUOTA INICIAL</t>
        </is>
      </c>
      <c r="AL535" t="n">
        <v>2</v>
      </c>
      <c r="AM535" t="n">
        <v>30000</v>
      </c>
      <c r="AN535" t="n">
        <v>0</v>
      </c>
      <c r="AO535" t="n">
        <v>0</v>
      </c>
      <c r="AP535" s="39" t="n">
        <v>30000</v>
      </c>
      <c r="AQ535" s="39" t="n">
        <v>30000</v>
      </c>
      <c r="AR535" s="39" t="n">
        <v>0</v>
      </c>
      <c r="AS535" t="n">
        <v>0</v>
      </c>
      <c r="AT535" t="inlineStr">
        <is>
          <t>Crédito Hipotecario</t>
        </is>
      </c>
      <c r="AU535" t="inlineStr">
        <is>
          <t>Scotiabank Perú</t>
        </is>
      </c>
      <c r="AV535" t="inlineStr">
        <is>
          <t>0004071419</t>
        </is>
      </c>
      <c r="AW535" t="inlineStr">
        <is>
          <t>TRANSFERENCIA BANCARIA</t>
        </is>
      </c>
      <c r="AY535" t="inlineStr">
        <is>
          <t>109884870</t>
        </is>
      </c>
      <c r="AZ535" t="inlineStr">
        <is>
          <t>Si</t>
        </is>
      </c>
      <c r="BA535" t="inlineStr">
        <is>
          <t>AHORROS PERSONALES</t>
        </is>
      </c>
      <c r="BB535" t="n">
        <v>4</v>
      </c>
      <c r="BC535" t="inlineStr">
        <is>
          <t>CANCELADO</t>
        </is>
      </c>
      <c r="BN535" t="inlineStr">
        <is>
          <t>Si</t>
        </is>
      </c>
      <c r="BO535" s="117" t="n">
        <v>46168.40138888889</v>
      </c>
      <c r="BP535" t="inlineStr">
        <is>
          <t>Josue andres Perez Chamorro</t>
        </is>
      </c>
      <c r="BR535" t="n">
        <v>16</v>
      </c>
      <c r="BS535" t="inlineStr">
        <is>
          <t>23/06/2026 11:00</t>
        </is>
      </c>
      <c r="BT535" t="n">
        <v>0</v>
      </c>
      <c r="BX535" t="inlineStr">
        <is>
          <t>Cobranzas_2026.csv</t>
        </is>
      </c>
      <c r="BY535" t="n">
        <v>2026</v>
      </c>
      <c r="BZ535" t="inlineStr">
        <is>
          <t>01/01/2024</t>
        </is>
      </c>
      <c r="CA535" t="inlineStr">
        <is>
          <t>30/09/2031</t>
        </is>
      </c>
    </row>
    <row r="536">
      <c r="A536" t="inlineStr">
        <is>
          <t>RESIDENCIAL VENECIA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805</t>
        </is>
      </c>
      <c r="G536" s="39" t="n">
        <v>442000</v>
      </c>
      <c r="H536" s="39" t="n">
        <v>415000</v>
      </c>
      <c r="M536" s="39" t="n"/>
      <c r="N536" s="39" t="n"/>
      <c r="S536" s="39" t="n"/>
      <c r="T536" s="39" t="n"/>
      <c r="Y536" s="39" t="n"/>
      <c r="Z536" s="39" t="n"/>
      <c r="AA536" t="inlineStr">
        <is>
          <t>Isabel Cristina Franco Zegarra</t>
        </is>
      </c>
      <c r="AB536" t="inlineStr">
        <is>
          <t>09884970</t>
        </is>
      </c>
      <c r="AC536" t="inlineStr">
        <is>
          <t>Coop Union Mz D Lt 5</t>
        </is>
      </c>
      <c r="AD536" t="n">
        <v>959158450</v>
      </c>
      <c r="AE536" t="inlineStr">
        <is>
          <t>959158450</t>
        </is>
      </c>
      <c r="AF536" t="inlineStr">
        <is>
          <t>959158450@gmail.com</t>
        </is>
      </c>
      <c r="AG536" t="inlineStr">
        <is>
          <t>LIMA</t>
        </is>
      </c>
      <c r="AH536" t="inlineStr">
        <is>
          <t>SAN MARTIN DE PORRES</t>
        </is>
      </c>
      <c r="AI536" s="116" t="n">
        <v>46171</v>
      </c>
      <c r="AJ536" s="116" t="n">
        <v>46168</v>
      </c>
      <c r="AK536" t="inlineStr">
        <is>
          <t>CUOTA INICIAL</t>
        </is>
      </c>
      <c r="AL536" t="n">
        <v>3</v>
      </c>
      <c r="AM536" t="n">
        <v>20000</v>
      </c>
      <c r="AN536" t="n">
        <v>0</v>
      </c>
      <c r="AO536" t="n">
        <v>0</v>
      </c>
      <c r="AP536" s="39" t="n">
        <v>20000</v>
      </c>
      <c r="AQ536" s="39" t="n">
        <v>20000</v>
      </c>
      <c r="AR536" s="39" t="n">
        <v>0</v>
      </c>
      <c r="AS536" t="n">
        <v>0</v>
      </c>
      <c r="AT536" t="inlineStr">
        <is>
          <t>Crédito Hipotecario</t>
        </is>
      </c>
      <c r="AU536" t="inlineStr">
        <is>
          <t>Scotiabank Perú</t>
        </is>
      </c>
      <c r="AV536" t="inlineStr">
        <is>
          <t>0004071419</t>
        </is>
      </c>
      <c r="AW536" t="inlineStr">
        <is>
          <t>TRANSFERENCIA BANCARIA</t>
        </is>
      </c>
      <c r="AY536" t="inlineStr">
        <is>
          <t>109884970</t>
        </is>
      </c>
      <c r="AZ536" t="inlineStr">
        <is>
          <t>Si</t>
        </is>
      </c>
      <c r="BB536" t="n">
        <v>4</v>
      </c>
      <c r="BC536" t="inlineStr">
        <is>
          <t>CANCELADO</t>
        </is>
      </c>
      <c r="BN536" t="inlineStr">
        <is>
          <t>Si</t>
        </is>
      </c>
      <c r="BO536" s="117" t="n">
        <v>46168.40138888889</v>
      </c>
      <c r="BP536" t="inlineStr">
        <is>
          <t>Josue andres Perez Chamorro</t>
        </is>
      </c>
      <c r="BR536" t="n">
        <v>16</v>
      </c>
      <c r="BS536" t="inlineStr">
        <is>
          <t>23/06/2026 11:01</t>
        </is>
      </c>
      <c r="BT536" t="n">
        <v>0</v>
      </c>
      <c r="BX536" t="inlineStr">
        <is>
          <t>Cobranzas_2026.csv</t>
        </is>
      </c>
      <c r="BY536" t="n">
        <v>2026</v>
      </c>
      <c r="BZ536" t="inlineStr">
        <is>
          <t>01/01/2024</t>
        </is>
      </c>
      <c r="CA536" t="inlineStr">
        <is>
          <t>30/09/2031</t>
        </is>
      </c>
    </row>
    <row r="537">
      <c r="A537" t="inlineStr">
        <is>
          <t>RESIDENCIAL VENECIA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805</t>
        </is>
      </c>
      <c r="G537" s="39" t="n">
        <v>442000</v>
      </c>
      <c r="H537" s="39" t="n">
        <v>415000</v>
      </c>
      <c r="M537" s="39" t="n"/>
      <c r="N537" s="39" t="n"/>
      <c r="S537" s="39" t="n"/>
      <c r="T537" s="39" t="n"/>
      <c r="Y537" s="39" t="n"/>
      <c r="Z537" s="39" t="n"/>
      <c r="AA537" t="inlineStr">
        <is>
          <t>Isabel Cristina Franco Zegarra</t>
        </is>
      </c>
      <c r="AB537" t="inlineStr">
        <is>
          <t>09884970</t>
        </is>
      </c>
      <c r="AC537" t="inlineStr">
        <is>
          <t>Coop Union Mz D Lt 5</t>
        </is>
      </c>
      <c r="AD537" t="n">
        <v>959158450</v>
      </c>
      <c r="AE537" t="inlineStr">
        <is>
          <t>959158450</t>
        </is>
      </c>
      <c r="AF537" t="inlineStr">
        <is>
          <t>959158450@gmail.com</t>
        </is>
      </c>
      <c r="AG537" t="inlineStr">
        <is>
          <t>LIMA</t>
        </is>
      </c>
      <c r="AH537" t="inlineStr">
        <is>
          <t>SAN MARTIN DE PORRES</t>
        </is>
      </c>
      <c r="AI537" s="116" t="n">
        <v>46199</v>
      </c>
      <c r="AJ537" s="116" t="n">
        <v>46195</v>
      </c>
      <c r="AK537" t="inlineStr">
        <is>
          <t>CUOTA INICIAL</t>
        </is>
      </c>
      <c r="AL537" t="n">
        <v>4</v>
      </c>
      <c r="AM537" t="n">
        <v>24000</v>
      </c>
      <c r="AN537" t="n">
        <v>0</v>
      </c>
      <c r="AO537" t="n">
        <v>0</v>
      </c>
      <c r="AP537" s="39" t="n">
        <v>24000</v>
      </c>
      <c r="AQ537" s="39" t="n">
        <v>24000</v>
      </c>
      <c r="AR537" s="39" t="n">
        <v>0</v>
      </c>
      <c r="AS537" t="n">
        <v>0</v>
      </c>
      <c r="AT537" t="inlineStr">
        <is>
          <t>Crédito Hipotecario</t>
        </is>
      </c>
      <c r="AU537" t="inlineStr">
        <is>
          <t>Scotiabank Perú</t>
        </is>
      </c>
      <c r="AV537" t="inlineStr">
        <is>
          <t>0004071419</t>
        </is>
      </c>
      <c r="AW537" t="inlineStr">
        <is>
          <t>TRANSFERENCIA BANCARIA</t>
        </is>
      </c>
      <c r="AY537" t="inlineStr">
        <is>
          <t>U100717</t>
        </is>
      </c>
      <c r="AZ537" t="inlineStr">
        <is>
          <t>Si</t>
        </is>
      </c>
      <c r="BB537" t="n">
        <v>4</v>
      </c>
      <c r="BC537" t="inlineStr">
        <is>
          <t>CANCELADO</t>
        </is>
      </c>
      <c r="BN537" t="inlineStr">
        <is>
          <t>Si</t>
        </is>
      </c>
      <c r="BO537" s="117" t="n">
        <v>46168.40138888889</v>
      </c>
      <c r="BP537" t="inlineStr">
        <is>
          <t>Josue andres Perez Chamorro</t>
        </is>
      </c>
      <c r="BR537" t="n">
        <v>16</v>
      </c>
      <c r="BS537" t="inlineStr">
        <is>
          <t>23/06/2026 11:02</t>
        </is>
      </c>
      <c r="BT537" t="n">
        <v>0</v>
      </c>
      <c r="BX537" t="inlineStr">
        <is>
          <t>Cobranzas_2026.csv</t>
        </is>
      </c>
      <c r="BY537" t="n">
        <v>2026</v>
      </c>
      <c r="BZ537" t="inlineStr">
        <is>
          <t>01/01/2024</t>
        </is>
      </c>
      <c r="CA537" t="inlineStr">
        <is>
          <t>30/09/2031</t>
        </is>
      </c>
    </row>
    <row r="538">
      <c r="A538" t="inlineStr">
        <is>
          <t>RESIDENCIAL VENECIA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805</t>
        </is>
      </c>
      <c r="G538" s="39" t="n">
        <v>442000</v>
      </c>
      <c r="H538" s="39" t="n">
        <v>415000</v>
      </c>
      <c r="M538" s="39" t="n"/>
      <c r="N538" s="39" t="n"/>
      <c r="S538" s="39" t="n"/>
      <c r="T538" s="39" t="n"/>
      <c r="Y538" s="39" t="n"/>
      <c r="Z538" s="39" t="n"/>
      <c r="AA538" t="inlineStr">
        <is>
          <t>Isabel Cristina Franco Zegarra</t>
        </is>
      </c>
      <c r="AB538" t="inlineStr">
        <is>
          <t>09884970</t>
        </is>
      </c>
      <c r="AC538" t="inlineStr">
        <is>
          <t>Coop Union Mz D Lt 5</t>
        </is>
      </c>
      <c r="AD538" t="n">
        <v>959158450</v>
      </c>
      <c r="AE538" t="inlineStr">
        <is>
          <t>959158450</t>
        </is>
      </c>
      <c r="AF538" t="inlineStr">
        <is>
          <t>959158450@gmail.com</t>
        </is>
      </c>
      <c r="AG538" t="inlineStr">
        <is>
          <t>LIMA</t>
        </is>
      </c>
      <c r="AH538" t="inlineStr">
        <is>
          <t>SAN MARTIN DE PORRES</t>
        </is>
      </c>
      <c r="AI538" s="116" t="n">
        <v>46199</v>
      </c>
      <c r="AJ538" s="116" t="n">
        <v>46195</v>
      </c>
      <c r="AK538" t="inlineStr">
        <is>
          <t>CUOTA INICIAL</t>
        </is>
      </c>
      <c r="AL538" t="n">
        <v>5</v>
      </c>
      <c r="AM538" t="n">
        <v>17500</v>
      </c>
      <c r="AN538" t="n">
        <v>0</v>
      </c>
      <c r="AO538" t="n">
        <v>0</v>
      </c>
      <c r="AP538" s="39" t="n">
        <v>17500</v>
      </c>
      <c r="AQ538" s="39" t="n">
        <v>17500</v>
      </c>
      <c r="AR538" s="39" t="n">
        <v>0</v>
      </c>
      <c r="AS538" t="n">
        <v>0</v>
      </c>
      <c r="AT538" t="inlineStr">
        <is>
          <t>Crédito Hipotecario</t>
        </is>
      </c>
      <c r="AU538" t="inlineStr">
        <is>
          <t>Scotiabank Perú</t>
        </is>
      </c>
      <c r="AV538" t="inlineStr">
        <is>
          <t>0004071419</t>
        </is>
      </c>
      <c r="AW538" t="inlineStr">
        <is>
          <t>TRANSFERENCIA BANCARIA</t>
        </is>
      </c>
      <c r="AY538" t="inlineStr">
        <is>
          <t>0635520</t>
        </is>
      </c>
      <c r="AZ538" t="inlineStr">
        <is>
          <t>Si</t>
        </is>
      </c>
      <c r="BB538" t="n">
        <v>4</v>
      </c>
      <c r="BC538" t="inlineStr">
        <is>
          <t>CANCELADO</t>
        </is>
      </c>
      <c r="BN538" t="inlineStr">
        <is>
          <t>Si</t>
        </is>
      </c>
      <c r="BO538" s="117" t="n">
        <v>46168.40138888889</v>
      </c>
      <c r="BP538" t="inlineStr">
        <is>
          <t>Josue andres Perez Chamorro</t>
        </is>
      </c>
      <c r="BR538" t="n">
        <v>16</v>
      </c>
      <c r="BS538" t="inlineStr">
        <is>
          <t>23/06/2026 11:03</t>
        </is>
      </c>
      <c r="BT538" t="n">
        <v>0</v>
      </c>
      <c r="BX538" t="inlineStr">
        <is>
          <t>Cobranzas_2026.csv</t>
        </is>
      </c>
      <c r="BY538" t="n">
        <v>2026</v>
      </c>
      <c r="BZ538" t="inlineStr">
        <is>
          <t>01/01/2024</t>
        </is>
      </c>
      <c r="CA538" t="inlineStr">
        <is>
          <t>30/09/2031</t>
        </is>
      </c>
    </row>
    <row r="539">
      <c r="A539" t="inlineStr">
        <is>
          <t>RESIDENCIAL VENECIA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805</t>
        </is>
      </c>
      <c r="G539" s="39" t="n">
        <v>442000</v>
      </c>
      <c r="H539" s="39" t="n">
        <v>415000</v>
      </c>
      <c r="M539" s="39" t="n"/>
      <c r="N539" s="39" t="n"/>
      <c r="S539" s="39" t="n"/>
      <c r="T539" s="39" t="n"/>
      <c r="Y539" s="39" t="n"/>
      <c r="Z539" s="39" t="n"/>
      <c r="AA539" t="inlineStr">
        <is>
          <t>Isabel Cristina Franco Zegarra</t>
        </is>
      </c>
      <c r="AB539" t="inlineStr">
        <is>
          <t>09884970</t>
        </is>
      </c>
      <c r="AC539" t="inlineStr">
        <is>
          <t>Coop Union Mz D Lt 5</t>
        </is>
      </c>
      <c r="AD539" t="n">
        <v>959158450</v>
      </c>
      <c r="AE539" t="inlineStr">
        <is>
          <t>959158450</t>
        </is>
      </c>
      <c r="AF539" t="inlineStr">
        <is>
          <t>959158450@gmail.com</t>
        </is>
      </c>
      <c r="AG539" t="inlineStr">
        <is>
          <t>LIMA</t>
        </is>
      </c>
      <c r="AH539" t="inlineStr">
        <is>
          <t>SAN MARTIN DE PORRES</t>
        </is>
      </c>
      <c r="AI539" s="116" t="n">
        <v>46203</v>
      </c>
      <c r="AJ539" s="116" t="n">
        <v>46227</v>
      </c>
      <c r="AK539" t="inlineStr">
        <is>
          <t>SALDO FINANCIAR</t>
        </is>
      </c>
      <c r="AL539" t="n">
        <v>1</v>
      </c>
      <c r="AM539" t="n">
        <v>290500</v>
      </c>
      <c r="AN539" t="n">
        <v>0</v>
      </c>
      <c r="AO539" t="n">
        <v>0</v>
      </c>
      <c r="AP539" s="39" t="n">
        <v>290500</v>
      </c>
      <c r="AQ539" s="39" t="n">
        <v>290500</v>
      </c>
      <c r="AR539" s="39" t="n">
        <v>0</v>
      </c>
      <c r="AS539" t="n">
        <v>0</v>
      </c>
      <c r="AT539" t="inlineStr">
        <is>
          <t>Crédito Hipotecario</t>
        </is>
      </c>
      <c r="AU539" t="inlineStr">
        <is>
          <t>Scotiabank Perú</t>
        </is>
      </c>
      <c r="AV539" t="inlineStr">
        <is>
          <t>0004071419</t>
        </is>
      </c>
      <c r="AW539" t="inlineStr">
        <is>
          <t>TRANSFERENCIA BANCARIA</t>
        </is>
      </c>
      <c r="AZ539" t="inlineStr">
        <is>
          <t>No</t>
        </is>
      </c>
      <c r="BB539" t="n">
        <v>4</v>
      </c>
      <c r="BC539" t="inlineStr">
        <is>
          <t>CANCELADO</t>
        </is>
      </c>
      <c r="BN539" t="inlineStr">
        <is>
          <t>Si</t>
        </is>
      </c>
      <c r="BO539" s="117" t="n">
        <v>46168.40138888889</v>
      </c>
      <c r="BP539" t="inlineStr">
        <is>
          <t>Josue andres Perez Chamorro</t>
        </is>
      </c>
      <c r="BR539" t="n">
        <v>16</v>
      </c>
      <c r="BS539" t="inlineStr">
        <is>
          <t>19/08/2026 12:19</t>
        </is>
      </c>
      <c r="BT539" t="n">
        <v>0</v>
      </c>
      <c r="BX539" t="inlineStr">
        <is>
          <t>Cobranzas_2026.csv</t>
        </is>
      </c>
      <c r="BY539" t="n">
        <v>2026</v>
      </c>
      <c r="BZ539" t="inlineStr">
        <is>
          <t>01/01/2024</t>
        </is>
      </c>
      <c r="CA539" t="inlineStr">
        <is>
          <t>30/09/2031</t>
        </is>
      </c>
    </row>
    <row r="540">
      <c r="A540" t="inlineStr">
        <is>
          <t>RESIDENCIAL BEYOND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1401</t>
        </is>
      </c>
      <c r="G540" s="39" t="n">
        <v>531100</v>
      </c>
      <c r="H540" s="39" t="n">
        <v>483000</v>
      </c>
      <c r="M540" s="39" t="n"/>
      <c r="N540" s="39" t="n"/>
      <c r="S540" s="39" t="n"/>
      <c r="T540" s="39" t="n"/>
      <c r="Y540" s="39" t="n"/>
      <c r="Z540" s="39" t="n"/>
      <c r="AA540" t="inlineStr">
        <is>
          <t>Jacqueline Elsa Moreno Huaman</t>
        </is>
      </c>
      <c r="AB540" t="inlineStr">
        <is>
          <t>28276212</t>
        </is>
      </c>
      <c r="AC540" t="inlineStr">
        <is>
          <t>Calle Padr Urraca 111 Edifc. 6 - Dpto. 603</t>
        </is>
      </c>
      <c r="AD540" t="n">
        <v>0</v>
      </c>
      <c r="AE540" t="inlineStr">
        <is>
          <t>966689822</t>
        </is>
      </c>
      <c r="AF540" t="inlineStr">
        <is>
          <t>jmoreno.incorp@gmail.com</t>
        </is>
      </c>
      <c r="AG540" t="inlineStr">
        <is>
          <t>LIMA</t>
        </is>
      </c>
      <c r="AH540" t="inlineStr">
        <is>
          <t>SAN MIGUEL</t>
        </is>
      </c>
      <c r="AI540" s="116" t="n">
        <v>46165</v>
      </c>
      <c r="AJ540" s="116" t="n">
        <v>46165</v>
      </c>
      <c r="AK540" t="inlineStr">
        <is>
          <t>SEPARACION</t>
        </is>
      </c>
      <c r="AL540" t="n">
        <v>1</v>
      </c>
      <c r="AM540" t="n">
        <v>3000</v>
      </c>
      <c r="AN540" t="n">
        <v>0</v>
      </c>
      <c r="AO540" t="n">
        <v>0</v>
      </c>
      <c r="AP540" s="39" t="n">
        <v>3000</v>
      </c>
      <c r="AQ540" s="39" t="n">
        <v>3000</v>
      </c>
      <c r="AR540" s="39" t="n">
        <v>0</v>
      </c>
      <c r="AS540" t="n">
        <v>0</v>
      </c>
      <c r="AT540" t="inlineStr">
        <is>
          <t>Ahorro</t>
        </is>
      </c>
      <c r="AU540" t="inlineStr">
        <is>
          <t>Banco de Credito del Perú</t>
        </is>
      </c>
      <c r="AV540" t="inlineStr">
        <is>
          <t>194-7325779-0-65</t>
        </is>
      </c>
      <c r="AW540" t="inlineStr">
        <is>
          <t>TRANSFERENCIA BANCARIA</t>
        </is>
      </c>
      <c r="AY540" t="inlineStr">
        <is>
          <t>00833460</t>
        </is>
      </c>
      <c r="AZ540" t="inlineStr">
        <is>
          <t>No</t>
        </is>
      </c>
      <c r="BB540" t="n">
        <v>4</v>
      </c>
      <c r="BC540" t="inlineStr">
        <is>
          <t>CANCELADO</t>
        </is>
      </c>
      <c r="BN540" t="inlineStr">
        <is>
          <t>Si</t>
        </is>
      </c>
      <c r="BO540" s="117" t="n">
        <v>46172.40138888889</v>
      </c>
      <c r="BP540" t="inlineStr">
        <is>
          <t>Carla Michue M</t>
        </is>
      </c>
      <c r="BR540" t="n">
        <v>46</v>
      </c>
      <c r="BS540" t="inlineStr">
        <is>
          <t>11/07/2026 09:36</t>
        </is>
      </c>
      <c r="BT540" t="n">
        <v>0</v>
      </c>
      <c r="BX540" t="inlineStr">
        <is>
          <t>Cobranzas_2026.csv</t>
        </is>
      </c>
      <c r="BY540" t="n">
        <v>2026</v>
      </c>
      <c r="BZ540" t="inlineStr">
        <is>
          <t>01/01/2024</t>
        </is>
      </c>
      <c r="CA540" t="inlineStr">
        <is>
          <t>30/09/2031</t>
        </is>
      </c>
    </row>
    <row r="541">
      <c r="A541" t="inlineStr">
        <is>
          <t>RESIDENCIAL BEYOND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Departamento</t>
        </is>
      </c>
      <c r="F541" t="inlineStr">
        <is>
          <t>1401</t>
        </is>
      </c>
      <c r="G541" s="39" t="n">
        <v>531100</v>
      </c>
      <c r="H541" s="39" t="n">
        <v>483000</v>
      </c>
      <c r="M541" s="39" t="n"/>
      <c r="N541" s="39" t="n"/>
      <c r="S541" s="39" t="n"/>
      <c r="T541" s="39" t="n"/>
      <c r="Y541" s="39" t="n"/>
      <c r="Z541" s="39" t="n"/>
      <c r="AA541" t="inlineStr">
        <is>
          <t>Jacqueline Elsa Moreno Huaman</t>
        </is>
      </c>
      <c r="AB541" t="inlineStr">
        <is>
          <t>28276212</t>
        </is>
      </c>
      <c r="AC541" t="inlineStr">
        <is>
          <t>Calle Padr Urraca 111 Edifc. 6 - Dpto. 603</t>
        </is>
      </c>
      <c r="AD541" t="n">
        <v>0</v>
      </c>
      <c r="AE541" t="inlineStr">
        <is>
          <t>966689822</t>
        </is>
      </c>
      <c r="AF541" t="inlineStr">
        <is>
          <t>jmoreno.incorp@gmail.com</t>
        </is>
      </c>
      <c r="AG541" t="inlineStr">
        <is>
          <t>LIMA</t>
        </is>
      </c>
      <c r="AH541" t="inlineStr">
        <is>
          <t>SAN MIGUEL</t>
        </is>
      </c>
      <c r="AI541" s="116" t="n">
        <v>46172</v>
      </c>
      <c r="AJ541" s="116" t="n">
        <v>46172</v>
      </c>
      <c r="AK541" t="inlineStr">
        <is>
          <t>CUOTA INICIAL</t>
        </is>
      </c>
      <c r="AL541" t="n">
        <v>1</v>
      </c>
      <c r="AM541" t="n">
        <v>7000</v>
      </c>
      <c r="AN541" t="n">
        <v>0</v>
      </c>
      <c r="AO541" t="n">
        <v>0</v>
      </c>
      <c r="AP541" s="39" t="n">
        <v>7000</v>
      </c>
      <c r="AQ541" s="39" t="n">
        <v>7000</v>
      </c>
      <c r="AR541" s="39" t="n">
        <v>0</v>
      </c>
      <c r="AS541" t="n">
        <v>0</v>
      </c>
      <c r="AT541" t="inlineStr">
        <is>
          <t>Ahorro</t>
        </is>
      </c>
      <c r="AU541" t="inlineStr">
        <is>
          <t>Banco de Credito del Perú</t>
        </is>
      </c>
      <c r="AV541" t="inlineStr">
        <is>
          <t>194-7325779-0-65</t>
        </is>
      </c>
      <c r="AW541" t="inlineStr">
        <is>
          <t>TRANSFERENCIA BANCARIA</t>
        </is>
      </c>
      <c r="AY541" t="inlineStr">
        <is>
          <t>06218150</t>
        </is>
      </c>
      <c r="AZ541" t="inlineStr">
        <is>
          <t>No</t>
        </is>
      </c>
      <c r="BB541" t="n">
        <v>4</v>
      </c>
      <c r="BC541" t="inlineStr">
        <is>
          <t>CANCELADO</t>
        </is>
      </c>
      <c r="BN541" t="inlineStr">
        <is>
          <t>Si</t>
        </is>
      </c>
      <c r="BO541" s="117" t="n">
        <v>46172.40138888889</v>
      </c>
      <c r="BP541" t="inlineStr">
        <is>
          <t>Carla Michue M</t>
        </is>
      </c>
      <c r="BR541" t="n">
        <v>46</v>
      </c>
      <c r="BS541" t="inlineStr">
        <is>
          <t>11/07/2026 09:37</t>
        </is>
      </c>
      <c r="BT541" t="n">
        <v>0</v>
      </c>
      <c r="BX541" t="inlineStr">
        <is>
          <t>Cobranzas_2026.csv</t>
        </is>
      </c>
      <c r="BY541" t="n">
        <v>2026</v>
      </c>
      <c r="BZ541" t="inlineStr">
        <is>
          <t>01/01/2024</t>
        </is>
      </c>
      <c r="CA541" t="inlineStr">
        <is>
          <t>30/09/2031</t>
        </is>
      </c>
    </row>
    <row r="542">
      <c r="A542" t="inlineStr">
        <is>
          <t>RESIDENCIAL BEYOND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Departamento</t>
        </is>
      </c>
      <c r="F542" t="inlineStr">
        <is>
          <t>1401</t>
        </is>
      </c>
      <c r="G542" s="39" t="n">
        <v>531100</v>
      </c>
      <c r="H542" s="39" t="n">
        <v>483000</v>
      </c>
      <c r="M542" s="39" t="n"/>
      <c r="N542" s="39" t="n"/>
      <c r="S542" s="39" t="n"/>
      <c r="T542" s="39" t="n"/>
      <c r="Y542" s="39" t="n"/>
      <c r="Z542" s="39" t="n"/>
      <c r="AA542" t="inlineStr">
        <is>
          <t>Jacqueline Elsa Moreno Huaman</t>
        </is>
      </c>
      <c r="AB542" t="inlineStr">
        <is>
          <t>28276212</t>
        </is>
      </c>
      <c r="AC542" t="inlineStr">
        <is>
          <t>Calle Padr Urraca 111 Edifc. 6 - Dpto. 603</t>
        </is>
      </c>
      <c r="AD542" t="n">
        <v>0</v>
      </c>
      <c r="AE542" t="inlineStr">
        <is>
          <t>966689822</t>
        </is>
      </c>
      <c r="AF542" t="inlineStr">
        <is>
          <t>jmoreno.incorp@gmail.com</t>
        </is>
      </c>
      <c r="AG542" t="inlineStr">
        <is>
          <t>LIMA</t>
        </is>
      </c>
      <c r="AH542" t="inlineStr">
        <is>
          <t>SAN MIGUEL</t>
        </is>
      </c>
      <c r="AI542" s="116" t="n">
        <v>46265</v>
      </c>
      <c r="AJ542" s="116" t="n"/>
      <c r="AK542" t="inlineStr">
        <is>
          <t>CUOTA INICIAL</t>
        </is>
      </c>
      <c r="AL542" t="n">
        <v>2</v>
      </c>
      <c r="AM542" t="n">
        <v>55000</v>
      </c>
      <c r="AN542" t="n">
        <v>0</v>
      </c>
      <c r="AO542" t="n">
        <v>0</v>
      </c>
      <c r="AP542" s="39" t="n">
        <v>55000</v>
      </c>
      <c r="AQ542" s="39" t="n">
        <v>0</v>
      </c>
      <c r="AR542" s="39" t="n">
        <v>55000</v>
      </c>
      <c r="AT542" t="inlineStr">
        <is>
          <t>Ahorro</t>
        </is>
      </c>
      <c r="AZ542" t="inlineStr">
        <is>
          <t>No</t>
        </is>
      </c>
      <c r="BC542" t="inlineStr">
        <is>
          <t>VENCIDO</t>
        </is>
      </c>
      <c r="BN542" t="inlineStr">
        <is>
          <t>No</t>
        </is>
      </c>
      <c r="BO542" s="117" t="n">
        <v>46172.40138888889</v>
      </c>
      <c r="BP542" t="inlineStr">
        <is>
          <t>Carla Michue M</t>
        </is>
      </c>
      <c r="BR542" t="n">
        <v>46</v>
      </c>
      <c r="BT542" t="n">
        <v>0</v>
      </c>
      <c r="BX542" t="inlineStr">
        <is>
          <t>Cobranzas_2026.csv</t>
        </is>
      </c>
      <c r="BY542" t="n">
        <v>2026</v>
      </c>
      <c r="BZ542" t="inlineStr">
        <is>
          <t>01/01/2024</t>
        </is>
      </c>
      <c r="CA542" t="inlineStr">
        <is>
          <t>30/09/2031</t>
        </is>
      </c>
    </row>
    <row r="543">
      <c r="A543" t="inlineStr">
        <is>
          <t>RESIDENCIAL BEYOND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Departamento</t>
        </is>
      </c>
      <c r="F543" t="inlineStr">
        <is>
          <t>1401</t>
        </is>
      </c>
      <c r="G543" s="39" t="n">
        <v>531100</v>
      </c>
      <c r="H543" s="39" t="n">
        <v>483000</v>
      </c>
      <c r="M543" s="39" t="n"/>
      <c r="N543" s="39" t="n"/>
      <c r="S543" s="39" t="n"/>
      <c r="T543" s="39" t="n"/>
      <c r="Y543" s="39" t="n"/>
      <c r="Z543" s="39" t="n"/>
      <c r="AA543" t="inlineStr">
        <is>
          <t>Jacqueline Elsa Moreno Huaman</t>
        </is>
      </c>
      <c r="AB543" t="inlineStr">
        <is>
          <t>28276212</t>
        </is>
      </c>
      <c r="AC543" t="inlineStr">
        <is>
          <t>Calle Padr Urraca 111 Edifc. 6 - Dpto. 603</t>
        </is>
      </c>
      <c r="AD543" t="n">
        <v>0</v>
      </c>
      <c r="AE543" t="inlineStr">
        <is>
          <t>966689822</t>
        </is>
      </c>
      <c r="AF543" t="inlineStr">
        <is>
          <t>jmoreno.incorp@gmail.com</t>
        </is>
      </c>
      <c r="AG543" t="inlineStr">
        <is>
          <t>LIMA</t>
        </is>
      </c>
      <c r="AH543" t="inlineStr">
        <is>
          <t>SAN MIGUEL</t>
        </is>
      </c>
      <c r="AI543" s="116" t="n">
        <v>46386</v>
      </c>
      <c r="AJ543" s="116" t="n"/>
      <c r="AK543" t="inlineStr">
        <is>
          <t>AHORRO CASA</t>
        </is>
      </c>
      <c r="AL543" t="n">
        <v>3</v>
      </c>
      <c r="AM543" t="n">
        <v>55000</v>
      </c>
      <c r="AN543" t="n">
        <v>0</v>
      </c>
      <c r="AO543" t="n">
        <v>0</v>
      </c>
      <c r="AP543" s="39" t="n">
        <v>55000</v>
      </c>
      <c r="AQ543" s="39" t="n">
        <v>0</v>
      </c>
      <c r="AR543" s="39" t="n">
        <v>55000</v>
      </c>
      <c r="AT543" t="inlineStr">
        <is>
          <t>Ahorro</t>
        </is>
      </c>
      <c r="AZ543" t="inlineStr">
        <is>
          <t>No</t>
        </is>
      </c>
      <c r="BC543" t="inlineStr">
        <is>
          <t>PENDIENTE</t>
        </is>
      </c>
      <c r="BN543" t="inlineStr">
        <is>
          <t>No</t>
        </is>
      </c>
      <c r="BO543" s="117" t="n">
        <v>46172.40138888889</v>
      </c>
      <c r="BP543" t="inlineStr">
        <is>
          <t>Carla Michue M</t>
        </is>
      </c>
      <c r="BR543" t="n">
        <v>46</v>
      </c>
      <c r="BT543" t="n">
        <v>0</v>
      </c>
      <c r="BX543" t="inlineStr">
        <is>
          <t>Cobranzas_2026.csv</t>
        </is>
      </c>
      <c r="BY543" t="n">
        <v>2026</v>
      </c>
      <c r="BZ543" t="inlineStr">
        <is>
          <t>01/01/2024</t>
        </is>
      </c>
      <c r="CA543" t="inlineStr">
        <is>
          <t>30/09/2031</t>
        </is>
      </c>
    </row>
    <row r="544">
      <c r="A544" t="inlineStr">
        <is>
          <t>RESIDENCIAL BEYOND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Departamento</t>
        </is>
      </c>
      <c r="F544" t="inlineStr">
        <is>
          <t>802</t>
        </is>
      </c>
      <c r="G544" s="39" t="n">
        <v>430000</v>
      </c>
      <c r="H544" s="39" t="n">
        <v>400000</v>
      </c>
      <c r="I544" t="inlineStr">
        <is>
          <t>Edificio</t>
        </is>
      </c>
      <c r="J544" t="inlineStr">
        <is>
          <t>A</t>
        </is>
      </c>
      <c r="K544" t="inlineStr">
        <is>
          <t>Estacionamiento</t>
        </is>
      </c>
      <c r="L544" t="inlineStr">
        <is>
          <t>E 20 - D 15</t>
        </is>
      </c>
      <c r="M544" s="39" t="n">
        <v>50000</v>
      </c>
      <c r="N544" s="39" t="n">
        <v>50000</v>
      </c>
      <c r="S544" s="39" t="n"/>
      <c r="T544" s="39" t="n"/>
      <c r="Y544" s="39" t="n"/>
      <c r="Z544" s="39" t="n"/>
      <c r="AA544" t="inlineStr">
        <is>
          <t>Jazmin Elizabeth Ramirez Lazaro</t>
        </is>
      </c>
      <c r="AB544" t="inlineStr">
        <is>
          <t>75662644</t>
        </is>
      </c>
      <c r="AC544" t="inlineStr">
        <is>
          <t>Av. Arnaldo Marquez 1440 Dpto.906</t>
        </is>
      </c>
      <c r="AD544" t="n">
        <v>0</v>
      </c>
      <c r="AE544" t="inlineStr">
        <is>
          <t>915176274</t>
        </is>
      </c>
      <c r="AF544" t="inlineStr">
        <is>
          <t>jazmin.ramirez.lazaro8@gmail.com</t>
        </is>
      </c>
      <c r="AG544" t="inlineStr">
        <is>
          <t>LIMA</t>
        </is>
      </c>
      <c r="AH544" t="inlineStr">
        <is>
          <t>JESUS MARIA</t>
        </is>
      </c>
      <c r="AI544" s="116" t="n">
        <v>46155</v>
      </c>
      <c r="AJ544" s="116" t="n">
        <v>46155</v>
      </c>
      <c r="AK544" t="inlineStr">
        <is>
          <t>SEPARACION</t>
        </is>
      </c>
      <c r="AL544" t="n">
        <v>1</v>
      </c>
      <c r="AM544" t="n">
        <v>3000</v>
      </c>
      <c r="AN544" t="n">
        <v>0</v>
      </c>
      <c r="AO544" t="n">
        <v>0</v>
      </c>
      <c r="AP544" s="39" t="n">
        <v>3000</v>
      </c>
      <c r="AQ544" s="39" t="n">
        <v>3000</v>
      </c>
      <c r="AR544" s="39" t="n">
        <v>0</v>
      </c>
      <c r="AS544" t="n">
        <v>0</v>
      </c>
      <c r="AT544" t="inlineStr">
        <is>
          <t>Ahorro</t>
        </is>
      </c>
      <c r="AU544" t="inlineStr">
        <is>
          <t>Banco de Credito del Perú</t>
        </is>
      </c>
      <c r="AV544" t="inlineStr">
        <is>
          <t>194-7325779-0-65</t>
        </is>
      </c>
      <c r="AW544" t="inlineStr">
        <is>
          <t>DEPOSITO EN CUENTA</t>
        </is>
      </c>
      <c r="AY544" t="inlineStr">
        <is>
          <t>4969236</t>
        </is>
      </c>
      <c r="AZ544" t="inlineStr">
        <is>
          <t>No</t>
        </is>
      </c>
      <c r="BB544" t="n">
        <v>4</v>
      </c>
      <c r="BC544" t="inlineStr">
        <is>
          <t>CANCELADO</t>
        </is>
      </c>
      <c r="BN544" t="inlineStr">
        <is>
          <t>Si</t>
        </is>
      </c>
      <c r="BO544" s="117" t="n">
        <v>46172.75902777778</v>
      </c>
      <c r="BP544" t="inlineStr">
        <is>
          <t>Carla Michue M</t>
        </is>
      </c>
      <c r="BR544" t="n">
        <v>42</v>
      </c>
      <c r="BS544" t="inlineStr">
        <is>
          <t>13/05/2026 17:12</t>
        </is>
      </c>
      <c r="BT544" t="n">
        <v>0</v>
      </c>
      <c r="BX544" t="inlineStr">
        <is>
          <t>Cobranzas_2026.csv</t>
        </is>
      </c>
      <c r="BY544" t="n">
        <v>2026</v>
      </c>
      <c r="BZ544" t="inlineStr">
        <is>
          <t>01/01/2024</t>
        </is>
      </c>
      <c r="CA544" t="inlineStr">
        <is>
          <t>30/09/2031</t>
        </is>
      </c>
    </row>
    <row r="545">
      <c r="A545" t="inlineStr">
        <is>
          <t>RESIDENCIAL BEYOND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Departamento</t>
        </is>
      </c>
      <c r="F545" t="inlineStr">
        <is>
          <t>802</t>
        </is>
      </c>
      <c r="G545" s="39" t="n">
        <v>430000</v>
      </c>
      <c r="H545" s="39" t="n">
        <v>400000</v>
      </c>
      <c r="I545" t="inlineStr">
        <is>
          <t>Edificio</t>
        </is>
      </c>
      <c r="J545" t="inlineStr">
        <is>
          <t>A</t>
        </is>
      </c>
      <c r="K545" t="inlineStr">
        <is>
          <t>Estacionamiento</t>
        </is>
      </c>
      <c r="L545" t="inlineStr">
        <is>
          <t>E 20 - D 15</t>
        </is>
      </c>
      <c r="M545" s="39" t="n">
        <v>50000</v>
      </c>
      <c r="N545" s="39" t="n">
        <v>50000</v>
      </c>
      <c r="S545" s="39" t="n"/>
      <c r="T545" s="39" t="n"/>
      <c r="Y545" s="39" t="n"/>
      <c r="Z545" s="39" t="n"/>
      <c r="AA545" t="inlineStr">
        <is>
          <t>Jazmin Elizabeth Ramirez Lazaro</t>
        </is>
      </c>
      <c r="AB545" t="inlineStr">
        <is>
          <t>75662644</t>
        </is>
      </c>
      <c r="AC545" t="inlineStr">
        <is>
          <t>Av. Arnaldo Marquez 1440 Dpto.906</t>
        </is>
      </c>
      <c r="AD545" t="n">
        <v>0</v>
      </c>
      <c r="AE545" t="inlineStr">
        <is>
          <t>915176274</t>
        </is>
      </c>
      <c r="AF545" t="inlineStr">
        <is>
          <t>jazmin.ramirez.lazaro8@gmail.com</t>
        </is>
      </c>
      <c r="AG545" t="inlineStr">
        <is>
          <t>LIMA</t>
        </is>
      </c>
      <c r="AH545" t="inlineStr">
        <is>
          <t>JESUS MARIA</t>
        </is>
      </c>
      <c r="AI545" s="116" t="n">
        <v>46172</v>
      </c>
      <c r="AJ545" s="116" t="n">
        <v>46172</v>
      </c>
      <c r="AK545" t="inlineStr">
        <is>
          <t>CUOTA INICIAL</t>
        </is>
      </c>
      <c r="AL545" t="n">
        <v>1</v>
      </c>
      <c r="AM545" t="n">
        <v>30000</v>
      </c>
      <c r="AN545" t="n">
        <v>0</v>
      </c>
      <c r="AO545" t="n">
        <v>0</v>
      </c>
      <c r="AP545" s="39" t="n">
        <v>30000</v>
      </c>
      <c r="AQ545" s="39" t="n">
        <v>30000</v>
      </c>
      <c r="AR545" s="39" t="n">
        <v>0</v>
      </c>
      <c r="AS545" t="n">
        <v>0</v>
      </c>
      <c r="AT545" t="inlineStr">
        <is>
          <t>Ahorro</t>
        </is>
      </c>
      <c r="AU545" t="inlineStr">
        <is>
          <t>Banco de Credito del Perú</t>
        </is>
      </c>
      <c r="AV545" t="inlineStr">
        <is>
          <t>194-7325779-0-65</t>
        </is>
      </c>
      <c r="AW545" t="inlineStr">
        <is>
          <t>TRANSFERENCIA BANCARIA</t>
        </is>
      </c>
      <c r="AY545" t="inlineStr">
        <is>
          <t>0319831</t>
        </is>
      </c>
      <c r="AZ545" t="inlineStr">
        <is>
          <t>No</t>
        </is>
      </c>
      <c r="BB545" t="n">
        <v>4</v>
      </c>
      <c r="BC545" t="inlineStr">
        <is>
          <t>CANCELADO</t>
        </is>
      </c>
      <c r="BN545" t="inlineStr">
        <is>
          <t>Si</t>
        </is>
      </c>
      <c r="BO545" s="117" t="n">
        <v>46172.75902777778</v>
      </c>
      <c r="BP545" t="inlineStr">
        <is>
          <t>Carla Michue M</t>
        </is>
      </c>
      <c r="BR545" t="n">
        <v>42</v>
      </c>
      <c r="BS545" t="inlineStr">
        <is>
          <t>09/06/2026 18:11</t>
        </is>
      </c>
      <c r="BT545" t="n">
        <v>0</v>
      </c>
      <c r="BX545" t="inlineStr">
        <is>
          <t>Cobranzas_2026.csv</t>
        </is>
      </c>
      <c r="BY545" t="n">
        <v>2026</v>
      </c>
      <c r="BZ545" t="inlineStr">
        <is>
          <t>01/01/2024</t>
        </is>
      </c>
      <c r="CA545" t="inlineStr">
        <is>
          <t>30/09/2031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802</t>
        </is>
      </c>
      <c r="G546" s="39" t="n">
        <v>430000</v>
      </c>
      <c r="H546" s="39" t="n">
        <v>400000</v>
      </c>
      <c r="I546" t="inlineStr">
        <is>
          <t>Edificio</t>
        </is>
      </c>
      <c r="J546" t="inlineStr">
        <is>
          <t>A</t>
        </is>
      </c>
      <c r="K546" t="inlineStr">
        <is>
          <t>Estacionamiento</t>
        </is>
      </c>
      <c r="L546" t="inlineStr">
        <is>
          <t>E 20 - D 15</t>
        </is>
      </c>
      <c r="M546" s="39" t="n">
        <v>50000</v>
      </c>
      <c r="N546" s="39" t="n">
        <v>50000</v>
      </c>
      <c r="S546" s="39" t="n"/>
      <c r="T546" s="39" t="n"/>
      <c r="Y546" s="39" t="n"/>
      <c r="Z546" s="39" t="n"/>
      <c r="AA546" t="inlineStr">
        <is>
          <t>Jazmin Elizabeth Ramirez Lazaro</t>
        </is>
      </c>
      <c r="AB546" t="inlineStr">
        <is>
          <t>75662644</t>
        </is>
      </c>
      <c r="AC546" t="inlineStr">
        <is>
          <t>Av. Arnaldo Marquez 1440 Dpto.906</t>
        </is>
      </c>
      <c r="AD546" t="n">
        <v>0</v>
      </c>
      <c r="AE546" t="inlineStr">
        <is>
          <t>915176274</t>
        </is>
      </c>
      <c r="AF546" t="inlineStr">
        <is>
          <t>jazmin.ramirez.lazaro8@gmail.com</t>
        </is>
      </c>
      <c r="AG546" t="inlineStr">
        <is>
          <t>LIMA</t>
        </is>
      </c>
      <c r="AH546" t="inlineStr">
        <is>
          <t>JESUS MARIA</t>
        </is>
      </c>
      <c r="AI546" s="116" t="n">
        <v>46325</v>
      </c>
      <c r="AJ546" s="116" t="n"/>
      <c r="AK546" t="inlineStr">
        <is>
          <t>CUOTA INICIAL</t>
        </is>
      </c>
      <c r="AL546" t="n">
        <v>2</v>
      </c>
      <c r="AM546" t="n">
        <v>57000</v>
      </c>
      <c r="AN546" t="n">
        <v>0</v>
      </c>
      <c r="AO546" t="n">
        <v>0</v>
      </c>
      <c r="AP546" s="39" t="n">
        <v>57000</v>
      </c>
      <c r="AQ546" s="39" t="n">
        <v>0</v>
      </c>
      <c r="AR546" s="39" t="n">
        <v>57000</v>
      </c>
      <c r="AT546" t="inlineStr">
        <is>
          <t>Ahorro</t>
        </is>
      </c>
      <c r="AZ546" t="inlineStr">
        <is>
          <t>No</t>
        </is>
      </c>
      <c r="BC546" t="inlineStr">
        <is>
          <t>PENDIENTE</t>
        </is>
      </c>
      <c r="BN546" t="inlineStr">
        <is>
          <t>No</t>
        </is>
      </c>
      <c r="BO546" s="117" t="n">
        <v>46172.75902777778</v>
      </c>
      <c r="BP546" t="inlineStr">
        <is>
          <t>Carla Michue M</t>
        </is>
      </c>
      <c r="BR546" t="n">
        <v>42</v>
      </c>
      <c r="BT546" t="n">
        <v>0</v>
      </c>
      <c r="BX546" t="inlineStr">
        <is>
          <t>Cobranzas_2026.csv</t>
        </is>
      </c>
      <c r="BY546" t="n">
        <v>2026</v>
      </c>
      <c r="BZ546" t="inlineStr">
        <is>
          <t>01/01/2024</t>
        </is>
      </c>
      <c r="CA546" t="inlineStr">
        <is>
          <t>30/09/2031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802</t>
        </is>
      </c>
      <c r="G547" s="39" t="n">
        <v>430000</v>
      </c>
      <c r="H547" s="39" t="n">
        <v>400000</v>
      </c>
      <c r="I547" t="inlineStr">
        <is>
          <t>Edificio</t>
        </is>
      </c>
      <c r="J547" t="inlineStr">
        <is>
          <t>A</t>
        </is>
      </c>
      <c r="K547" t="inlineStr">
        <is>
          <t>Estacionamiento</t>
        </is>
      </c>
      <c r="L547" t="inlineStr">
        <is>
          <t>E 20 - D 15</t>
        </is>
      </c>
      <c r="M547" s="39" t="n">
        <v>50000</v>
      </c>
      <c r="N547" s="39" t="n">
        <v>50000</v>
      </c>
      <c r="S547" s="39" t="n"/>
      <c r="T547" s="39" t="n"/>
      <c r="Y547" s="39" t="n"/>
      <c r="Z547" s="39" t="n"/>
      <c r="AA547" t="inlineStr">
        <is>
          <t>Jazmin Elizabeth Ramirez Lazaro</t>
        </is>
      </c>
      <c r="AB547" t="inlineStr">
        <is>
          <t>75662644</t>
        </is>
      </c>
      <c r="AC547" t="inlineStr">
        <is>
          <t>Av. Arnaldo Marquez 1440 Dpto.906</t>
        </is>
      </c>
      <c r="AD547" t="n">
        <v>0</v>
      </c>
      <c r="AE547" t="inlineStr">
        <is>
          <t>915176274</t>
        </is>
      </c>
      <c r="AF547" t="inlineStr">
        <is>
          <t>jazmin.ramirez.lazaro8@gmail.com</t>
        </is>
      </c>
      <c r="AG547" t="inlineStr">
        <is>
          <t>LIMA</t>
        </is>
      </c>
      <c r="AH547" t="inlineStr">
        <is>
          <t>JESUS MARIA</t>
        </is>
      </c>
      <c r="AI547" s="116" t="n">
        <v>46386</v>
      </c>
      <c r="AJ547" s="116" t="n"/>
      <c r="AK547" t="inlineStr">
        <is>
          <t>SALDO FINANCIAR</t>
        </is>
      </c>
      <c r="AL547" t="n">
        <v>1</v>
      </c>
      <c r="AM547" t="n">
        <v>360000</v>
      </c>
      <c r="AN547" t="n">
        <v>0</v>
      </c>
      <c r="AO547" t="n">
        <v>0</v>
      </c>
      <c r="AP547" s="39" t="n">
        <v>360000</v>
      </c>
      <c r="AQ547" s="39" t="n">
        <v>0</v>
      </c>
      <c r="AR547" s="39" t="n">
        <v>360000</v>
      </c>
      <c r="AT547" t="inlineStr">
        <is>
          <t>Ahorro</t>
        </is>
      </c>
      <c r="AZ547" t="inlineStr">
        <is>
          <t>No</t>
        </is>
      </c>
      <c r="BC547" t="inlineStr">
        <is>
          <t>PENDIENTE</t>
        </is>
      </c>
      <c r="BN547" t="inlineStr">
        <is>
          <t>No</t>
        </is>
      </c>
      <c r="BO547" s="117" t="n">
        <v>46172.75902777778</v>
      </c>
      <c r="BP547" t="inlineStr">
        <is>
          <t>Carla Michue M</t>
        </is>
      </c>
      <c r="BR547" t="n">
        <v>42</v>
      </c>
      <c r="BT547" t="n">
        <v>0</v>
      </c>
      <c r="BX547" t="inlineStr">
        <is>
          <t>Cobranzas_2026.csv</t>
        </is>
      </c>
      <c r="BY547" t="n">
        <v>2026</v>
      </c>
      <c r="BZ547" t="inlineStr">
        <is>
          <t>01/01/2024</t>
        </is>
      </c>
      <c r="CA547" t="inlineStr">
        <is>
          <t>30/09/2031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204</t>
        </is>
      </c>
      <c r="G548" s="39" t="n">
        <v>498000</v>
      </c>
      <c r="H548" s="39" t="n">
        <v>450000</v>
      </c>
      <c r="M548" s="39" t="n"/>
      <c r="N548" s="39" t="n"/>
      <c r="S548" s="39" t="n"/>
      <c r="T548" s="39" t="n"/>
      <c r="Y548" s="39" t="n"/>
      <c r="Z548" s="39" t="n"/>
      <c r="AA548" t="inlineStr">
        <is>
          <t>Jhoully Kattherine Moreno Saavedra</t>
        </is>
      </c>
      <c r="AB548" t="inlineStr">
        <is>
          <t>73600966</t>
        </is>
      </c>
      <c r="AC548" t="inlineStr">
        <is>
          <t>Emilio de la Barrera 264</t>
        </is>
      </c>
      <c r="AD548" t="n">
        <v>0</v>
      </c>
      <c r="AE548" t="inlineStr">
        <is>
          <t>934027061</t>
        </is>
      </c>
      <c r="AF548" t="inlineStr">
        <is>
          <t>jhoullym@gmail.com</t>
        </is>
      </c>
      <c r="AG548" t="inlineStr">
        <is>
          <t>LIMA</t>
        </is>
      </c>
      <c r="AH548" t="inlineStr">
        <is>
          <t>SAN MARTIN DE PORRES</t>
        </is>
      </c>
      <c r="AI548" s="116" t="n">
        <v>46081</v>
      </c>
      <c r="AJ548" s="116" t="n">
        <v>46051</v>
      </c>
      <c r="AK548" t="inlineStr">
        <is>
          <t>CUOTA INICIAL</t>
        </is>
      </c>
      <c r="AL548" t="n">
        <v>2</v>
      </c>
      <c r="AM548" t="n">
        <v>7500</v>
      </c>
      <c r="AN548" t="n">
        <v>0</v>
      </c>
      <c r="AO548" t="n">
        <v>0</v>
      </c>
      <c r="AP548" s="39" t="n">
        <v>7500</v>
      </c>
      <c r="AQ548" s="39" t="n">
        <v>7500</v>
      </c>
      <c r="AR548" s="39" t="n">
        <v>0</v>
      </c>
      <c r="AS548" t="n">
        <v>0</v>
      </c>
      <c r="AT548" t="inlineStr">
        <is>
          <t>Crédito Hipotecario</t>
        </is>
      </c>
      <c r="AU548" t="inlineStr">
        <is>
          <t>Banco de Credito del Perú</t>
        </is>
      </c>
      <c r="AV548" t="inlineStr">
        <is>
          <t>194-7325779-0-65</t>
        </is>
      </c>
      <c r="AW548" t="inlineStr">
        <is>
          <t>TRANSFERENCIA BANCARIA</t>
        </is>
      </c>
      <c r="AX548" t="inlineStr">
        <is>
          <t>73600966</t>
        </is>
      </c>
      <c r="AY548" t="inlineStr">
        <is>
          <t>00368899</t>
        </is>
      </c>
      <c r="AZ548" t="inlineStr">
        <is>
          <t>No</t>
        </is>
      </c>
      <c r="BA548" t="inlineStr">
        <is>
          <t>NO PRECISA</t>
        </is>
      </c>
      <c r="BB548" t="n">
        <v>4</v>
      </c>
      <c r="BC548" t="inlineStr">
        <is>
          <t>CANCELADO</t>
        </is>
      </c>
      <c r="BN548" t="inlineStr">
        <is>
          <t>Si</t>
        </is>
      </c>
      <c r="BO548" s="117" t="n">
        <v>45971.18472222222</v>
      </c>
      <c r="BP548" t="inlineStr">
        <is>
          <t>Carla Michue M</t>
        </is>
      </c>
      <c r="BR548" t="n">
        <v>3</v>
      </c>
      <c r="BS548" t="inlineStr">
        <is>
          <t>18/05/2026 04:33</t>
        </is>
      </c>
      <c r="BT548" t="n">
        <v>0</v>
      </c>
      <c r="BX548" t="inlineStr">
        <is>
          <t>Cobranzas_2026.csv</t>
        </is>
      </c>
      <c r="BY548" t="n">
        <v>2026</v>
      </c>
      <c r="BZ548" t="inlineStr">
        <is>
          <t>01/01/2024</t>
        </is>
      </c>
      <c r="CA548" t="inlineStr">
        <is>
          <t>30/09/2031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204</t>
        </is>
      </c>
      <c r="G549" s="39" t="n">
        <v>498000</v>
      </c>
      <c r="H549" s="39" t="n">
        <v>450000</v>
      </c>
      <c r="M549" s="39" t="n"/>
      <c r="N549" s="39" t="n"/>
      <c r="S549" s="39" t="n"/>
      <c r="T549" s="39" t="n"/>
      <c r="Y549" s="39" t="n"/>
      <c r="Z549" s="39" t="n"/>
      <c r="AA549" t="inlineStr">
        <is>
          <t>Jhoully Kattherine Moreno Saavedra</t>
        </is>
      </c>
      <c r="AB549" t="inlineStr">
        <is>
          <t>73600966</t>
        </is>
      </c>
      <c r="AC549" t="inlineStr">
        <is>
          <t>Emilio de la Barrera 264</t>
        </is>
      </c>
      <c r="AD549" t="n">
        <v>0</v>
      </c>
      <c r="AE549" t="inlineStr">
        <is>
          <t>934027061</t>
        </is>
      </c>
      <c r="AF549" t="inlineStr">
        <is>
          <t>jhoullym@gmail.com</t>
        </is>
      </c>
      <c r="AG549" t="inlineStr">
        <is>
          <t>LIMA</t>
        </is>
      </c>
      <c r="AH549" t="inlineStr">
        <is>
          <t>SAN MARTIN DE PORRES</t>
        </is>
      </c>
      <c r="AI549" s="116" t="n">
        <v>46142</v>
      </c>
      <c r="AJ549" s="116" t="n">
        <v>46119</v>
      </c>
      <c r="AK549" t="inlineStr">
        <is>
          <t>CUOTA INICIAL</t>
        </is>
      </c>
      <c r="AL549" t="n">
        <v>3</v>
      </c>
      <c r="AM549" t="n">
        <v>15000</v>
      </c>
      <c r="AN549" t="n">
        <v>0</v>
      </c>
      <c r="AO549" t="n">
        <v>0</v>
      </c>
      <c r="AP549" s="39" t="n">
        <v>15000</v>
      </c>
      <c r="AQ549" s="39" t="n">
        <v>15000</v>
      </c>
      <c r="AR549" s="39" t="n">
        <v>0</v>
      </c>
      <c r="AS549" t="n">
        <v>0</v>
      </c>
      <c r="AT549" t="inlineStr">
        <is>
          <t>Crédito Hipotecario</t>
        </is>
      </c>
      <c r="AU549" t="inlineStr">
        <is>
          <t>Banco de Credito del Perú</t>
        </is>
      </c>
      <c r="AV549" t="inlineStr">
        <is>
          <t>194-7325779-0-65</t>
        </is>
      </c>
      <c r="AW549" t="inlineStr">
        <is>
          <t>TRANSFERENCIA BANCARIA</t>
        </is>
      </c>
      <c r="AX549" t="inlineStr">
        <is>
          <t>73600966</t>
        </is>
      </c>
      <c r="AY549" t="inlineStr">
        <is>
          <t>02476804</t>
        </is>
      </c>
      <c r="AZ549" t="inlineStr">
        <is>
          <t>No</t>
        </is>
      </c>
      <c r="BA549" t="inlineStr">
        <is>
          <t>NO PRECISA</t>
        </is>
      </c>
      <c r="BB549" t="n">
        <v>4</v>
      </c>
      <c r="BC549" t="inlineStr">
        <is>
          <t>CANCELADO</t>
        </is>
      </c>
      <c r="BN549" t="inlineStr">
        <is>
          <t>Si</t>
        </is>
      </c>
      <c r="BO549" s="117" t="n">
        <v>45971.18472222222</v>
      </c>
      <c r="BP549" t="inlineStr">
        <is>
          <t>Carla Michue M</t>
        </is>
      </c>
      <c r="BR549" t="n">
        <v>3</v>
      </c>
      <c r="BS549" t="inlineStr">
        <is>
          <t>18/05/2026 04:34</t>
        </is>
      </c>
      <c r="BT549" t="n">
        <v>0</v>
      </c>
      <c r="BX549" t="inlineStr">
        <is>
          <t>Cobranzas_2026.csv</t>
        </is>
      </c>
      <c r="BY549" t="n">
        <v>2026</v>
      </c>
      <c r="BZ549" t="inlineStr">
        <is>
          <t>01/01/2024</t>
        </is>
      </c>
      <c r="CA549" t="inlineStr">
        <is>
          <t>30/09/2031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204</t>
        </is>
      </c>
      <c r="G550" s="39" t="n">
        <v>498000</v>
      </c>
      <c r="H550" s="39" t="n">
        <v>450000</v>
      </c>
      <c r="M550" s="39" t="n"/>
      <c r="N550" s="39" t="n"/>
      <c r="S550" s="39" t="n"/>
      <c r="T550" s="39" t="n"/>
      <c r="Y550" s="39" t="n"/>
      <c r="Z550" s="39" t="n"/>
      <c r="AA550" t="inlineStr">
        <is>
          <t>Jhoully Kattherine Moreno Saavedra</t>
        </is>
      </c>
      <c r="AB550" t="inlineStr">
        <is>
          <t>73600966</t>
        </is>
      </c>
      <c r="AC550" t="inlineStr">
        <is>
          <t>Emilio de la Barrera 264</t>
        </is>
      </c>
      <c r="AD550" t="n">
        <v>0</v>
      </c>
      <c r="AE550" t="inlineStr">
        <is>
          <t>934027061</t>
        </is>
      </c>
      <c r="AF550" t="inlineStr">
        <is>
          <t>jhoullym@gmail.com</t>
        </is>
      </c>
      <c r="AG550" t="inlineStr">
        <is>
          <t>LIMA</t>
        </is>
      </c>
      <c r="AH550" t="inlineStr">
        <is>
          <t>SAN MARTIN DE PORRES</t>
        </is>
      </c>
      <c r="AI550" s="116" t="n">
        <v>46203</v>
      </c>
      <c r="AJ550" s="116" t="n"/>
      <c r="AK550" t="inlineStr">
        <is>
          <t>SALDO FINANCIAR</t>
        </is>
      </c>
      <c r="AL550" t="n">
        <v>1</v>
      </c>
      <c r="AM550" t="n">
        <v>405000</v>
      </c>
      <c r="AN550" t="n">
        <v>0</v>
      </c>
      <c r="AO550" t="n">
        <v>0</v>
      </c>
      <c r="AP550" s="39" t="n">
        <v>405000</v>
      </c>
      <c r="AQ550" s="39" t="n">
        <v>0</v>
      </c>
      <c r="AR550" s="39" t="n">
        <v>405000</v>
      </c>
      <c r="AT550" t="inlineStr">
        <is>
          <t>Crédito Hipotecario</t>
        </is>
      </c>
      <c r="AZ550" t="inlineStr">
        <is>
          <t>No</t>
        </is>
      </c>
      <c r="BC550" t="inlineStr">
        <is>
          <t>VENCIDO</t>
        </is>
      </c>
      <c r="BN550" t="inlineStr">
        <is>
          <t>No</t>
        </is>
      </c>
      <c r="BO550" s="117" t="n">
        <v>45971.18472222222</v>
      </c>
      <c r="BP550" t="inlineStr">
        <is>
          <t>Carla Michue M</t>
        </is>
      </c>
      <c r="BR550" t="n">
        <v>3</v>
      </c>
      <c r="BT550" t="n">
        <v>0</v>
      </c>
      <c r="BX550" t="inlineStr">
        <is>
          <t>Cobranzas_2026.csv</t>
        </is>
      </c>
      <c r="BY550" t="n">
        <v>2026</v>
      </c>
      <c r="BZ550" t="inlineStr">
        <is>
          <t>01/01/2024</t>
        </is>
      </c>
      <c r="CA550" t="inlineStr">
        <is>
          <t>30/09/2031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1303</t>
        </is>
      </c>
      <c r="G551" s="39" t="n">
        <v>504700</v>
      </c>
      <c r="H551" s="39" t="n">
        <v>453700</v>
      </c>
      <c r="I551" t="inlineStr">
        <is>
          <t>Edificio</t>
        </is>
      </c>
      <c r="J551" t="inlineStr">
        <is>
          <t>A</t>
        </is>
      </c>
      <c r="K551" t="inlineStr">
        <is>
          <t>Estacionamiento</t>
        </is>
      </c>
      <c r="L551" t="inlineStr">
        <is>
          <t>E 50 - D 30</t>
        </is>
      </c>
      <c r="M551" s="39" t="n">
        <v>50000</v>
      </c>
      <c r="N551" s="39" t="n">
        <v>50000</v>
      </c>
      <c r="S551" s="39" t="n"/>
      <c r="T551" s="39" t="n"/>
      <c r="Y551" s="39" t="n"/>
      <c r="Z551" s="39" t="n"/>
      <c r="AA551" t="inlineStr">
        <is>
          <t>Jimena Melissa Huayanca Lopez</t>
        </is>
      </c>
      <c r="AB551" t="inlineStr">
        <is>
          <t>73268311</t>
        </is>
      </c>
      <c r="AC551" t="inlineStr">
        <is>
          <t xml:space="preserve">Av. Cuba 560, Dpto N°1703 </t>
        </is>
      </c>
      <c r="AD551" t="n">
        <v>0</v>
      </c>
      <c r="AE551" t="inlineStr">
        <is>
          <t>923732315</t>
        </is>
      </c>
      <c r="AF551" t="inlineStr">
        <is>
          <t>jimelissahl@gmail.com</t>
        </is>
      </c>
      <c r="AG551" t="inlineStr">
        <is>
          <t>LIMA</t>
        </is>
      </c>
      <c r="AH551" t="inlineStr">
        <is>
          <t>JESUS MARIA</t>
        </is>
      </c>
      <c r="AI551" s="116" t="n">
        <v>46163</v>
      </c>
      <c r="AJ551" s="116" t="n">
        <v>46163</v>
      </c>
      <c r="AK551" t="inlineStr">
        <is>
          <t>SEPARACION</t>
        </is>
      </c>
      <c r="AL551" t="n">
        <v>1</v>
      </c>
      <c r="AM551" t="n">
        <v>3000</v>
      </c>
      <c r="AN551" t="n">
        <v>0</v>
      </c>
      <c r="AO551" t="n">
        <v>0</v>
      </c>
      <c r="AP551" s="39" t="n">
        <v>3000</v>
      </c>
      <c r="AQ551" s="39" t="n">
        <v>3000</v>
      </c>
      <c r="AR551" s="39" t="n">
        <v>0</v>
      </c>
      <c r="AS551" t="n">
        <v>0</v>
      </c>
      <c r="AT551" t="inlineStr">
        <is>
          <t>Ahorro</t>
        </is>
      </c>
      <c r="AU551" t="inlineStr">
        <is>
          <t>Banco de Credito del Perú</t>
        </is>
      </c>
      <c r="AV551" t="inlineStr">
        <is>
          <t>194-7325779-0-65</t>
        </is>
      </c>
      <c r="AW551" t="inlineStr">
        <is>
          <t>POS VISA</t>
        </is>
      </c>
      <c r="AY551" t="inlineStr">
        <is>
          <t>008557</t>
        </is>
      </c>
      <c r="AZ551" t="inlineStr">
        <is>
          <t>Si</t>
        </is>
      </c>
      <c r="BB551" t="n">
        <v>4</v>
      </c>
      <c r="BC551" t="inlineStr">
        <is>
          <t>CANCELADO</t>
        </is>
      </c>
      <c r="BN551" t="inlineStr">
        <is>
          <t>Si</t>
        </is>
      </c>
      <c r="BO551" s="117" t="n">
        <v>46170.44652777778</v>
      </c>
      <c r="BP551" t="inlineStr">
        <is>
          <t>Kenny Salazar S</t>
        </is>
      </c>
      <c r="BR551" t="n">
        <v>40</v>
      </c>
      <c r="BS551" t="inlineStr">
        <is>
          <t>22/05/2026 12:08</t>
        </is>
      </c>
      <c r="BT551" t="n">
        <v>0</v>
      </c>
      <c r="BX551" t="inlineStr">
        <is>
          <t>Cobranzas_2026.csv</t>
        </is>
      </c>
      <c r="BY551" t="n">
        <v>2026</v>
      </c>
      <c r="BZ551" t="inlineStr">
        <is>
          <t>01/01/2024</t>
        </is>
      </c>
      <c r="CA551" t="inlineStr">
        <is>
          <t>30/09/2031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1303</t>
        </is>
      </c>
      <c r="G552" s="39" t="n">
        <v>504700</v>
      </c>
      <c r="H552" s="39" t="n">
        <v>453700</v>
      </c>
      <c r="I552" t="inlineStr">
        <is>
          <t>Edificio</t>
        </is>
      </c>
      <c r="J552" t="inlineStr">
        <is>
          <t>A</t>
        </is>
      </c>
      <c r="K552" t="inlineStr">
        <is>
          <t>Estacionamiento</t>
        </is>
      </c>
      <c r="L552" t="inlineStr">
        <is>
          <t>E 50 - D 30</t>
        </is>
      </c>
      <c r="M552" s="39" t="n">
        <v>50000</v>
      </c>
      <c r="N552" s="39" t="n">
        <v>50000</v>
      </c>
      <c r="S552" s="39" t="n"/>
      <c r="T552" s="39" t="n"/>
      <c r="Y552" s="39" t="n"/>
      <c r="Z552" s="39" t="n"/>
      <c r="AA552" t="inlineStr">
        <is>
          <t>Jimena Melissa Huayanca Lopez</t>
        </is>
      </c>
      <c r="AB552" t="inlineStr">
        <is>
          <t>73268311</t>
        </is>
      </c>
      <c r="AC552" t="inlineStr">
        <is>
          <t xml:space="preserve">Av. Cuba 560, Dpto N°1703 </t>
        </is>
      </c>
      <c r="AD552" t="n">
        <v>0</v>
      </c>
      <c r="AE552" t="inlineStr">
        <is>
          <t>923732315</t>
        </is>
      </c>
      <c r="AF552" t="inlineStr">
        <is>
          <t>jimelissahl@gmail.com</t>
        </is>
      </c>
      <c r="AG552" t="inlineStr">
        <is>
          <t>LIMA</t>
        </is>
      </c>
      <c r="AH552" t="inlineStr">
        <is>
          <t>JESUS MARIA</t>
        </is>
      </c>
      <c r="AI552" s="116" t="n">
        <v>46170</v>
      </c>
      <c r="AJ552" s="116" t="n">
        <v>46170</v>
      </c>
      <c r="AK552" t="inlineStr">
        <is>
          <t>CUOTA INICIAL</t>
        </is>
      </c>
      <c r="AL552" t="n">
        <v>1</v>
      </c>
      <c r="AM552" t="n">
        <v>22185</v>
      </c>
      <c r="AN552" t="n">
        <v>0</v>
      </c>
      <c r="AO552" t="n">
        <v>0</v>
      </c>
      <c r="AP552" s="39" t="n">
        <v>22185</v>
      </c>
      <c r="AQ552" s="39" t="n">
        <v>22185</v>
      </c>
      <c r="AR552" s="39" t="n">
        <v>0</v>
      </c>
      <c r="AS552" t="n">
        <v>0</v>
      </c>
      <c r="AT552" t="inlineStr">
        <is>
          <t>Ahorro</t>
        </is>
      </c>
      <c r="AU552" t="inlineStr">
        <is>
          <t>Banco de Credito del Perú</t>
        </is>
      </c>
      <c r="AV552" t="inlineStr">
        <is>
          <t>194-7325779-0-65</t>
        </is>
      </c>
      <c r="AW552" t="inlineStr">
        <is>
          <t>TRANSFERENCIA BANCARIA</t>
        </is>
      </c>
      <c r="AY552" t="inlineStr">
        <is>
          <t>01474178</t>
        </is>
      </c>
      <c r="AZ552" t="inlineStr">
        <is>
          <t>No</t>
        </is>
      </c>
      <c r="BB552" t="n">
        <v>4</v>
      </c>
      <c r="BC552" t="inlineStr">
        <is>
          <t>CANCELADO</t>
        </is>
      </c>
      <c r="BN552" t="inlineStr">
        <is>
          <t>Si</t>
        </is>
      </c>
      <c r="BO552" s="117" t="n">
        <v>46170.44652777778</v>
      </c>
      <c r="BP552" t="inlineStr">
        <is>
          <t>Kenny Salazar S</t>
        </is>
      </c>
      <c r="BR552" t="n">
        <v>40</v>
      </c>
      <c r="BS552" t="inlineStr">
        <is>
          <t>21/08/2026 11:57</t>
        </is>
      </c>
      <c r="BT552" t="n">
        <v>0</v>
      </c>
      <c r="BX552" t="inlineStr">
        <is>
          <t>Cobranzas_2026.csv</t>
        </is>
      </c>
      <c r="BY552" t="n">
        <v>2026</v>
      </c>
      <c r="BZ552" t="inlineStr">
        <is>
          <t>01/01/2024</t>
        </is>
      </c>
      <c r="CA552" t="inlineStr">
        <is>
          <t>30/09/2031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1303</t>
        </is>
      </c>
      <c r="G553" s="39" t="n">
        <v>504700</v>
      </c>
      <c r="H553" s="39" t="n">
        <v>453700</v>
      </c>
      <c r="I553" t="inlineStr">
        <is>
          <t>Edificio</t>
        </is>
      </c>
      <c r="J553" t="inlineStr">
        <is>
          <t>A</t>
        </is>
      </c>
      <c r="K553" t="inlineStr">
        <is>
          <t>Estacionamiento</t>
        </is>
      </c>
      <c r="L553" t="inlineStr">
        <is>
          <t>E 50 - D 30</t>
        </is>
      </c>
      <c r="M553" s="39" t="n">
        <v>50000</v>
      </c>
      <c r="N553" s="39" t="n">
        <v>50000</v>
      </c>
      <c r="S553" s="39" t="n"/>
      <c r="T553" s="39" t="n"/>
      <c r="Y553" s="39" t="n"/>
      <c r="Z553" s="39" t="n"/>
      <c r="AA553" t="inlineStr">
        <is>
          <t>Jimena Melissa Huayanca Lopez</t>
        </is>
      </c>
      <c r="AB553" t="inlineStr">
        <is>
          <t>73268311</t>
        </is>
      </c>
      <c r="AC553" t="inlineStr">
        <is>
          <t xml:space="preserve">Av. Cuba 560, Dpto N°1703 </t>
        </is>
      </c>
      <c r="AD553" t="n">
        <v>0</v>
      </c>
      <c r="AE553" t="inlineStr">
        <is>
          <t>923732315</t>
        </is>
      </c>
      <c r="AF553" t="inlineStr">
        <is>
          <t>jimelissahl@gmail.com</t>
        </is>
      </c>
      <c r="AG553" t="inlineStr">
        <is>
          <t>LIMA</t>
        </is>
      </c>
      <c r="AH553" t="inlineStr">
        <is>
          <t>JESUS MARIA</t>
        </is>
      </c>
      <c r="AI553" s="116" t="n">
        <v>46356</v>
      </c>
      <c r="AJ553" s="116" t="n"/>
      <c r="AK553" t="inlineStr">
        <is>
          <t>CUOTA INICIAL</t>
        </is>
      </c>
      <c r="AL553" t="n">
        <v>2</v>
      </c>
      <c r="AM553" t="n">
        <v>25185</v>
      </c>
      <c r="AN553" t="n">
        <v>0</v>
      </c>
      <c r="AO553" t="n">
        <v>0</v>
      </c>
      <c r="AP553" s="39" t="n">
        <v>25185</v>
      </c>
      <c r="AQ553" s="39" t="n">
        <v>0</v>
      </c>
      <c r="AR553" s="39" t="n">
        <v>25185</v>
      </c>
      <c r="AT553" t="inlineStr">
        <is>
          <t>Ahorro</t>
        </is>
      </c>
      <c r="AZ553" t="inlineStr">
        <is>
          <t>No</t>
        </is>
      </c>
      <c r="BC553" t="inlineStr">
        <is>
          <t>PENDIENTE</t>
        </is>
      </c>
      <c r="BN553" t="inlineStr">
        <is>
          <t>No</t>
        </is>
      </c>
      <c r="BO553" s="117" t="n">
        <v>46170.44652777778</v>
      </c>
      <c r="BP553" t="inlineStr">
        <is>
          <t>Kenny Salazar S</t>
        </is>
      </c>
      <c r="BR553" t="n">
        <v>40</v>
      </c>
      <c r="BT553" t="n">
        <v>0</v>
      </c>
      <c r="BX553" t="inlineStr">
        <is>
          <t>Cobranzas_2026.csv</t>
        </is>
      </c>
      <c r="BY553" t="n">
        <v>2026</v>
      </c>
      <c r="BZ553" t="inlineStr">
        <is>
          <t>01/01/2024</t>
        </is>
      </c>
      <c r="CA553" t="inlineStr">
        <is>
          <t>30/09/2031</t>
        </is>
      </c>
    </row>
    <row r="554">
      <c r="A554" t="inlineStr">
        <is>
          <t>RESIDENCIAL BEYOND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601</t>
        </is>
      </c>
      <c r="G554" s="39" t="n">
        <v>518500</v>
      </c>
      <c r="H554" s="39" t="n">
        <v>470000</v>
      </c>
      <c r="M554" s="39" t="n"/>
      <c r="N554" s="39" t="n"/>
      <c r="S554" s="39" t="n"/>
      <c r="T554" s="39" t="n"/>
      <c r="Y554" s="39" t="n"/>
      <c r="Z554" s="39" t="n"/>
      <c r="AA554" t="inlineStr">
        <is>
          <t>Jimmy Luis Andrade Morveli</t>
        </is>
      </c>
      <c r="AB554" t="inlineStr">
        <is>
          <t>40071918</t>
        </is>
      </c>
      <c r="AC554" t="inlineStr">
        <is>
          <t>Av. Brasil 1836 Edif Bh South Dpto. 409</t>
        </is>
      </c>
      <c r="AD554" t="n">
        <v>0</v>
      </c>
      <c r="AE554" t="inlineStr">
        <is>
          <t>924430158</t>
        </is>
      </c>
      <c r="AF554" t="inlineStr">
        <is>
          <t>Jimmyandrademorveli@gmail.com</t>
        </is>
      </c>
      <c r="AG554" t="inlineStr">
        <is>
          <t>LIMA</t>
        </is>
      </c>
      <c r="AH554" t="inlineStr">
        <is>
          <t>PUEBLO LIBRE</t>
        </is>
      </c>
      <c r="AI554" s="116" t="n">
        <v>46081</v>
      </c>
      <c r="AJ554" s="116" t="n"/>
      <c r="AK554" t="inlineStr">
        <is>
          <t>CUOTA INICIAL</t>
        </is>
      </c>
      <c r="AL554" t="n">
        <v>1</v>
      </c>
      <c r="AM554" t="n">
        <v>44000</v>
      </c>
      <c r="AN554" t="n">
        <v>0</v>
      </c>
      <c r="AO554" t="n">
        <v>0</v>
      </c>
      <c r="AP554" s="39" t="n">
        <v>44000</v>
      </c>
      <c r="AQ554" s="39" t="n">
        <v>0</v>
      </c>
      <c r="AR554" s="39" t="n">
        <v>44000</v>
      </c>
      <c r="AT554" t="inlineStr">
        <is>
          <t>Crédito Hipotecario</t>
        </is>
      </c>
      <c r="AZ554" t="inlineStr">
        <is>
          <t>No</t>
        </is>
      </c>
      <c r="BC554" t="inlineStr">
        <is>
          <t>VENCIDO</t>
        </is>
      </c>
      <c r="BN554" t="inlineStr">
        <is>
          <t>No</t>
        </is>
      </c>
      <c r="BO554" s="117" t="n">
        <v>46028.40416666667</v>
      </c>
      <c r="BP554" t="inlineStr">
        <is>
          <t>Magaly Guevara Perez</t>
        </is>
      </c>
      <c r="BR554" t="n">
        <v>33</v>
      </c>
      <c r="BT554" t="n">
        <v>0</v>
      </c>
      <c r="BX554" t="inlineStr">
        <is>
          <t>Cobranzas_2026.csv</t>
        </is>
      </c>
      <c r="BY554" t="n">
        <v>2026</v>
      </c>
      <c r="BZ554" t="inlineStr">
        <is>
          <t>01/01/2024</t>
        </is>
      </c>
      <c r="CA554" t="inlineStr">
        <is>
          <t>30/09/2031</t>
        </is>
      </c>
    </row>
    <row r="555">
      <c r="A555" t="inlineStr">
        <is>
          <t>RESIDENCIAL BEYOND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601</t>
        </is>
      </c>
      <c r="G555" s="39" t="n">
        <v>518500</v>
      </c>
      <c r="H555" s="39" t="n">
        <v>470000</v>
      </c>
      <c r="M555" s="39" t="n"/>
      <c r="N555" s="39" t="n"/>
      <c r="S555" s="39" t="n"/>
      <c r="T555" s="39" t="n"/>
      <c r="Y555" s="39" t="n"/>
      <c r="Z555" s="39" t="n"/>
      <c r="AA555" t="inlineStr">
        <is>
          <t>Jimmy Luis Andrade Morveli</t>
        </is>
      </c>
      <c r="AB555" t="inlineStr">
        <is>
          <t>40071918</t>
        </is>
      </c>
      <c r="AC555" t="inlineStr">
        <is>
          <t>Av. Brasil 1836 Edif Bh South Dpto. 409</t>
        </is>
      </c>
      <c r="AD555" t="n">
        <v>0</v>
      </c>
      <c r="AE555" t="inlineStr">
        <is>
          <t>924430158</t>
        </is>
      </c>
      <c r="AF555" t="inlineStr">
        <is>
          <t>Jimmyandrademorveli@gmail.com</t>
        </is>
      </c>
      <c r="AG555" t="inlineStr">
        <is>
          <t>LIMA</t>
        </is>
      </c>
      <c r="AH555" t="inlineStr">
        <is>
          <t>PUEBLO LIBRE</t>
        </is>
      </c>
      <c r="AI555" s="116" t="n">
        <v>46111</v>
      </c>
      <c r="AJ555" s="116" t="n"/>
      <c r="AK555" t="inlineStr">
        <is>
          <t>SALDO FINANCIAR</t>
        </is>
      </c>
      <c r="AL555" t="n">
        <v>1</v>
      </c>
      <c r="AM555" t="n">
        <v>423000</v>
      </c>
      <c r="AN555" t="n">
        <v>0</v>
      </c>
      <c r="AO555" t="n">
        <v>0</v>
      </c>
      <c r="AP555" s="39" t="n">
        <v>423000</v>
      </c>
      <c r="AQ555" s="39" t="n">
        <v>0</v>
      </c>
      <c r="AR555" s="39" t="n">
        <v>423000</v>
      </c>
      <c r="AT555" t="inlineStr">
        <is>
          <t>Crédito Hipotecario</t>
        </is>
      </c>
      <c r="AZ555" t="inlineStr">
        <is>
          <t>No</t>
        </is>
      </c>
      <c r="BC555" t="inlineStr">
        <is>
          <t>VENCIDO</t>
        </is>
      </c>
      <c r="BN555" t="inlineStr">
        <is>
          <t>No</t>
        </is>
      </c>
      <c r="BO555" s="117" t="n">
        <v>46028.40416666667</v>
      </c>
      <c r="BP555" t="inlineStr">
        <is>
          <t>Magaly Guevara Perez</t>
        </is>
      </c>
      <c r="BR555" t="n">
        <v>33</v>
      </c>
      <c r="BT555" t="n">
        <v>0</v>
      </c>
      <c r="BX555" t="inlineStr">
        <is>
          <t>Cobranzas_2026.csv</t>
        </is>
      </c>
      <c r="BY555" t="n">
        <v>2026</v>
      </c>
      <c r="BZ555" t="inlineStr">
        <is>
          <t>01/01/2024</t>
        </is>
      </c>
      <c r="CA555" t="inlineStr">
        <is>
          <t>30/09/2031</t>
        </is>
      </c>
    </row>
    <row r="556">
      <c r="A556" t="inlineStr">
        <is>
          <t>RESIDENCIAL BEYOND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Estacionamiento</t>
        </is>
      </c>
      <c r="F556" t="inlineStr">
        <is>
          <t>E 19 - D 14</t>
        </is>
      </c>
      <c r="G556" s="39" t="n">
        <v>54500</v>
      </c>
      <c r="H556" s="39" t="n">
        <v>54500</v>
      </c>
      <c r="M556" s="39" t="n"/>
      <c r="N556" s="39" t="n"/>
      <c r="S556" s="39" t="n"/>
      <c r="T556" s="39" t="n"/>
      <c r="Y556" s="39" t="n"/>
      <c r="Z556" s="39" t="n"/>
      <c r="AA556" t="inlineStr">
        <is>
          <t>Jimmy Luis Andrade Morveli</t>
        </is>
      </c>
      <c r="AB556" t="inlineStr">
        <is>
          <t>40071918</t>
        </is>
      </c>
      <c r="AC556" t="inlineStr">
        <is>
          <t>Av. Brasil 1836 Edif Bh South Dpto. 409</t>
        </is>
      </c>
      <c r="AD556" t="n">
        <v>0</v>
      </c>
      <c r="AE556" t="inlineStr">
        <is>
          <t>924430158</t>
        </is>
      </c>
      <c r="AF556" t="inlineStr">
        <is>
          <t>Jimmyandrademorveli@gmail.com</t>
        </is>
      </c>
      <c r="AG556" t="inlineStr">
        <is>
          <t>LIMA</t>
        </is>
      </c>
      <c r="AH556" t="inlineStr">
        <is>
          <t>PUEBLO LIBRE</t>
        </is>
      </c>
      <c r="AI556" s="116" t="n">
        <v>46350</v>
      </c>
      <c r="AJ556" s="116" t="n">
        <v>46350</v>
      </c>
      <c r="AK556" t="inlineStr">
        <is>
          <t>SEPARACION</t>
        </is>
      </c>
      <c r="AL556" t="n">
        <v>1</v>
      </c>
      <c r="AM556" t="n">
        <v>3000</v>
      </c>
      <c r="AN556" t="n">
        <v>0</v>
      </c>
      <c r="AO556" t="n">
        <v>0</v>
      </c>
      <c r="AP556" s="39" t="n">
        <v>3000</v>
      </c>
      <c r="AQ556" s="39" t="n">
        <v>3000</v>
      </c>
      <c r="AR556" s="39" t="n">
        <v>0</v>
      </c>
      <c r="AS556" t="n">
        <v>0</v>
      </c>
      <c r="AT556" t="inlineStr">
        <is>
          <t>Crédito Directo</t>
        </is>
      </c>
      <c r="AU556" t="inlineStr">
        <is>
          <t>Banco de Credito del Perú</t>
        </is>
      </c>
      <c r="AV556" t="inlineStr">
        <is>
          <t>194-7325779-0-65</t>
        </is>
      </c>
      <c r="AW556" t="inlineStr">
        <is>
          <t>TRANSFERENCIA BANCARIA</t>
        </is>
      </c>
      <c r="AY556" t="inlineStr">
        <is>
          <t>01922234</t>
        </is>
      </c>
      <c r="AZ556" t="inlineStr">
        <is>
          <t>No</t>
        </is>
      </c>
      <c r="BB556" t="n">
        <v>4</v>
      </c>
      <c r="BC556" t="inlineStr">
        <is>
          <t>CANCELADO</t>
        </is>
      </c>
      <c r="BN556" t="inlineStr">
        <is>
          <t>Si</t>
        </is>
      </c>
      <c r="BO556" s="117" t="n">
        <v>45985.77916666667</v>
      </c>
      <c r="BP556" t="inlineStr">
        <is>
          <t>Magaly Guevara Perez</t>
        </is>
      </c>
      <c r="BR556" t="n">
        <v>60</v>
      </c>
      <c r="BS556" t="inlineStr">
        <is>
          <t>29/08/2026 18:42</t>
        </is>
      </c>
      <c r="BT556" t="n">
        <v>0</v>
      </c>
      <c r="BX556" t="inlineStr">
        <is>
          <t>Cobranzas_2026.csv</t>
        </is>
      </c>
      <c r="BY556" t="n">
        <v>2026</v>
      </c>
      <c r="BZ556" t="inlineStr">
        <is>
          <t>01/01/2024</t>
        </is>
      </c>
      <c r="CA556" t="inlineStr">
        <is>
          <t>30/09/2031</t>
        </is>
      </c>
    </row>
    <row r="557">
      <c r="A557" t="inlineStr">
        <is>
          <t>RESIDENCIAL BEYOND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Estacionamiento</t>
        </is>
      </c>
      <c r="F557" t="inlineStr">
        <is>
          <t>E 19 - D 14</t>
        </is>
      </c>
      <c r="G557" s="39" t="n">
        <v>54500</v>
      </c>
      <c r="H557" s="39" t="n">
        <v>54500</v>
      </c>
      <c r="M557" s="39" t="n"/>
      <c r="N557" s="39" t="n"/>
      <c r="S557" s="39" t="n"/>
      <c r="T557" s="39" t="n"/>
      <c r="Y557" s="39" t="n"/>
      <c r="Z557" s="39" t="n"/>
      <c r="AA557" t="inlineStr">
        <is>
          <t>Jimmy Luis Andrade Morveli</t>
        </is>
      </c>
      <c r="AB557" t="inlineStr">
        <is>
          <t>40071918</t>
        </is>
      </c>
      <c r="AC557" t="inlineStr">
        <is>
          <t>Av. Brasil 1836 Edif Bh South Dpto. 409</t>
        </is>
      </c>
      <c r="AD557" t="n">
        <v>0</v>
      </c>
      <c r="AE557" t="inlineStr">
        <is>
          <t>924430158</t>
        </is>
      </c>
      <c r="AF557" t="inlineStr">
        <is>
          <t>Jimmyandrademorveli@gmail.com</t>
        </is>
      </c>
      <c r="AG557" t="inlineStr">
        <is>
          <t>LIMA</t>
        </is>
      </c>
      <c r="AH557" t="inlineStr">
        <is>
          <t>PUEBLO LIBRE</t>
        </is>
      </c>
      <c r="AI557" s="116" t="n">
        <v>46295</v>
      </c>
      <c r="AJ557" s="116" t="n"/>
      <c r="AK557" t="inlineStr">
        <is>
          <t>SALDO FINANCIAR</t>
        </is>
      </c>
      <c r="AL557" t="n">
        <v>1</v>
      </c>
      <c r="AM557" t="n">
        <v>3000</v>
      </c>
      <c r="AN557" t="n">
        <v>0</v>
      </c>
      <c r="AO557" t="n">
        <v>0</v>
      </c>
      <c r="AP557" s="39" t="n">
        <v>3000</v>
      </c>
      <c r="AQ557" s="39" t="n">
        <v>0</v>
      </c>
      <c r="AR557" s="39" t="n">
        <v>3000</v>
      </c>
      <c r="AT557" t="inlineStr">
        <is>
          <t>Crédito Directo</t>
        </is>
      </c>
      <c r="AZ557" t="inlineStr">
        <is>
          <t>No</t>
        </is>
      </c>
      <c r="BC557" t="inlineStr">
        <is>
          <t>VENCIDO</t>
        </is>
      </c>
      <c r="BN557" t="inlineStr">
        <is>
          <t>No</t>
        </is>
      </c>
      <c r="BO557" s="117" t="n">
        <v>45985.77916666667</v>
      </c>
      <c r="BP557" t="inlineStr">
        <is>
          <t>Magaly Guevara Perez</t>
        </is>
      </c>
      <c r="BR557" t="n">
        <v>60</v>
      </c>
      <c r="BT557" t="n">
        <v>0</v>
      </c>
      <c r="BX557" t="inlineStr">
        <is>
          <t>Cobranzas_2026.csv</t>
        </is>
      </c>
      <c r="BY557" t="n">
        <v>2026</v>
      </c>
      <c r="BZ557" t="inlineStr">
        <is>
          <t>01/01/2024</t>
        </is>
      </c>
      <c r="CA557" t="inlineStr">
        <is>
          <t>30/09/2031</t>
        </is>
      </c>
    </row>
    <row r="558">
      <c r="A558" t="inlineStr">
        <is>
          <t>RESIDENCIAL BEYOND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Estacionamiento</t>
        </is>
      </c>
      <c r="F558" t="inlineStr">
        <is>
          <t>E 19 - D 14</t>
        </is>
      </c>
      <c r="G558" s="39" t="n">
        <v>54500</v>
      </c>
      <c r="H558" s="39" t="n">
        <v>54500</v>
      </c>
      <c r="M558" s="39" t="n"/>
      <c r="N558" s="39" t="n"/>
      <c r="S558" s="39" t="n"/>
      <c r="T558" s="39" t="n"/>
      <c r="Y558" s="39" t="n"/>
      <c r="Z558" s="39" t="n"/>
      <c r="AA558" t="inlineStr">
        <is>
          <t>Jimmy Luis Andrade Morveli</t>
        </is>
      </c>
      <c r="AB558" t="inlineStr">
        <is>
          <t>40071918</t>
        </is>
      </c>
      <c r="AC558" t="inlineStr">
        <is>
          <t>Av. Brasil 1836 Edif Bh South Dpto. 409</t>
        </is>
      </c>
      <c r="AD558" t="n">
        <v>0</v>
      </c>
      <c r="AE558" t="inlineStr">
        <is>
          <t>924430158</t>
        </is>
      </c>
      <c r="AF558" t="inlineStr">
        <is>
          <t>Jimmyandrademorveli@gmail.com</t>
        </is>
      </c>
      <c r="AG558" t="inlineStr">
        <is>
          <t>LIMA</t>
        </is>
      </c>
      <c r="AH558" t="inlineStr">
        <is>
          <t>PUEBLO LIBRE</t>
        </is>
      </c>
      <c r="AI558" s="116" t="n">
        <v>46325</v>
      </c>
      <c r="AJ558" s="116" t="n"/>
      <c r="AK558" t="inlineStr">
        <is>
          <t>SALDO FINANCIAR</t>
        </is>
      </c>
      <c r="AL558" t="n">
        <v>2</v>
      </c>
      <c r="AM558" t="n">
        <v>3000</v>
      </c>
      <c r="AN558" t="n">
        <v>0</v>
      </c>
      <c r="AO558" t="n">
        <v>0</v>
      </c>
      <c r="AP558" s="39" t="n">
        <v>3000</v>
      </c>
      <c r="AQ558" s="39" t="n">
        <v>0</v>
      </c>
      <c r="AR558" s="39" t="n">
        <v>3000</v>
      </c>
      <c r="AT558" t="inlineStr">
        <is>
          <t>Crédito Directo</t>
        </is>
      </c>
      <c r="AZ558" t="inlineStr">
        <is>
          <t>No</t>
        </is>
      </c>
      <c r="BC558" t="inlineStr">
        <is>
          <t>PENDIENTE</t>
        </is>
      </c>
      <c r="BN558" t="inlineStr">
        <is>
          <t>No</t>
        </is>
      </c>
      <c r="BO558" s="117" t="n">
        <v>45985.77916666667</v>
      </c>
      <c r="BP558" t="inlineStr">
        <is>
          <t>Magaly Guevara Perez</t>
        </is>
      </c>
      <c r="BR558" t="n">
        <v>60</v>
      </c>
      <c r="BT558" t="n">
        <v>0</v>
      </c>
      <c r="BX558" t="inlineStr">
        <is>
          <t>Cobranzas_2026.csv</t>
        </is>
      </c>
      <c r="BY558" t="n">
        <v>2026</v>
      </c>
      <c r="BZ558" t="inlineStr">
        <is>
          <t>01/01/2024</t>
        </is>
      </c>
      <c r="CA558" t="inlineStr">
        <is>
          <t>30/09/2031</t>
        </is>
      </c>
    </row>
    <row r="559">
      <c r="A559" t="inlineStr">
        <is>
          <t>RESIDENCIAL BEYOND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Estacionamiento</t>
        </is>
      </c>
      <c r="F559" t="inlineStr">
        <is>
          <t>E 19 - D 14</t>
        </is>
      </c>
      <c r="G559" s="39" t="n">
        <v>54500</v>
      </c>
      <c r="H559" s="39" t="n">
        <v>54500</v>
      </c>
      <c r="M559" s="39" t="n"/>
      <c r="N559" s="39" t="n"/>
      <c r="S559" s="39" t="n"/>
      <c r="T559" s="39" t="n"/>
      <c r="Y559" s="39" t="n"/>
      <c r="Z559" s="39" t="n"/>
      <c r="AA559" t="inlineStr">
        <is>
          <t>Jimmy Luis Andrade Morveli</t>
        </is>
      </c>
      <c r="AB559" t="inlineStr">
        <is>
          <t>40071918</t>
        </is>
      </c>
      <c r="AC559" t="inlineStr">
        <is>
          <t>Av. Brasil 1836 Edif Bh South Dpto. 409</t>
        </is>
      </c>
      <c r="AD559" t="n">
        <v>0</v>
      </c>
      <c r="AE559" t="inlineStr">
        <is>
          <t>924430158</t>
        </is>
      </c>
      <c r="AF559" t="inlineStr">
        <is>
          <t>Jimmyandrademorveli@gmail.com</t>
        </is>
      </c>
      <c r="AG559" t="inlineStr">
        <is>
          <t>LIMA</t>
        </is>
      </c>
      <c r="AH559" t="inlineStr">
        <is>
          <t>PUEBLO LIBRE</t>
        </is>
      </c>
      <c r="AI559" s="116" t="n">
        <v>46356</v>
      </c>
      <c r="AJ559" s="116" t="n"/>
      <c r="AK559" t="inlineStr">
        <is>
          <t>SALDO FINANCIAR</t>
        </is>
      </c>
      <c r="AL559" t="n">
        <v>3</v>
      </c>
      <c r="AM559" t="n">
        <v>3000</v>
      </c>
      <c r="AN559" t="n">
        <v>0</v>
      </c>
      <c r="AO559" t="n">
        <v>0</v>
      </c>
      <c r="AP559" s="39" t="n">
        <v>3000</v>
      </c>
      <c r="AQ559" s="39" t="n">
        <v>0</v>
      </c>
      <c r="AR559" s="39" t="n">
        <v>3000</v>
      </c>
      <c r="AT559" t="inlineStr">
        <is>
          <t>Crédito Directo</t>
        </is>
      </c>
      <c r="AZ559" t="inlineStr">
        <is>
          <t>No</t>
        </is>
      </c>
      <c r="BC559" t="inlineStr">
        <is>
          <t>PENDIENTE</t>
        </is>
      </c>
      <c r="BN559" t="inlineStr">
        <is>
          <t>No</t>
        </is>
      </c>
      <c r="BO559" s="117" t="n">
        <v>45985.77916666667</v>
      </c>
      <c r="BP559" t="inlineStr">
        <is>
          <t>Magaly Guevara Perez</t>
        </is>
      </c>
      <c r="BR559" t="n">
        <v>60</v>
      </c>
      <c r="BT559" t="n">
        <v>0</v>
      </c>
      <c r="BX559" t="inlineStr">
        <is>
          <t>Cobranzas_2026.csv</t>
        </is>
      </c>
      <c r="BY559" t="n">
        <v>2026</v>
      </c>
      <c r="BZ559" t="inlineStr">
        <is>
          <t>01/01/2024</t>
        </is>
      </c>
      <c r="CA559" t="inlineStr">
        <is>
          <t>30/09/2031</t>
        </is>
      </c>
    </row>
    <row r="560">
      <c r="A560" t="inlineStr">
        <is>
          <t>RESIDENCIAL BEYOND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Estacionamiento</t>
        </is>
      </c>
      <c r="F560" t="inlineStr">
        <is>
          <t>E 19 - D 14</t>
        </is>
      </c>
      <c r="G560" s="39" t="n">
        <v>54500</v>
      </c>
      <c r="H560" s="39" t="n">
        <v>54500</v>
      </c>
      <c r="M560" s="39" t="n"/>
      <c r="N560" s="39" t="n"/>
      <c r="S560" s="39" t="n"/>
      <c r="T560" s="39" t="n"/>
      <c r="Y560" s="39" t="n"/>
      <c r="Z560" s="39" t="n"/>
      <c r="AA560" t="inlineStr">
        <is>
          <t>Jimmy Luis Andrade Morveli</t>
        </is>
      </c>
      <c r="AB560" t="inlineStr">
        <is>
          <t>40071918</t>
        </is>
      </c>
      <c r="AC560" t="inlineStr">
        <is>
          <t>Av. Brasil 1836 Edif Bh South Dpto. 409</t>
        </is>
      </c>
      <c r="AD560" t="n">
        <v>0</v>
      </c>
      <c r="AE560" t="inlineStr">
        <is>
          <t>924430158</t>
        </is>
      </c>
      <c r="AF560" t="inlineStr">
        <is>
          <t>Jimmyandrademorveli@gmail.com</t>
        </is>
      </c>
      <c r="AG560" t="inlineStr">
        <is>
          <t>LIMA</t>
        </is>
      </c>
      <c r="AH560" t="inlineStr">
        <is>
          <t>PUEBLO LIBRE</t>
        </is>
      </c>
      <c r="AI560" s="116" t="n">
        <v>46386</v>
      </c>
      <c r="AJ560" s="116" t="n"/>
      <c r="AK560" t="inlineStr">
        <is>
          <t>SALDO FINANCIAR</t>
        </is>
      </c>
      <c r="AL560" t="n">
        <v>4</v>
      </c>
      <c r="AM560" t="n">
        <v>3000</v>
      </c>
      <c r="AN560" t="n">
        <v>0</v>
      </c>
      <c r="AO560" t="n">
        <v>0</v>
      </c>
      <c r="AP560" s="39" t="n">
        <v>3000</v>
      </c>
      <c r="AQ560" s="39" t="n">
        <v>0</v>
      </c>
      <c r="AR560" s="39" t="n">
        <v>3000</v>
      </c>
      <c r="AT560" t="inlineStr">
        <is>
          <t>Crédito Directo</t>
        </is>
      </c>
      <c r="AZ560" t="inlineStr">
        <is>
          <t>No</t>
        </is>
      </c>
      <c r="BC560" t="inlineStr">
        <is>
          <t>PENDIENTE</t>
        </is>
      </c>
      <c r="BN560" t="inlineStr">
        <is>
          <t>No</t>
        </is>
      </c>
      <c r="BO560" s="117" t="n">
        <v>45985.77916666667</v>
      </c>
      <c r="BP560" t="inlineStr">
        <is>
          <t>Magaly Guevara Perez</t>
        </is>
      </c>
      <c r="BR560" t="n">
        <v>60</v>
      </c>
      <c r="BT560" t="n">
        <v>0</v>
      </c>
      <c r="BX560" t="inlineStr">
        <is>
          <t>Cobranzas_2026.csv</t>
        </is>
      </c>
      <c r="BY560" t="n">
        <v>2026</v>
      </c>
      <c r="BZ560" t="inlineStr">
        <is>
          <t>01/01/2024</t>
        </is>
      </c>
      <c r="CA560" t="inlineStr">
        <is>
          <t>30/09/2031</t>
        </is>
      </c>
    </row>
    <row r="561">
      <c r="A561" t="inlineStr">
        <is>
          <t>RESIDENCIAL BEYOND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405</t>
        </is>
      </c>
      <c r="G561" s="39" t="n">
        <v>532100</v>
      </c>
      <c r="H561" s="39" t="n">
        <v>501100</v>
      </c>
      <c r="M561" s="39" t="n"/>
      <c r="N561" s="39" t="n"/>
      <c r="S561" s="39" t="n"/>
      <c r="T561" s="39" t="n"/>
      <c r="Y561" s="39" t="n"/>
      <c r="Z561" s="39" t="n"/>
      <c r="AA561" t="inlineStr">
        <is>
          <t>Jiri Ruzicka R</t>
        </is>
      </c>
      <c r="AB561" t="inlineStr">
        <is>
          <t>001831906</t>
        </is>
      </c>
      <c r="AC561" t="inlineStr">
        <is>
          <t xml:space="preserve">Calle Los Mirtos 230 Edificio Live Lima Flats Torre C </t>
        </is>
      </c>
      <c r="AD561" t="n">
        <v>0</v>
      </c>
      <c r="AE561" t="inlineStr">
        <is>
          <t>943541529</t>
        </is>
      </c>
      <c r="AF561" t="inlineStr">
        <is>
          <t>jiriruzicka@web.de</t>
        </is>
      </c>
      <c r="AG561" t="inlineStr">
        <is>
          <t>LIMA</t>
        </is>
      </c>
      <c r="AH561" t="inlineStr">
        <is>
          <t>LINCE</t>
        </is>
      </c>
      <c r="AI561" s="116" t="n">
        <v>46159</v>
      </c>
      <c r="AJ561" s="116" t="n">
        <v>46159</v>
      </c>
      <c r="AK561" t="inlineStr">
        <is>
          <t>SEPARACION</t>
        </is>
      </c>
      <c r="AL561" t="n">
        <v>1</v>
      </c>
      <c r="AM561" t="n">
        <v>3000</v>
      </c>
      <c r="AN561" t="n">
        <v>0</v>
      </c>
      <c r="AO561" t="n">
        <v>0</v>
      </c>
      <c r="AP561" s="39" t="n">
        <v>3000</v>
      </c>
      <c r="AQ561" s="39" t="n">
        <v>3000</v>
      </c>
      <c r="AR561" s="39" t="n">
        <v>0</v>
      </c>
      <c r="AS561" t="n">
        <v>0</v>
      </c>
      <c r="AT561" t="inlineStr">
        <is>
          <t>Ahorro</t>
        </is>
      </c>
      <c r="AU561" t="inlineStr">
        <is>
          <t>Banco de Credito del Perú</t>
        </is>
      </c>
      <c r="AV561" t="inlineStr">
        <is>
          <t>194-7325779-0-65</t>
        </is>
      </c>
      <c r="AW561" t="inlineStr">
        <is>
          <t>POS VISA</t>
        </is>
      </c>
      <c r="AY561" t="inlineStr">
        <is>
          <t>0083</t>
        </is>
      </c>
      <c r="AZ561" t="inlineStr">
        <is>
          <t>Si</t>
        </is>
      </c>
      <c r="BB561" t="n">
        <v>4</v>
      </c>
      <c r="BC561" t="inlineStr">
        <is>
          <t>CANCELADO</t>
        </is>
      </c>
      <c r="BN561" t="inlineStr">
        <is>
          <t>Si</t>
        </is>
      </c>
      <c r="BO561" s="117" t="n">
        <v>46164.38958333333</v>
      </c>
      <c r="BP561" t="inlineStr">
        <is>
          <t>Josue andres Perez Chamorro</t>
        </is>
      </c>
      <c r="BR561" t="n">
        <v>8</v>
      </c>
      <c r="BS561" t="inlineStr">
        <is>
          <t>17/05/2026 16:35</t>
        </is>
      </c>
      <c r="BT561" t="n">
        <v>0</v>
      </c>
      <c r="BX561" t="inlineStr">
        <is>
          <t>Cobranzas_2026.csv</t>
        </is>
      </c>
      <c r="BY561" t="n">
        <v>2026</v>
      </c>
      <c r="BZ561" t="inlineStr">
        <is>
          <t>01/01/2024</t>
        </is>
      </c>
      <c r="CA561" t="inlineStr">
        <is>
          <t>30/09/2031</t>
        </is>
      </c>
    </row>
    <row r="562">
      <c r="A562" t="inlineStr">
        <is>
          <t>RESIDENCIAL BEYOND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405</t>
        </is>
      </c>
      <c r="G562" s="39" t="n">
        <v>532100</v>
      </c>
      <c r="H562" s="39" t="n">
        <v>501100</v>
      </c>
      <c r="M562" s="39" t="n"/>
      <c r="N562" s="39" t="n"/>
      <c r="S562" s="39" t="n"/>
      <c r="T562" s="39" t="n"/>
      <c r="Y562" s="39" t="n"/>
      <c r="Z562" s="39" t="n"/>
      <c r="AA562" t="inlineStr">
        <is>
          <t>Jiri Ruzicka R</t>
        </is>
      </c>
      <c r="AB562" t="inlineStr">
        <is>
          <t>001831906</t>
        </is>
      </c>
      <c r="AC562" t="inlineStr">
        <is>
          <t xml:space="preserve">Calle Los Mirtos 230 Edificio Live Lima Flats Torre C </t>
        </is>
      </c>
      <c r="AD562" t="n">
        <v>0</v>
      </c>
      <c r="AE562" t="inlineStr">
        <is>
          <t>943541529</t>
        </is>
      </c>
      <c r="AF562" t="inlineStr">
        <is>
          <t>jiriruzicka@web.de</t>
        </is>
      </c>
      <c r="AG562" t="inlineStr">
        <is>
          <t>LIMA</t>
        </is>
      </c>
      <c r="AH562" t="inlineStr">
        <is>
          <t>LINCE</t>
        </is>
      </c>
      <c r="AI562" s="116" t="n">
        <v>46163</v>
      </c>
      <c r="AJ562" s="116" t="n">
        <v>46164</v>
      </c>
      <c r="AK562" t="inlineStr">
        <is>
          <t>CUOTA INICIAL</t>
        </is>
      </c>
      <c r="AL562" t="n">
        <v>1</v>
      </c>
      <c r="AM562" t="n">
        <v>22055</v>
      </c>
      <c r="AN562" t="n">
        <v>0</v>
      </c>
      <c r="AO562" t="n">
        <v>0</v>
      </c>
      <c r="AP562" s="39" t="n">
        <v>22055</v>
      </c>
      <c r="AQ562" s="39" t="n">
        <v>22055</v>
      </c>
      <c r="AR562" s="39" t="n">
        <v>0</v>
      </c>
      <c r="AS562" t="n">
        <v>0</v>
      </c>
      <c r="AT562" t="inlineStr">
        <is>
          <t>Ahorro</t>
        </is>
      </c>
      <c r="AU562" t="inlineStr">
        <is>
          <t>Banco de Credito del Perú</t>
        </is>
      </c>
      <c r="AV562" t="inlineStr">
        <is>
          <t>194-7325779-0-65</t>
        </is>
      </c>
      <c r="AW562" t="inlineStr">
        <is>
          <t>TRANSFERENCIA BANCARIA</t>
        </is>
      </c>
      <c r="AY562" t="inlineStr">
        <is>
          <t>046664</t>
        </is>
      </c>
      <c r="AZ562" t="inlineStr">
        <is>
          <t>Si</t>
        </is>
      </c>
      <c r="BB562" t="n">
        <v>4</v>
      </c>
      <c r="BC562" t="inlineStr">
        <is>
          <t>CANCELADO</t>
        </is>
      </c>
      <c r="BN562" t="inlineStr">
        <is>
          <t>Si</t>
        </is>
      </c>
      <c r="BO562" s="117" t="n">
        <v>46164.38958333333</v>
      </c>
      <c r="BP562" t="inlineStr">
        <is>
          <t>Josue andres Perez Chamorro</t>
        </is>
      </c>
      <c r="BR562" t="n">
        <v>8</v>
      </c>
      <c r="BS562" t="inlineStr">
        <is>
          <t>02/06/2026 16:38</t>
        </is>
      </c>
      <c r="BT562" t="n">
        <v>0</v>
      </c>
      <c r="BX562" t="inlineStr">
        <is>
          <t>Cobranzas_2026.csv</t>
        </is>
      </c>
      <c r="BY562" t="n">
        <v>2026</v>
      </c>
      <c r="BZ562" t="inlineStr">
        <is>
          <t>01/01/2024</t>
        </is>
      </c>
      <c r="CA562" t="inlineStr">
        <is>
          <t>30/09/2031</t>
        </is>
      </c>
    </row>
    <row r="563">
      <c r="A563" t="inlineStr">
        <is>
          <t>RESIDENCIAL BEYOND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Departamento</t>
        </is>
      </c>
      <c r="F563" t="inlineStr">
        <is>
          <t>803</t>
        </is>
      </c>
      <c r="G563" s="39" t="n">
        <v>510000</v>
      </c>
      <c r="H563" s="39" t="n">
        <v>476700</v>
      </c>
      <c r="I563" t="inlineStr">
        <is>
          <t>Edificio</t>
        </is>
      </c>
      <c r="J563" t="inlineStr">
        <is>
          <t>A</t>
        </is>
      </c>
      <c r="K563" t="inlineStr">
        <is>
          <t>Estacionamiento</t>
        </is>
      </c>
      <c r="L563" t="inlineStr">
        <is>
          <t>E 28 - D 18</t>
        </is>
      </c>
      <c r="M563" s="39" t="n">
        <v>48600</v>
      </c>
      <c r="N563" s="39" t="n">
        <v>48600</v>
      </c>
      <c r="S563" s="39" t="n"/>
      <c r="T563" s="39" t="n"/>
      <c r="Y563" s="39" t="n"/>
      <c r="Z563" s="39" t="n"/>
      <c r="AA563" t="inlineStr">
        <is>
          <t>Jorge Luis Montoya Mendoza</t>
        </is>
      </c>
      <c r="AB563" t="inlineStr">
        <is>
          <t>21458250</t>
        </is>
      </c>
      <c r="AC563" t="inlineStr">
        <is>
          <t>luismm65@hotmail.com</t>
        </is>
      </c>
      <c r="AD563" t="n">
        <v>0</v>
      </c>
      <c r="AE563" t="inlineStr">
        <is>
          <t>962673705</t>
        </is>
      </c>
      <c r="AF563" t="inlineStr">
        <is>
          <t>luismm65@hotmail.com</t>
        </is>
      </c>
      <c r="AG563" t="inlineStr">
        <is>
          <t>LIMA</t>
        </is>
      </c>
      <c r="AH563" t="inlineStr">
        <is>
          <t>PUEBLO LIBRE</t>
        </is>
      </c>
      <c r="AI563" s="116" t="n">
        <v>46095</v>
      </c>
      <c r="AJ563" s="116" t="n">
        <v>46095</v>
      </c>
      <c r="AK563" t="inlineStr">
        <is>
          <t>SEPARACION</t>
        </is>
      </c>
      <c r="AL563" t="n">
        <v>1</v>
      </c>
      <c r="AM563" t="n">
        <v>3000</v>
      </c>
      <c r="AN563" t="n">
        <v>0</v>
      </c>
      <c r="AO563" t="n">
        <v>0</v>
      </c>
      <c r="AP563" s="39" t="n">
        <v>3000</v>
      </c>
      <c r="AQ563" s="39" t="n">
        <v>3000</v>
      </c>
      <c r="AR563" s="39" t="n">
        <v>0</v>
      </c>
      <c r="AS563" t="n">
        <v>0</v>
      </c>
      <c r="AT563" t="inlineStr">
        <is>
          <t>Crédito Directo</t>
        </is>
      </c>
      <c r="AU563" t="inlineStr">
        <is>
          <t>Banco de Credito del Perú</t>
        </is>
      </c>
      <c r="AV563" t="inlineStr">
        <is>
          <t>194-7325779-0-65</t>
        </is>
      </c>
      <c r="AW563" t="inlineStr">
        <is>
          <t>TRANSFERENCIA BANCARIA</t>
        </is>
      </c>
      <c r="AY563" t="inlineStr">
        <is>
          <t>14032026</t>
        </is>
      </c>
      <c r="AZ563" t="inlineStr">
        <is>
          <t>No</t>
        </is>
      </c>
      <c r="BB563" t="n">
        <v>4</v>
      </c>
      <c r="BC563" t="inlineStr">
        <is>
          <t>CANCELADO</t>
        </is>
      </c>
      <c r="BN563" t="inlineStr">
        <is>
          <t>Si</t>
        </is>
      </c>
      <c r="BO563" s="117" t="n">
        <v>46142.41805555556</v>
      </c>
      <c r="BP563" t="inlineStr">
        <is>
          <t>Magaly Guevara Perez</t>
        </is>
      </c>
      <c r="BR563" t="n">
        <v>18</v>
      </c>
      <c r="BS563" t="inlineStr">
        <is>
          <t>23/05/2026 23:39</t>
        </is>
      </c>
      <c r="BT563" t="n">
        <v>0</v>
      </c>
      <c r="BX563" t="inlineStr">
        <is>
          <t>Cobranzas_2026.csv</t>
        </is>
      </c>
      <c r="BY563" t="n">
        <v>2026</v>
      </c>
      <c r="BZ563" t="inlineStr">
        <is>
          <t>01/01/2024</t>
        </is>
      </c>
      <c r="CA563" t="inlineStr">
        <is>
          <t>30/09/2031</t>
        </is>
      </c>
    </row>
    <row r="564">
      <c r="A564" t="inlineStr">
        <is>
          <t>RESIDENCIAL BEYOND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Departamento</t>
        </is>
      </c>
      <c r="F564" t="inlineStr">
        <is>
          <t>803</t>
        </is>
      </c>
      <c r="G564" s="39" t="n">
        <v>510000</v>
      </c>
      <c r="H564" s="39" t="n">
        <v>476700</v>
      </c>
      <c r="I564" t="inlineStr">
        <is>
          <t>Edificio</t>
        </is>
      </c>
      <c r="J564" t="inlineStr">
        <is>
          <t>A</t>
        </is>
      </c>
      <c r="K564" t="inlineStr">
        <is>
          <t>Estacionamiento</t>
        </is>
      </c>
      <c r="L564" t="inlineStr">
        <is>
          <t>E 28 - D 18</t>
        </is>
      </c>
      <c r="M564" s="39" t="n">
        <v>48600</v>
      </c>
      <c r="N564" s="39" t="n">
        <v>48600</v>
      </c>
      <c r="S564" s="39" t="n"/>
      <c r="T564" s="39" t="n"/>
      <c r="Y564" s="39" t="n"/>
      <c r="Z564" s="39" t="n"/>
      <c r="AA564" t="inlineStr">
        <is>
          <t>Jorge Luis Montoya Mendoza</t>
        </is>
      </c>
      <c r="AB564" t="inlineStr">
        <is>
          <t>21458250</t>
        </is>
      </c>
      <c r="AC564" t="inlineStr">
        <is>
          <t>luismm65@hotmail.com</t>
        </is>
      </c>
      <c r="AD564" t="n">
        <v>0</v>
      </c>
      <c r="AE564" t="inlineStr">
        <is>
          <t>962673705</t>
        </is>
      </c>
      <c r="AF564" t="inlineStr">
        <is>
          <t>luismm65@hotmail.com</t>
        </is>
      </c>
      <c r="AG564" t="inlineStr">
        <is>
          <t>LIMA</t>
        </is>
      </c>
      <c r="AH564" t="inlineStr">
        <is>
          <t>PUEBLO LIBRE</t>
        </is>
      </c>
      <c r="AI564" s="116" t="n">
        <v>46111</v>
      </c>
      <c r="AJ564" s="116" t="n">
        <v>46111</v>
      </c>
      <c r="AK564" t="inlineStr">
        <is>
          <t>CUOTA INICIAL</t>
        </is>
      </c>
      <c r="AL564" t="n">
        <v>1</v>
      </c>
      <c r="AM564" t="n">
        <v>154590</v>
      </c>
      <c r="AN564" t="n">
        <v>0</v>
      </c>
      <c r="AO564" t="n">
        <v>0</v>
      </c>
      <c r="AP564" s="39" t="n">
        <v>154590</v>
      </c>
      <c r="AQ564" s="39" t="n">
        <v>154590</v>
      </c>
      <c r="AR564" s="39" t="n">
        <v>0</v>
      </c>
      <c r="AS564" t="n">
        <v>0</v>
      </c>
      <c r="AT564" t="inlineStr">
        <is>
          <t>Crédito Directo</t>
        </is>
      </c>
      <c r="AU564" t="inlineStr">
        <is>
          <t>Banco de Credito del Perú</t>
        </is>
      </c>
      <c r="AV564" t="inlineStr">
        <is>
          <t>194-7325779-0-65</t>
        </is>
      </c>
      <c r="AW564" t="inlineStr">
        <is>
          <t>TRANSFERENCIA BANCARIA</t>
        </is>
      </c>
      <c r="AY564" t="inlineStr">
        <is>
          <t>00119</t>
        </is>
      </c>
      <c r="AZ564" t="inlineStr">
        <is>
          <t>No</t>
        </is>
      </c>
      <c r="BB564" t="n">
        <v>4</v>
      </c>
      <c r="BC564" t="inlineStr">
        <is>
          <t>CANCELADO</t>
        </is>
      </c>
      <c r="BN564" t="inlineStr">
        <is>
          <t>Si</t>
        </is>
      </c>
      <c r="BO564" s="117" t="n">
        <v>46142.41805555556</v>
      </c>
      <c r="BP564" t="inlineStr">
        <is>
          <t>Magaly Guevara Perez</t>
        </is>
      </c>
      <c r="BR564" t="n">
        <v>18</v>
      </c>
      <c r="BS564" t="inlineStr">
        <is>
          <t>23/05/2026 23:43</t>
        </is>
      </c>
      <c r="BT564" t="n">
        <v>0</v>
      </c>
      <c r="BX564" t="inlineStr">
        <is>
          <t>Cobranzas_2026.csv</t>
        </is>
      </c>
      <c r="BY564" t="n">
        <v>2026</v>
      </c>
      <c r="BZ564" t="inlineStr">
        <is>
          <t>01/01/2024</t>
        </is>
      </c>
      <c r="CA564" t="inlineStr">
        <is>
          <t>30/09/2031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803</t>
        </is>
      </c>
      <c r="G565" s="39" t="n">
        <v>510000</v>
      </c>
      <c r="H565" s="39" t="n">
        <v>476700</v>
      </c>
      <c r="I565" t="inlineStr">
        <is>
          <t>Edificio</t>
        </is>
      </c>
      <c r="J565" t="inlineStr">
        <is>
          <t>A</t>
        </is>
      </c>
      <c r="K565" t="inlineStr">
        <is>
          <t>Estacionamiento</t>
        </is>
      </c>
      <c r="L565" t="inlineStr">
        <is>
          <t>E 28 - D 18</t>
        </is>
      </c>
      <c r="M565" s="39" t="n">
        <v>48600</v>
      </c>
      <c r="N565" s="39" t="n">
        <v>48600</v>
      </c>
      <c r="S565" s="39" t="n"/>
      <c r="T565" s="39" t="n"/>
      <c r="Y565" s="39" t="n"/>
      <c r="Z565" s="39" t="n"/>
      <c r="AA565" t="inlineStr">
        <is>
          <t>Jorge Luis Montoya Mendoza</t>
        </is>
      </c>
      <c r="AB565" t="inlineStr">
        <is>
          <t>21458250</t>
        </is>
      </c>
      <c r="AC565" t="inlineStr">
        <is>
          <t>luismm65@hotmail.com</t>
        </is>
      </c>
      <c r="AD565" t="n">
        <v>0</v>
      </c>
      <c r="AE565" t="inlineStr">
        <is>
          <t>962673705</t>
        </is>
      </c>
      <c r="AF565" t="inlineStr">
        <is>
          <t>luismm65@hotmail.com</t>
        </is>
      </c>
      <c r="AG565" t="inlineStr">
        <is>
          <t>LIMA</t>
        </is>
      </c>
      <c r="AH565" t="inlineStr">
        <is>
          <t>PUEBLO LIBRE</t>
        </is>
      </c>
      <c r="AI565" s="116" t="n">
        <v>46386</v>
      </c>
      <c r="AJ565" s="116" t="n"/>
      <c r="AK565" t="inlineStr">
        <is>
          <t>SALDO FINANCIAR</t>
        </is>
      </c>
      <c r="AL565" t="n">
        <v>1</v>
      </c>
      <c r="AM565" t="n">
        <v>105060</v>
      </c>
      <c r="AN565" t="n">
        <v>0</v>
      </c>
      <c r="AO565" t="n">
        <v>0</v>
      </c>
      <c r="AP565" s="39" t="n">
        <v>105060</v>
      </c>
      <c r="AQ565" s="39" t="n">
        <v>0</v>
      </c>
      <c r="AR565" s="39" t="n">
        <v>105060</v>
      </c>
      <c r="AT565" t="inlineStr">
        <is>
          <t>Crédito Directo</t>
        </is>
      </c>
      <c r="AZ565" t="inlineStr">
        <is>
          <t>No</t>
        </is>
      </c>
      <c r="BC565" t="inlineStr">
        <is>
          <t>PENDIENTE</t>
        </is>
      </c>
      <c r="BN565" t="inlineStr">
        <is>
          <t>No</t>
        </is>
      </c>
      <c r="BO565" s="117" t="n">
        <v>46142.41805555556</v>
      </c>
      <c r="BP565" t="inlineStr">
        <is>
          <t>Magaly Guevara Perez</t>
        </is>
      </c>
      <c r="BR565" t="n">
        <v>18</v>
      </c>
      <c r="BT565" t="n">
        <v>0</v>
      </c>
      <c r="BX565" t="inlineStr">
        <is>
          <t>Cobranzas_2026.csv</t>
        </is>
      </c>
      <c r="BY565" t="n">
        <v>2026</v>
      </c>
      <c r="BZ565" t="inlineStr">
        <is>
          <t>01/01/2024</t>
        </is>
      </c>
      <c r="CA565" t="inlineStr">
        <is>
          <t>30/09/2031</t>
        </is>
      </c>
    </row>
    <row r="566">
      <c r="A566" t="inlineStr">
        <is>
          <t>RESIDENCIAL VENECIA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504</t>
        </is>
      </c>
      <c r="G566" s="39" t="n">
        <v>428000</v>
      </c>
      <c r="H566" s="39" t="n">
        <v>428000</v>
      </c>
      <c r="M566" s="39" t="n"/>
      <c r="N566" s="39" t="n"/>
      <c r="S566" s="39" t="n"/>
      <c r="T566" s="39" t="n"/>
      <c r="Y566" s="39" t="n"/>
      <c r="Z566" s="39" t="n"/>
      <c r="AA566" t="inlineStr">
        <is>
          <t>Jose Edgardo Camacho Cespedes</t>
        </is>
      </c>
      <c r="AB566" t="inlineStr">
        <is>
          <t>16631860</t>
        </is>
      </c>
      <c r="AC566" t="inlineStr">
        <is>
          <t>Jr. Huamachuco 1961Urb.Fundo Oyague</t>
        </is>
      </c>
      <c r="AD566" t="n">
        <v>0</v>
      </c>
      <c r="AE566" t="inlineStr">
        <is>
          <t>985758164</t>
        </is>
      </c>
      <c r="AF566" t="inlineStr">
        <is>
          <t>edgardocc1ro@gmail.com</t>
        </is>
      </c>
      <c r="AG566" t="inlineStr">
        <is>
          <t>LIMA</t>
        </is>
      </c>
      <c r="AH566" t="inlineStr">
        <is>
          <t>JESUS MARIA</t>
        </is>
      </c>
      <c r="AI566" s="116" t="n">
        <v>46049</v>
      </c>
      <c r="AJ566" s="116" t="n">
        <v>46049</v>
      </c>
      <c r="AK566" t="inlineStr">
        <is>
          <t>CUOTA INICIAL</t>
        </is>
      </c>
      <c r="AL566" t="n">
        <v>1</v>
      </c>
      <c r="AM566" t="n">
        <v>18680</v>
      </c>
      <c r="AN566" t="n">
        <v>0</v>
      </c>
      <c r="AO566" t="n">
        <v>0</v>
      </c>
      <c r="AP566" s="39" t="n">
        <v>18680</v>
      </c>
      <c r="AQ566" s="39" t="n">
        <v>18680</v>
      </c>
      <c r="AR566" s="39" t="n">
        <v>0</v>
      </c>
      <c r="AS566" t="n">
        <v>0</v>
      </c>
      <c r="AT566" t="inlineStr">
        <is>
          <t>Crédito Hipotecario</t>
        </is>
      </c>
      <c r="AU566" t="inlineStr">
        <is>
          <t>Scotiabank Perú</t>
        </is>
      </c>
      <c r="AV566" t="inlineStr">
        <is>
          <t>0004071419</t>
        </is>
      </c>
      <c r="AW566" t="inlineStr">
        <is>
          <t>TRANSFERENCIA BANCARIA</t>
        </is>
      </c>
      <c r="AY566" t="inlineStr">
        <is>
          <t>5535877</t>
        </is>
      </c>
      <c r="AZ566" t="inlineStr">
        <is>
          <t>No</t>
        </is>
      </c>
      <c r="BB566" t="n">
        <v>4</v>
      </c>
      <c r="BC566" t="inlineStr">
        <is>
          <t>CANCELADO</t>
        </is>
      </c>
      <c r="BN566" t="inlineStr">
        <is>
          <t>Si</t>
        </is>
      </c>
      <c r="BO566" s="117" t="n">
        <v>46049.34444444445</v>
      </c>
      <c r="BP566" t="inlineStr">
        <is>
          <t>Magaly Guevara Perez</t>
        </is>
      </c>
      <c r="BR566" t="n">
        <v>10</v>
      </c>
      <c r="BS566" t="inlineStr">
        <is>
          <t>24/05/2026 20:06</t>
        </is>
      </c>
      <c r="BT566" t="n">
        <v>0</v>
      </c>
      <c r="BX566" t="inlineStr">
        <is>
          <t>Cobranzas_2026.csv</t>
        </is>
      </c>
      <c r="BY566" t="n">
        <v>2026</v>
      </c>
      <c r="BZ566" t="inlineStr">
        <is>
          <t>01/01/2024</t>
        </is>
      </c>
      <c r="CA566" t="inlineStr">
        <is>
          <t>30/09/2031</t>
        </is>
      </c>
    </row>
    <row r="567">
      <c r="A567" t="inlineStr">
        <is>
          <t>RESIDENCIAL VENECIA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504</t>
        </is>
      </c>
      <c r="G567" s="39" t="n">
        <v>428000</v>
      </c>
      <c r="H567" s="39" t="n">
        <v>428000</v>
      </c>
      <c r="M567" s="39" t="n"/>
      <c r="N567" s="39" t="n"/>
      <c r="S567" s="39" t="n"/>
      <c r="T567" s="39" t="n"/>
      <c r="Y567" s="39" t="n"/>
      <c r="Z567" s="39" t="n"/>
      <c r="AA567" t="inlineStr">
        <is>
          <t>Jose Edgardo Camacho Cespedes</t>
        </is>
      </c>
      <c r="AB567" t="inlineStr">
        <is>
          <t>16631860</t>
        </is>
      </c>
      <c r="AC567" t="inlineStr">
        <is>
          <t>Jr. Huamachuco 1961Urb.Fundo Oyague</t>
        </is>
      </c>
      <c r="AD567" t="n">
        <v>0</v>
      </c>
      <c r="AE567" t="inlineStr">
        <is>
          <t>985758164</t>
        </is>
      </c>
      <c r="AF567" t="inlineStr">
        <is>
          <t>edgardocc1ro@gmail.com</t>
        </is>
      </c>
      <c r="AG567" t="inlineStr">
        <is>
          <t>LIMA</t>
        </is>
      </c>
      <c r="AH567" t="inlineStr">
        <is>
          <t>JESUS MARIA</t>
        </is>
      </c>
      <c r="AI567" s="116" t="n">
        <v>46107</v>
      </c>
      <c r="AJ567" s="116" t="n">
        <v>46107</v>
      </c>
      <c r="AK567" t="inlineStr">
        <is>
          <t>CUOTA INICIAL</t>
        </is>
      </c>
      <c r="AL567" t="n">
        <v>2</v>
      </c>
      <c r="AM567" t="n">
        <v>20520</v>
      </c>
      <c r="AN567" t="n">
        <v>0</v>
      </c>
      <c r="AO567" t="n">
        <v>0</v>
      </c>
      <c r="AP567" s="39" t="n">
        <v>20520</v>
      </c>
      <c r="AQ567" s="39" t="n">
        <v>20520</v>
      </c>
      <c r="AR567" s="39" t="n">
        <v>0</v>
      </c>
      <c r="AS567" t="n">
        <v>0</v>
      </c>
      <c r="AT567" t="inlineStr">
        <is>
          <t>Crédito Hipotecario</t>
        </is>
      </c>
      <c r="AU567" t="inlineStr">
        <is>
          <t>Scotiabank Perú</t>
        </is>
      </c>
      <c r="AV567" t="inlineStr">
        <is>
          <t>0004071419</t>
        </is>
      </c>
      <c r="AW567" t="inlineStr">
        <is>
          <t>TRANSFERENCIA BANCARIA</t>
        </is>
      </c>
      <c r="AY567" t="inlineStr">
        <is>
          <t>5527318</t>
        </is>
      </c>
      <c r="AZ567" t="inlineStr">
        <is>
          <t>No</t>
        </is>
      </c>
      <c r="BB567" t="n">
        <v>4</v>
      </c>
      <c r="BC567" t="inlineStr">
        <is>
          <t>CANCELADO</t>
        </is>
      </c>
      <c r="BN567" t="inlineStr">
        <is>
          <t>Si</t>
        </is>
      </c>
      <c r="BO567" s="117" t="n">
        <v>46049.34444444445</v>
      </c>
      <c r="BP567" t="inlineStr">
        <is>
          <t>Magaly Guevara Perez</t>
        </is>
      </c>
      <c r="BR567" t="n">
        <v>10</v>
      </c>
      <c r="BS567" t="inlineStr">
        <is>
          <t>24/05/2026 20:06</t>
        </is>
      </c>
      <c r="BT567" t="n">
        <v>0</v>
      </c>
      <c r="BX567" t="inlineStr">
        <is>
          <t>Cobranzas_2026.csv</t>
        </is>
      </c>
      <c r="BY567" t="n">
        <v>2026</v>
      </c>
      <c r="BZ567" t="inlineStr">
        <is>
          <t>01/01/2024</t>
        </is>
      </c>
      <c r="CA567" t="inlineStr">
        <is>
          <t>30/09/2031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504</t>
        </is>
      </c>
      <c r="G568" s="39" t="n">
        <v>428000</v>
      </c>
      <c r="H568" s="39" t="n">
        <v>428000</v>
      </c>
      <c r="M568" s="39" t="n"/>
      <c r="N568" s="39" t="n"/>
      <c r="S568" s="39" t="n"/>
      <c r="T568" s="39" t="n"/>
      <c r="Y568" s="39" t="n"/>
      <c r="Z568" s="39" t="n"/>
      <c r="AA568" t="inlineStr">
        <is>
          <t>Jose Edgardo Camacho Cespedes</t>
        </is>
      </c>
      <c r="AB568" t="inlineStr">
        <is>
          <t>16631860</t>
        </is>
      </c>
      <c r="AC568" t="inlineStr">
        <is>
          <t>Jr. Huamachuco 1961Urb.Fundo Oyague</t>
        </is>
      </c>
      <c r="AD568" t="n">
        <v>0</v>
      </c>
      <c r="AE568" t="inlineStr">
        <is>
          <t>985758164</t>
        </is>
      </c>
      <c r="AF568" t="inlineStr">
        <is>
          <t>edgardocc1ro@gmail.com</t>
        </is>
      </c>
      <c r="AG568" t="inlineStr">
        <is>
          <t>LIMA</t>
        </is>
      </c>
      <c r="AH568" t="inlineStr">
        <is>
          <t>JESUS MARIA</t>
        </is>
      </c>
      <c r="AI568" s="116" t="n">
        <v>46232.38680555556</v>
      </c>
      <c r="AJ568" s="116" t="n">
        <v>46230</v>
      </c>
      <c r="AK568" t="inlineStr">
        <is>
          <t>SALDO FINANCIAR</t>
        </is>
      </c>
      <c r="AL568" t="n">
        <v>1</v>
      </c>
      <c r="AM568" t="n">
        <v>0</v>
      </c>
      <c r="AN568" t="n">
        <v>0</v>
      </c>
      <c r="AO568" t="n">
        <v>0</v>
      </c>
      <c r="AP568" s="39" t="n">
        <v>385800</v>
      </c>
      <c r="AQ568" s="39" t="n">
        <v>15655.84</v>
      </c>
      <c r="AR568" s="39" t="n">
        <v>0</v>
      </c>
      <c r="AS568" t="n">
        <v>0</v>
      </c>
      <c r="AT568" t="inlineStr">
        <is>
          <t>Crédito Hipotecario</t>
        </is>
      </c>
      <c r="AU568" t="inlineStr">
        <is>
          <t>Scotiabank Perú</t>
        </is>
      </c>
      <c r="AV568" t="inlineStr">
        <is>
          <t>0004071419</t>
        </is>
      </c>
      <c r="AW568" t="inlineStr">
        <is>
          <t>TRANSFERENCIA BANCARIA</t>
        </is>
      </c>
      <c r="AX568" t="inlineStr">
        <is>
          <t xml:space="preserve">EB01-98 </t>
        </is>
      </c>
      <c r="AZ568" t="inlineStr">
        <is>
          <t>No</t>
        </is>
      </c>
      <c r="BB568" t="n">
        <v>4</v>
      </c>
      <c r="BC568" t="inlineStr">
        <is>
          <t>CANCELADO</t>
        </is>
      </c>
      <c r="BN568" t="inlineStr">
        <is>
          <t>Si</t>
        </is>
      </c>
      <c r="BO568" s="117" t="n">
        <v>46049.34444444445</v>
      </c>
      <c r="BP568" t="inlineStr">
        <is>
          <t>Magaly Guevara Perez</t>
        </is>
      </c>
      <c r="BR568" t="n">
        <v>10</v>
      </c>
      <c r="BS568" t="inlineStr">
        <is>
          <t>27/07/2026 11:53</t>
        </is>
      </c>
      <c r="BT568" t="n">
        <v>0</v>
      </c>
      <c r="BX568" t="inlineStr">
        <is>
          <t>Cobranzas_2026.csv</t>
        </is>
      </c>
      <c r="BY568" t="n">
        <v>2026</v>
      </c>
      <c r="BZ568" t="inlineStr">
        <is>
          <t>01/01/2024</t>
        </is>
      </c>
      <c r="CA568" t="inlineStr">
        <is>
          <t>30/09/2031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504</t>
        </is>
      </c>
      <c r="G569" s="39" t="n">
        <v>428000</v>
      </c>
      <c r="H569" s="39" t="n">
        <v>428000</v>
      </c>
      <c r="M569" s="39" t="n"/>
      <c r="N569" s="39" t="n"/>
      <c r="S569" s="39" t="n"/>
      <c r="T569" s="39" t="n"/>
      <c r="Y569" s="39" t="n"/>
      <c r="Z569" s="39" t="n"/>
      <c r="AA569" t="inlineStr">
        <is>
          <t>Jose Edgardo Camacho Cespedes</t>
        </is>
      </c>
      <c r="AB569" t="inlineStr">
        <is>
          <t>16631860</t>
        </is>
      </c>
      <c r="AC569" t="inlineStr">
        <is>
          <t>Jr. Huamachuco 1961Urb.Fundo Oyague</t>
        </is>
      </c>
      <c r="AD569" t="n">
        <v>0</v>
      </c>
      <c r="AE569" t="inlineStr">
        <is>
          <t>985758164</t>
        </is>
      </c>
      <c r="AF569" t="inlineStr">
        <is>
          <t>edgardocc1ro@gmail.com</t>
        </is>
      </c>
      <c r="AG569" t="inlineStr">
        <is>
          <t>LIMA</t>
        </is>
      </c>
      <c r="AH569" t="inlineStr">
        <is>
          <t>JESUS MARIA</t>
        </is>
      </c>
      <c r="AI569" s="116" t="n">
        <v>46232.38680555556</v>
      </c>
      <c r="AJ569" s="116" t="n">
        <v>46230</v>
      </c>
      <c r="AK569" t="inlineStr">
        <is>
          <t>SALDO FINANCIAR</t>
        </is>
      </c>
      <c r="AL569" t="n">
        <v>1</v>
      </c>
      <c r="AM569" t="n">
        <v>385800</v>
      </c>
      <c r="AN569" t="n">
        <v>0</v>
      </c>
      <c r="AO569" t="n">
        <v>0</v>
      </c>
      <c r="AP569" s="39" t="n">
        <v>0</v>
      </c>
      <c r="AQ569" s="39" t="n">
        <v>6344.16</v>
      </c>
      <c r="AR569" s="39" t="n">
        <v>0</v>
      </c>
      <c r="AS569" t="n">
        <v>0</v>
      </c>
      <c r="AT569" t="inlineStr">
        <is>
          <t>Crédito Hipotecario</t>
        </is>
      </c>
      <c r="AU569" t="inlineStr">
        <is>
          <t>Scotiabank Perú</t>
        </is>
      </c>
      <c r="AV569" t="inlineStr">
        <is>
          <t>0004071419</t>
        </is>
      </c>
      <c r="AW569" t="inlineStr">
        <is>
          <t>TRANSFERENCIA BANCARIA</t>
        </is>
      </c>
      <c r="AY569" t="inlineStr">
        <is>
          <t>EB01-100</t>
        </is>
      </c>
      <c r="AZ569" t="inlineStr">
        <is>
          <t>No</t>
        </is>
      </c>
      <c r="BB569" t="n">
        <v>4</v>
      </c>
      <c r="BC569" t="inlineStr">
        <is>
          <t>CANCELADO</t>
        </is>
      </c>
      <c r="BN569" t="inlineStr">
        <is>
          <t>Si</t>
        </is>
      </c>
      <c r="BO569" s="117" t="n">
        <v>46049.34444444445</v>
      </c>
      <c r="BP569" t="inlineStr">
        <is>
          <t>Magaly Guevara Perez</t>
        </is>
      </c>
      <c r="BR569" t="n">
        <v>10</v>
      </c>
      <c r="BS569" t="inlineStr">
        <is>
          <t>27/07/2026 11:54</t>
        </is>
      </c>
      <c r="BT569" t="n">
        <v>0</v>
      </c>
      <c r="BX569" t="inlineStr">
        <is>
          <t>Cobranzas_2026.csv</t>
        </is>
      </c>
      <c r="BY569" t="n">
        <v>2026</v>
      </c>
      <c r="BZ569" t="inlineStr">
        <is>
          <t>01/01/2024</t>
        </is>
      </c>
      <c r="CA569" t="inlineStr">
        <is>
          <t>30/09/2031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504</t>
        </is>
      </c>
      <c r="G570" s="39" t="n">
        <v>428000</v>
      </c>
      <c r="H570" s="39" t="n">
        <v>428000</v>
      </c>
      <c r="M570" s="39" t="n"/>
      <c r="N570" s="39" t="n"/>
      <c r="S570" s="39" t="n"/>
      <c r="T570" s="39" t="n"/>
      <c r="Y570" s="39" t="n"/>
      <c r="Z570" s="39" t="n"/>
      <c r="AA570" t="inlineStr">
        <is>
          <t>Jose Edgardo Camacho Cespedes</t>
        </is>
      </c>
      <c r="AB570" t="inlineStr">
        <is>
          <t>16631860</t>
        </is>
      </c>
      <c r="AC570" t="inlineStr">
        <is>
          <t>Jr. Huamachuco 1961Urb.Fundo Oyague</t>
        </is>
      </c>
      <c r="AD570" t="n">
        <v>0</v>
      </c>
      <c r="AE570" t="inlineStr">
        <is>
          <t>985758164</t>
        </is>
      </c>
      <c r="AF570" t="inlineStr">
        <is>
          <t>edgardocc1ro@gmail.com</t>
        </is>
      </c>
      <c r="AG570" t="inlineStr">
        <is>
          <t>LIMA</t>
        </is>
      </c>
      <c r="AH570" t="inlineStr">
        <is>
          <t>JESUS MARIA</t>
        </is>
      </c>
      <c r="AI570" s="116" t="n">
        <v>46232.38680555556</v>
      </c>
      <c r="AJ570" s="116" t="n">
        <v>46171</v>
      </c>
      <c r="AK570" t="inlineStr">
        <is>
          <t>SALDO FINANCIAR</t>
        </is>
      </c>
      <c r="AL570" t="n">
        <v>1</v>
      </c>
      <c r="AM570" t="n">
        <v>0</v>
      </c>
      <c r="AN570" t="n">
        <v>0</v>
      </c>
      <c r="AO570" t="n">
        <v>0</v>
      </c>
      <c r="AP570" s="39" t="n">
        <v>0</v>
      </c>
      <c r="AQ570" s="39" t="n">
        <v>363800</v>
      </c>
      <c r="AR570" s="39" t="n">
        <v>0</v>
      </c>
      <c r="AS570" t="n">
        <v>0</v>
      </c>
      <c r="AT570" t="inlineStr">
        <is>
          <t>Crédito Hipotecario</t>
        </is>
      </c>
      <c r="AU570" t="inlineStr">
        <is>
          <t>Scotiabank Perú</t>
        </is>
      </c>
      <c r="AV570" t="inlineStr">
        <is>
          <t>0004071419</t>
        </is>
      </c>
      <c r="AW570" t="inlineStr">
        <is>
          <t>TRANSFERENCIA BANCARIA</t>
        </is>
      </c>
      <c r="AZ570" t="inlineStr">
        <is>
          <t>No</t>
        </is>
      </c>
      <c r="BB570" t="n">
        <v>4</v>
      </c>
      <c r="BC570" t="inlineStr">
        <is>
          <t>CANCELADO</t>
        </is>
      </c>
      <c r="BN570" t="inlineStr">
        <is>
          <t>Si</t>
        </is>
      </c>
      <c r="BO570" s="117" t="n">
        <v>46049.34444444445</v>
      </c>
      <c r="BP570" t="inlineStr">
        <is>
          <t>Magaly Guevara Perez</t>
        </is>
      </c>
      <c r="BR570" t="n">
        <v>10</v>
      </c>
      <c r="BS570" t="inlineStr">
        <is>
          <t>18/08/2026 18:12</t>
        </is>
      </c>
      <c r="BT570" t="n">
        <v>0</v>
      </c>
      <c r="BX570" t="inlineStr">
        <is>
          <t>Cobranzas_2026.csv</t>
        </is>
      </c>
      <c r="BY570" t="n">
        <v>2026</v>
      </c>
      <c r="BZ570" t="inlineStr">
        <is>
          <t>01/01/2024</t>
        </is>
      </c>
      <c r="CA570" t="inlineStr">
        <is>
          <t>30/09/2031</t>
        </is>
      </c>
    </row>
    <row r="571">
      <c r="A571" t="inlineStr">
        <is>
          <t>RESIDENCIAL VENECIA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Estacionamiento</t>
        </is>
      </c>
      <c r="F571" t="inlineStr">
        <is>
          <t>E 10 - D 1</t>
        </is>
      </c>
      <c r="G571" s="39" t="n">
        <v>54000</v>
      </c>
      <c r="H571" s="39" t="n">
        <v>54000</v>
      </c>
      <c r="M571" s="39" t="n"/>
      <c r="N571" s="39" t="n"/>
      <c r="S571" s="39" t="n"/>
      <c r="T571" s="39" t="n"/>
      <c r="Y571" s="39" t="n"/>
      <c r="Z571" s="39" t="n"/>
      <c r="AA571" t="inlineStr">
        <is>
          <t>Jose Edgardo Cespedes Camacho</t>
        </is>
      </c>
      <c r="AB571" t="inlineStr">
        <is>
          <t>16631860</t>
        </is>
      </c>
      <c r="AC571" t="inlineStr">
        <is>
          <t>Jr. Huamachuco 1961Urb.Fundo Oyague</t>
        </is>
      </c>
      <c r="AD571" t="n">
        <v>0</v>
      </c>
      <c r="AE571" t="inlineStr">
        <is>
          <t>985758164</t>
        </is>
      </c>
      <c r="AF571" t="inlineStr">
        <is>
          <t>edgardocc1ro@gmail.com</t>
        </is>
      </c>
      <c r="AG571" t="inlineStr">
        <is>
          <t>LIMA</t>
        </is>
      </c>
      <c r="AH571" t="inlineStr">
        <is>
          <t>JESUS MARIA</t>
        </is>
      </c>
      <c r="AI571" s="116" t="n">
        <v>46079</v>
      </c>
      <c r="AJ571" s="116" t="n">
        <v>46079</v>
      </c>
      <c r="AK571" t="inlineStr">
        <is>
          <t>SEPARACION</t>
        </is>
      </c>
      <c r="AL571" t="n">
        <v>1</v>
      </c>
      <c r="AM571" t="n">
        <v>3000</v>
      </c>
      <c r="AN571" t="n">
        <v>0</v>
      </c>
      <c r="AO571" t="n">
        <v>0</v>
      </c>
      <c r="AP571" s="39" t="n">
        <v>3000</v>
      </c>
      <c r="AQ571" s="39" t="n">
        <v>3000</v>
      </c>
      <c r="AR571" s="39" t="n">
        <v>0</v>
      </c>
      <c r="AS571" t="n">
        <v>0</v>
      </c>
      <c r="AT571" t="inlineStr">
        <is>
          <t>Crédito Directo</t>
        </is>
      </c>
      <c r="AU571" t="inlineStr">
        <is>
          <t>Scotiabank Perú</t>
        </is>
      </c>
      <c r="AV571" t="inlineStr">
        <is>
          <t>0004071419</t>
        </is>
      </c>
      <c r="AW571" t="inlineStr">
        <is>
          <t>TRANSFERENCIA BANCARIA</t>
        </is>
      </c>
      <c r="AY571" t="inlineStr">
        <is>
          <t>784465558963</t>
        </is>
      </c>
      <c r="AZ571" t="inlineStr">
        <is>
          <t>No</t>
        </is>
      </c>
      <c r="BB571" t="n">
        <v>4</v>
      </c>
      <c r="BC571" t="inlineStr">
        <is>
          <t>CANCELADO</t>
        </is>
      </c>
      <c r="BN571" t="inlineStr">
        <is>
          <t>Si</t>
        </is>
      </c>
      <c r="BO571" s="117" t="n">
        <v>46079.41944444444</v>
      </c>
      <c r="BP571" t="inlineStr">
        <is>
          <t>Magaly Guevara Perez</t>
        </is>
      </c>
      <c r="BR571" t="n">
        <v>17</v>
      </c>
      <c r="BS571" t="inlineStr">
        <is>
          <t>02/08/2026 09:07</t>
        </is>
      </c>
      <c r="BT571" t="n">
        <v>0</v>
      </c>
      <c r="BX571" t="inlineStr">
        <is>
          <t>Cobranzas_2026.csv</t>
        </is>
      </c>
      <c r="BY571" t="n">
        <v>2026</v>
      </c>
      <c r="BZ571" t="inlineStr">
        <is>
          <t>01/01/2024</t>
        </is>
      </c>
      <c r="CA571" t="inlineStr">
        <is>
          <t>30/09/2031</t>
        </is>
      </c>
    </row>
    <row r="572">
      <c r="A572" t="inlineStr">
        <is>
          <t>RESIDENCIAL VENECIA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Estacionamiento</t>
        </is>
      </c>
      <c r="F572" t="inlineStr">
        <is>
          <t>E 10 - D 1</t>
        </is>
      </c>
      <c r="G572" s="39" t="n">
        <v>54000</v>
      </c>
      <c r="H572" s="39" t="n">
        <v>54000</v>
      </c>
      <c r="M572" s="39" t="n"/>
      <c r="N572" s="39" t="n"/>
      <c r="S572" s="39" t="n"/>
      <c r="T572" s="39" t="n"/>
      <c r="Y572" s="39" t="n"/>
      <c r="Z572" s="39" t="n"/>
      <c r="AA572" t="inlineStr">
        <is>
          <t>Jose Edgardo Cespedes Camacho</t>
        </is>
      </c>
      <c r="AB572" t="inlineStr">
        <is>
          <t>16631860</t>
        </is>
      </c>
      <c r="AC572" t="inlineStr">
        <is>
          <t>Jr. Huamachuco 1961Urb.Fundo Oyague</t>
        </is>
      </c>
      <c r="AD572" t="n">
        <v>0</v>
      </c>
      <c r="AE572" t="inlineStr">
        <is>
          <t>985758164</t>
        </is>
      </c>
      <c r="AF572" t="inlineStr">
        <is>
          <t>edgardocc1ro@gmail.com</t>
        </is>
      </c>
      <c r="AG572" t="inlineStr">
        <is>
          <t>LIMA</t>
        </is>
      </c>
      <c r="AH572" t="inlineStr">
        <is>
          <t>JESUS MARIA</t>
        </is>
      </c>
      <c r="AI572" s="116" t="n">
        <v>46079</v>
      </c>
      <c r="AJ572" s="116" t="n">
        <v>46079</v>
      </c>
      <c r="AK572" t="inlineStr">
        <is>
          <t>CUOTA INICIAL</t>
        </is>
      </c>
      <c r="AL572" t="n">
        <v>1</v>
      </c>
      <c r="AM572" t="n">
        <v>7000</v>
      </c>
      <c r="AN572" t="n">
        <v>0</v>
      </c>
      <c r="AO572" t="n">
        <v>0</v>
      </c>
      <c r="AP572" s="39" t="n">
        <v>7000</v>
      </c>
      <c r="AQ572" s="39" t="n">
        <v>7000</v>
      </c>
      <c r="AR572" s="39" t="n">
        <v>0</v>
      </c>
      <c r="AS572" t="n">
        <v>0</v>
      </c>
      <c r="AT572" t="inlineStr">
        <is>
          <t>Crédito Directo</t>
        </is>
      </c>
      <c r="AU572" t="inlineStr">
        <is>
          <t>Scotiabank Perú</t>
        </is>
      </c>
      <c r="AV572" t="inlineStr">
        <is>
          <t>0004071419</t>
        </is>
      </c>
      <c r="AW572" t="inlineStr">
        <is>
          <t>TRANSFERENCIA BANCARIA</t>
        </is>
      </c>
      <c r="AY572" t="inlineStr">
        <is>
          <t>784465558963</t>
        </is>
      </c>
      <c r="AZ572" t="inlineStr">
        <is>
          <t>No</t>
        </is>
      </c>
      <c r="BB572" t="n">
        <v>4</v>
      </c>
      <c r="BC572" t="inlineStr">
        <is>
          <t>CANCELADO</t>
        </is>
      </c>
      <c r="BN572" t="inlineStr">
        <is>
          <t>Si</t>
        </is>
      </c>
      <c r="BO572" s="117" t="n">
        <v>46079.41944444444</v>
      </c>
      <c r="BP572" t="inlineStr">
        <is>
          <t>Magaly Guevara Perez</t>
        </is>
      </c>
      <c r="BR572" t="n">
        <v>17</v>
      </c>
      <c r="BS572" t="inlineStr">
        <is>
          <t>02/08/2026 09:07</t>
        </is>
      </c>
      <c r="BT572" t="n">
        <v>0</v>
      </c>
      <c r="BX572" t="inlineStr">
        <is>
          <t>Cobranzas_2026.csv</t>
        </is>
      </c>
      <c r="BY572" t="n">
        <v>2026</v>
      </c>
      <c r="BZ572" t="inlineStr">
        <is>
          <t>01/01/2024</t>
        </is>
      </c>
      <c r="CA572" t="inlineStr">
        <is>
          <t>30/09/2031</t>
        </is>
      </c>
    </row>
    <row r="573">
      <c r="A573" t="inlineStr">
        <is>
          <t>RESIDENCIAL VENECIA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Estacionamiento</t>
        </is>
      </c>
      <c r="F573" t="inlineStr">
        <is>
          <t>E 10 - D 1</t>
        </is>
      </c>
      <c r="G573" s="39" t="n">
        <v>54000</v>
      </c>
      <c r="H573" s="39" t="n">
        <v>54000</v>
      </c>
      <c r="M573" s="39" t="n"/>
      <c r="N573" s="39" t="n"/>
      <c r="S573" s="39" t="n"/>
      <c r="T573" s="39" t="n"/>
      <c r="Y573" s="39" t="n"/>
      <c r="Z573" s="39" t="n"/>
      <c r="AA573" t="inlineStr">
        <is>
          <t>Jose Edgardo Cespedes Camacho</t>
        </is>
      </c>
      <c r="AB573" t="inlineStr">
        <is>
          <t>16631860</t>
        </is>
      </c>
      <c r="AC573" t="inlineStr">
        <is>
          <t>Jr. Huamachuco 1961Urb.Fundo Oyague</t>
        </is>
      </c>
      <c r="AD573" t="n">
        <v>0</v>
      </c>
      <c r="AE573" t="inlineStr">
        <is>
          <t>985758164</t>
        </is>
      </c>
      <c r="AF573" t="inlineStr">
        <is>
          <t>edgardocc1ro@gmail.com</t>
        </is>
      </c>
      <c r="AG573" t="inlineStr">
        <is>
          <t>LIMA</t>
        </is>
      </c>
      <c r="AH573" t="inlineStr">
        <is>
          <t>JESUS MARIA</t>
        </is>
      </c>
      <c r="AI573" s="116" t="n">
        <v>46203</v>
      </c>
      <c r="AJ573" s="116" t="n">
        <v>46197</v>
      </c>
      <c r="AK573" t="inlineStr">
        <is>
          <t>SALDO FINANCIAR</t>
        </is>
      </c>
      <c r="AL573" t="n">
        <v>1</v>
      </c>
      <c r="AM573" t="n">
        <v>3666.67</v>
      </c>
      <c r="AN573" t="n">
        <v>0</v>
      </c>
      <c r="AO573" t="n">
        <v>0</v>
      </c>
      <c r="AP573" s="39" t="n">
        <v>3666.67</v>
      </c>
      <c r="AQ573" s="39" t="n">
        <v>3666.67</v>
      </c>
      <c r="AR573" s="39" t="n">
        <v>0</v>
      </c>
      <c r="AS573" t="n">
        <v>0</v>
      </c>
      <c r="AT573" t="inlineStr">
        <is>
          <t>Crédito Directo</t>
        </is>
      </c>
      <c r="AU573" t="inlineStr">
        <is>
          <t>Scotiabank Perú</t>
        </is>
      </c>
      <c r="AV573" t="inlineStr">
        <is>
          <t>0004071419</t>
        </is>
      </c>
      <c r="AW573" t="inlineStr">
        <is>
          <t>TRANSFERENCIA BANCARIA</t>
        </is>
      </c>
      <c r="AY573" t="inlineStr">
        <is>
          <t>7844655521396</t>
        </is>
      </c>
      <c r="AZ573" t="inlineStr">
        <is>
          <t>No</t>
        </is>
      </c>
      <c r="BB573" t="n">
        <v>4</v>
      </c>
      <c r="BC573" t="inlineStr">
        <is>
          <t>CANCELADO</t>
        </is>
      </c>
      <c r="BN573" t="inlineStr">
        <is>
          <t>Si</t>
        </is>
      </c>
      <c r="BO573" s="117" t="n">
        <v>46079.41944444444</v>
      </c>
      <c r="BP573" t="inlineStr">
        <is>
          <t>Magaly Guevara Perez</t>
        </is>
      </c>
      <c r="BR573" t="n">
        <v>17</v>
      </c>
      <c r="BS573" t="inlineStr">
        <is>
          <t>02/07/2026 11:50</t>
        </is>
      </c>
      <c r="BT573" t="n">
        <v>0</v>
      </c>
      <c r="BX573" t="inlineStr">
        <is>
          <t>Cobranzas_2026.csv</t>
        </is>
      </c>
      <c r="BY573" t="n">
        <v>2026</v>
      </c>
      <c r="BZ573" t="inlineStr">
        <is>
          <t>01/01/2024</t>
        </is>
      </c>
      <c r="CA573" t="inlineStr">
        <is>
          <t>30/09/2031</t>
        </is>
      </c>
    </row>
    <row r="574">
      <c r="A574" t="inlineStr">
        <is>
          <t>RESIDENCIAL VENECIA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Estacionamiento</t>
        </is>
      </c>
      <c r="F574" t="inlineStr">
        <is>
          <t>E 10 - D 1</t>
        </is>
      </c>
      <c r="G574" s="39" t="n">
        <v>54000</v>
      </c>
      <c r="H574" s="39" t="n">
        <v>54000</v>
      </c>
      <c r="M574" s="39" t="n"/>
      <c r="N574" s="39" t="n"/>
      <c r="S574" s="39" t="n"/>
      <c r="T574" s="39" t="n"/>
      <c r="Y574" s="39" t="n"/>
      <c r="Z574" s="39" t="n"/>
      <c r="AA574" t="inlineStr">
        <is>
          <t>Jose Edgardo Cespedes Camacho</t>
        </is>
      </c>
      <c r="AB574" t="inlineStr">
        <is>
          <t>16631860</t>
        </is>
      </c>
      <c r="AC574" t="inlineStr">
        <is>
          <t>Jr. Huamachuco 1961Urb.Fundo Oyague</t>
        </is>
      </c>
      <c r="AD574" t="n">
        <v>0</v>
      </c>
      <c r="AE574" t="inlineStr">
        <is>
          <t>985758164</t>
        </is>
      </c>
      <c r="AF574" t="inlineStr">
        <is>
          <t>edgardocc1ro@gmail.com</t>
        </is>
      </c>
      <c r="AG574" t="inlineStr">
        <is>
          <t>LIMA</t>
        </is>
      </c>
      <c r="AH574" t="inlineStr">
        <is>
          <t>JESUS MARIA</t>
        </is>
      </c>
      <c r="AI574" s="116" t="n">
        <v>46233</v>
      </c>
      <c r="AJ574" s="116" t="n">
        <v>46197</v>
      </c>
      <c r="AK574" t="inlineStr">
        <is>
          <t>SALDO FINANCIAR</t>
        </is>
      </c>
      <c r="AL574" t="n">
        <v>2</v>
      </c>
      <c r="AM574" t="n">
        <v>3666.67</v>
      </c>
      <c r="AN574" t="n">
        <v>0</v>
      </c>
      <c r="AO574" t="n">
        <v>0</v>
      </c>
      <c r="AP574" s="39" t="n">
        <v>3666.67</v>
      </c>
      <c r="AQ574" s="39" t="n">
        <v>3666.67</v>
      </c>
      <c r="AR574" s="39" t="n">
        <v>0</v>
      </c>
      <c r="AS574" t="n">
        <v>0</v>
      </c>
      <c r="AT574" t="inlineStr">
        <is>
          <t>Crédito Directo</t>
        </is>
      </c>
      <c r="AU574" t="inlineStr">
        <is>
          <t>Scotiabank Perú</t>
        </is>
      </c>
      <c r="AV574" t="inlineStr">
        <is>
          <t>0004071419</t>
        </is>
      </c>
      <c r="AW574" t="inlineStr">
        <is>
          <t>TRANSFERENCIA BANCARIA</t>
        </is>
      </c>
      <c r="AY574" t="inlineStr">
        <is>
          <t>7844655521516</t>
        </is>
      </c>
      <c r="AZ574" t="inlineStr">
        <is>
          <t>No</t>
        </is>
      </c>
      <c r="BB574" t="n">
        <v>4</v>
      </c>
      <c r="BC574" t="inlineStr">
        <is>
          <t>CANCELADO</t>
        </is>
      </c>
      <c r="BN574" t="inlineStr">
        <is>
          <t>Si</t>
        </is>
      </c>
      <c r="BO574" s="117" t="n">
        <v>46079.41944444444</v>
      </c>
      <c r="BP574" t="inlineStr">
        <is>
          <t>Magaly Guevara Perez</t>
        </is>
      </c>
      <c r="BR574" t="n">
        <v>17</v>
      </c>
      <c r="BS574" t="inlineStr">
        <is>
          <t>02/07/2026 11:52</t>
        </is>
      </c>
      <c r="BT574" t="n">
        <v>0</v>
      </c>
      <c r="BX574" t="inlineStr">
        <is>
          <t>Cobranzas_2026.csv</t>
        </is>
      </c>
      <c r="BY574" t="n">
        <v>2026</v>
      </c>
      <c r="BZ574" t="inlineStr">
        <is>
          <t>01/01/2024</t>
        </is>
      </c>
      <c r="CA574" t="inlineStr">
        <is>
          <t>30/09/2031</t>
        </is>
      </c>
    </row>
    <row r="575">
      <c r="A575" t="inlineStr">
        <is>
          <t>RESIDENCIAL VENECIA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Estacionamiento</t>
        </is>
      </c>
      <c r="F575" t="inlineStr">
        <is>
          <t>E 10 - D 1</t>
        </is>
      </c>
      <c r="G575" s="39" t="n">
        <v>54000</v>
      </c>
      <c r="H575" s="39" t="n">
        <v>54000</v>
      </c>
      <c r="M575" s="39" t="n"/>
      <c r="N575" s="39" t="n"/>
      <c r="S575" s="39" t="n"/>
      <c r="T575" s="39" t="n"/>
      <c r="Y575" s="39" t="n"/>
      <c r="Z575" s="39" t="n"/>
      <c r="AA575" t="inlineStr">
        <is>
          <t>Jose Edgardo Cespedes Camacho</t>
        </is>
      </c>
      <c r="AB575" t="inlineStr">
        <is>
          <t>16631860</t>
        </is>
      </c>
      <c r="AC575" t="inlineStr">
        <is>
          <t>Jr. Huamachuco 1961Urb.Fundo Oyague</t>
        </is>
      </c>
      <c r="AD575" t="n">
        <v>0</v>
      </c>
      <c r="AE575" t="inlineStr">
        <is>
          <t>985758164</t>
        </is>
      </c>
      <c r="AF575" t="inlineStr">
        <is>
          <t>edgardocc1ro@gmail.com</t>
        </is>
      </c>
      <c r="AG575" t="inlineStr">
        <is>
          <t>LIMA</t>
        </is>
      </c>
      <c r="AH575" t="inlineStr">
        <is>
          <t>JESUS MARIA</t>
        </is>
      </c>
      <c r="AI575" s="116" t="n">
        <v>46264</v>
      </c>
      <c r="AJ575" s="116" t="n">
        <v>46206</v>
      </c>
      <c r="AK575" t="inlineStr">
        <is>
          <t>SALDO FINANCIAR</t>
        </is>
      </c>
      <c r="AL575" t="n">
        <v>3</v>
      </c>
      <c r="AM575" t="n">
        <v>3666.67</v>
      </c>
      <c r="AN575" t="n">
        <v>0</v>
      </c>
      <c r="AO575" t="n">
        <v>0</v>
      </c>
      <c r="AP575" s="39" t="n">
        <v>3666.67</v>
      </c>
      <c r="AQ575" s="39" t="n">
        <v>3666.67</v>
      </c>
      <c r="AR575" s="39" t="n">
        <v>0</v>
      </c>
      <c r="AS575" t="n">
        <v>0</v>
      </c>
      <c r="AT575" t="inlineStr">
        <is>
          <t>Crédito Directo</t>
        </is>
      </c>
      <c r="AU575" t="inlineStr">
        <is>
          <t>Scotiabank Perú</t>
        </is>
      </c>
      <c r="AV575" t="inlineStr">
        <is>
          <t>0004071419</t>
        </is>
      </c>
      <c r="AW575" t="inlineStr">
        <is>
          <t>TRANSFERENCIA BANCARIA</t>
        </is>
      </c>
      <c r="AY575" t="inlineStr">
        <is>
          <t>7844655529714</t>
        </is>
      </c>
      <c r="AZ575" t="inlineStr">
        <is>
          <t>No</t>
        </is>
      </c>
      <c r="BB575" t="n">
        <v>4</v>
      </c>
      <c r="BC575" t="inlineStr">
        <is>
          <t>CANCELADO</t>
        </is>
      </c>
      <c r="BN575" t="inlineStr">
        <is>
          <t>Si</t>
        </is>
      </c>
      <c r="BO575" s="117" t="n">
        <v>46079.41944444444</v>
      </c>
      <c r="BP575" t="inlineStr">
        <is>
          <t>Magaly Guevara Perez</t>
        </is>
      </c>
      <c r="BR575" t="n">
        <v>17</v>
      </c>
      <c r="BS575" t="inlineStr">
        <is>
          <t>02/08/2026 09:04</t>
        </is>
      </c>
      <c r="BT575" t="n">
        <v>0</v>
      </c>
      <c r="BX575" t="inlineStr">
        <is>
          <t>Cobranzas_2026.csv</t>
        </is>
      </c>
      <c r="BY575" t="n">
        <v>2026</v>
      </c>
      <c r="BZ575" t="inlineStr">
        <is>
          <t>01/01/2024</t>
        </is>
      </c>
      <c r="CA575" t="inlineStr">
        <is>
          <t>30/09/2031</t>
        </is>
      </c>
    </row>
    <row r="576">
      <c r="A576" t="inlineStr">
        <is>
          <t>RESIDENCIAL VENECIA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Estacionamiento</t>
        </is>
      </c>
      <c r="F576" t="inlineStr">
        <is>
          <t>E 10 - D 1</t>
        </is>
      </c>
      <c r="G576" s="39" t="n">
        <v>54000</v>
      </c>
      <c r="H576" s="39" t="n">
        <v>54000</v>
      </c>
      <c r="M576" s="39" t="n"/>
      <c r="N576" s="39" t="n"/>
      <c r="S576" s="39" t="n"/>
      <c r="T576" s="39" t="n"/>
      <c r="Y576" s="39" t="n"/>
      <c r="Z576" s="39" t="n"/>
      <c r="AA576" t="inlineStr">
        <is>
          <t>Jose Edgardo Cespedes Camacho</t>
        </is>
      </c>
      <c r="AB576" t="inlineStr">
        <is>
          <t>16631860</t>
        </is>
      </c>
      <c r="AC576" t="inlineStr">
        <is>
          <t>Jr. Huamachuco 1961Urb.Fundo Oyague</t>
        </is>
      </c>
      <c r="AD576" t="n">
        <v>0</v>
      </c>
      <c r="AE576" t="inlineStr">
        <is>
          <t>985758164</t>
        </is>
      </c>
      <c r="AF576" t="inlineStr">
        <is>
          <t>edgardocc1ro@gmail.com</t>
        </is>
      </c>
      <c r="AG576" t="inlineStr">
        <is>
          <t>LIMA</t>
        </is>
      </c>
      <c r="AH576" t="inlineStr">
        <is>
          <t>JESUS MARIA</t>
        </is>
      </c>
      <c r="AI576" s="116" t="n">
        <v>46295</v>
      </c>
      <c r="AJ576" s="116" t="n">
        <v>46233</v>
      </c>
      <c r="AK576" t="inlineStr">
        <is>
          <t>SALDO FINANCIAR</t>
        </is>
      </c>
      <c r="AL576" t="n">
        <v>4</v>
      </c>
      <c r="AM576" t="n">
        <v>3666.67</v>
      </c>
      <c r="AN576" t="n">
        <v>0</v>
      </c>
      <c r="AO576" t="n">
        <v>0</v>
      </c>
      <c r="AP576" s="39" t="n">
        <v>3666.67</v>
      </c>
      <c r="AQ576" s="39" t="n">
        <v>3666.67</v>
      </c>
      <c r="AR576" s="39" t="n">
        <v>0</v>
      </c>
      <c r="AS576" t="n">
        <v>0</v>
      </c>
      <c r="AT576" t="inlineStr">
        <is>
          <t>Crédito Directo</t>
        </is>
      </c>
      <c r="AU576" t="inlineStr">
        <is>
          <t>Scotiabank Perú</t>
        </is>
      </c>
      <c r="AV576" t="inlineStr">
        <is>
          <t>0004071419</t>
        </is>
      </c>
      <c r="AW576" t="inlineStr">
        <is>
          <t>TRANSFERENCIA BANCARIA</t>
        </is>
      </c>
      <c r="AY576" t="inlineStr">
        <is>
          <t>7844655603094</t>
        </is>
      </c>
      <c r="AZ576" t="inlineStr">
        <is>
          <t>No</t>
        </is>
      </c>
      <c r="BB576" t="n">
        <v>4</v>
      </c>
      <c r="BC576" t="inlineStr">
        <is>
          <t>CANCELADO</t>
        </is>
      </c>
      <c r="BN576" t="inlineStr">
        <is>
          <t>Si</t>
        </is>
      </c>
      <c r="BO576" s="117" t="n">
        <v>46079.41944444444</v>
      </c>
      <c r="BP576" t="inlineStr">
        <is>
          <t>Magaly Guevara Perez</t>
        </is>
      </c>
      <c r="BR576" t="n">
        <v>17</v>
      </c>
      <c r="BS576" t="inlineStr">
        <is>
          <t>02/08/2026 09:05</t>
        </is>
      </c>
      <c r="BT576" t="n">
        <v>0</v>
      </c>
      <c r="BX576" t="inlineStr">
        <is>
          <t>Cobranzas_2026.csv</t>
        </is>
      </c>
      <c r="BY576" t="n">
        <v>2026</v>
      </c>
      <c r="BZ576" t="inlineStr">
        <is>
          <t>01/01/2024</t>
        </is>
      </c>
      <c r="CA576" t="inlineStr">
        <is>
          <t>30/09/2031</t>
        </is>
      </c>
    </row>
    <row r="577">
      <c r="A577" t="inlineStr">
        <is>
          <t>RESIDENCIAL VENECIA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Estacionamiento</t>
        </is>
      </c>
      <c r="F577" t="inlineStr">
        <is>
          <t>E 10 - D 1</t>
        </is>
      </c>
      <c r="G577" s="39" t="n">
        <v>54000</v>
      </c>
      <c r="H577" s="39" t="n">
        <v>54000</v>
      </c>
      <c r="M577" s="39" t="n"/>
      <c r="N577" s="39" t="n"/>
      <c r="S577" s="39" t="n"/>
      <c r="T577" s="39" t="n"/>
      <c r="Y577" s="39" t="n"/>
      <c r="Z577" s="39" t="n"/>
      <c r="AA577" t="inlineStr">
        <is>
          <t>Jose Edgardo Cespedes Camacho</t>
        </is>
      </c>
      <c r="AB577" t="inlineStr">
        <is>
          <t>16631860</t>
        </is>
      </c>
      <c r="AC577" t="inlineStr">
        <is>
          <t>Jr. Huamachuco 1961Urb.Fundo Oyague</t>
        </is>
      </c>
      <c r="AD577" t="n">
        <v>0</v>
      </c>
      <c r="AE577" t="inlineStr">
        <is>
          <t>985758164</t>
        </is>
      </c>
      <c r="AF577" t="inlineStr">
        <is>
          <t>edgardocc1ro@gmail.com</t>
        </is>
      </c>
      <c r="AG577" t="inlineStr">
        <is>
          <t>LIMA</t>
        </is>
      </c>
      <c r="AH577" t="inlineStr">
        <is>
          <t>JESUS MARIA</t>
        </is>
      </c>
      <c r="AI577" s="116" t="n">
        <v>46325</v>
      </c>
      <c r="AJ577" s="116" t="n"/>
      <c r="AK577" t="inlineStr">
        <is>
          <t>SALDO FINANCIAR</t>
        </is>
      </c>
      <c r="AL577" t="n">
        <v>5</v>
      </c>
      <c r="AM577" t="n">
        <v>3666.67</v>
      </c>
      <c r="AN577" t="n">
        <v>0</v>
      </c>
      <c r="AO577" t="n">
        <v>0</v>
      </c>
      <c r="AP577" s="39" t="n">
        <v>3666.67</v>
      </c>
      <c r="AQ577" s="39" t="n">
        <v>0</v>
      </c>
      <c r="AR577" s="39" t="n">
        <v>3666.67</v>
      </c>
      <c r="AT577" t="inlineStr">
        <is>
          <t>Crédito Directo</t>
        </is>
      </c>
      <c r="AZ577" t="inlineStr">
        <is>
          <t>No</t>
        </is>
      </c>
      <c r="BC577" t="inlineStr">
        <is>
          <t>PENDIENTE</t>
        </is>
      </c>
      <c r="BN577" t="inlineStr">
        <is>
          <t>No</t>
        </is>
      </c>
      <c r="BO577" s="117" t="n">
        <v>46079.41944444444</v>
      </c>
      <c r="BP577" t="inlineStr">
        <is>
          <t>Magaly Guevara Perez</t>
        </is>
      </c>
      <c r="BR577" t="n">
        <v>17</v>
      </c>
      <c r="BT577" t="n">
        <v>0</v>
      </c>
      <c r="BX577" t="inlineStr">
        <is>
          <t>Cobranzas_2026.csv</t>
        </is>
      </c>
      <c r="BY577" t="n">
        <v>2026</v>
      </c>
      <c r="BZ577" t="inlineStr">
        <is>
          <t>01/01/2024</t>
        </is>
      </c>
      <c r="CA577" t="inlineStr">
        <is>
          <t>30/09/2031</t>
        </is>
      </c>
    </row>
    <row r="578">
      <c r="A578" t="inlineStr">
        <is>
          <t>RESIDENCIAL VENECIA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Estacionamiento</t>
        </is>
      </c>
      <c r="F578" t="inlineStr">
        <is>
          <t>E 10 - D 1</t>
        </is>
      </c>
      <c r="G578" s="39" t="n">
        <v>54000</v>
      </c>
      <c r="H578" s="39" t="n">
        <v>54000</v>
      </c>
      <c r="M578" s="39" t="n"/>
      <c r="N578" s="39" t="n"/>
      <c r="S578" s="39" t="n"/>
      <c r="T578" s="39" t="n"/>
      <c r="Y578" s="39" t="n"/>
      <c r="Z578" s="39" t="n"/>
      <c r="AA578" t="inlineStr">
        <is>
          <t>Jose Edgardo Cespedes Camacho</t>
        </is>
      </c>
      <c r="AB578" t="inlineStr">
        <is>
          <t>16631860</t>
        </is>
      </c>
      <c r="AC578" t="inlineStr">
        <is>
          <t>Jr. Huamachuco 1961Urb.Fundo Oyague</t>
        </is>
      </c>
      <c r="AD578" t="n">
        <v>0</v>
      </c>
      <c r="AE578" t="inlineStr">
        <is>
          <t>985758164</t>
        </is>
      </c>
      <c r="AF578" t="inlineStr">
        <is>
          <t>edgardocc1ro@gmail.com</t>
        </is>
      </c>
      <c r="AG578" t="inlineStr">
        <is>
          <t>LIMA</t>
        </is>
      </c>
      <c r="AH578" t="inlineStr">
        <is>
          <t>JESUS MARIA</t>
        </is>
      </c>
      <c r="AI578" s="116" t="n">
        <v>46356</v>
      </c>
      <c r="AJ578" s="116" t="n"/>
      <c r="AK578" t="inlineStr">
        <is>
          <t>SALDO FINANCIAR</t>
        </is>
      </c>
      <c r="AL578" t="n">
        <v>6</v>
      </c>
      <c r="AM578" t="n">
        <v>3666.67</v>
      </c>
      <c r="AN578" t="n">
        <v>0</v>
      </c>
      <c r="AO578" t="n">
        <v>0</v>
      </c>
      <c r="AP578" s="39" t="n">
        <v>3666.67</v>
      </c>
      <c r="AQ578" s="39" t="n">
        <v>0</v>
      </c>
      <c r="AR578" s="39" t="n">
        <v>3666.67</v>
      </c>
      <c r="AT578" t="inlineStr">
        <is>
          <t>Crédito Directo</t>
        </is>
      </c>
      <c r="AZ578" t="inlineStr">
        <is>
          <t>No</t>
        </is>
      </c>
      <c r="BC578" t="inlineStr">
        <is>
          <t>PENDIENTE</t>
        </is>
      </c>
      <c r="BN578" t="inlineStr">
        <is>
          <t>No</t>
        </is>
      </c>
      <c r="BO578" s="117" t="n">
        <v>46079.41944444444</v>
      </c>
      <c r="BP578" t="inlineStr">
        <is>
          <t>Magaly Guevara Perez</t>
        </is>
      </c>
      <c r="BR578" t="n">
        <v>17</v>
      </c>
      <c r="BT578" t="n">
        <v>0</v>
      </c>
      <c r="BX578" t="inlineStr">
        <is>
          <t>Cobranzas_2026.csv</t>
        </is>
      </c>
      <c r="BY578" t="n">
        <v>2026</v>
      </c>
      <c r="BZ578" t="inlineStr">
        <is>
          <t>01/01/2024</t>
        </is>
      </c>
      <c r="CA578" t="inlineStr">
        <is>
          <t>30/09/2031</t>
        </is>
      </c>
    </row>
    <row r="579">
      <c r="A579" t="inlineStr">
        <is>
          <t>RESIDENCIAL VENECIA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Estacionamiento</t>
        </is>
      </c>
      <c r="F579" t="inlineStr">
        <is>
          <t>E 10 - D 1</t>
        </is>
      </c>
      <c r="G579" s="39" t="n">
        <v>54000</v>
      </c>
      <c r="H579" s="39" t="n">
        <v>54000</v>
      </c>
      <c r="M579" s="39" t="n"/>
      <c r="N579" s="39" t="n"/>
      <c r="S579" s="39" t="n"/>
      <c r="T579" s="39" t="n"/>
      <c r="Y579" s="39" t="n"/>
      <c r="Z579" s="39" t="n"/>
      <c r="AA579" t="inlineStr">
        <is>
          <t>Jose Edgardo Cespedes Camacho</t>
        </is>
      </c>
      <c r="AB579" t="inlineStr">
        <is>
          <t>16631860</t>
        </is>
      </c>
      <c r="AC579" t="inlineStr">
        <is>
          <t>Jr. Huamachuco 1961Urb.Fundo Oyague</t>
        </is>
      </c>
      <c r="AD579" t="n">
        <v>0</v>
      </c>
      <c r="AE579" t="inlineStr">
        <is>
          <t>985758164</t>
        </is>
      </c>
      <c r="AF579" t="inlineStr">
        <is>
          <t>edgardocc1ro@gmail.com</t>
        </is>
      </c>
      <c r="AG579" t="inlineStr">
        <is>
          <t>LIMA</t>
        </is>
      </c>
      <c r="AH579" t="inlineStr">
        <is>
          <t>JESUS MARIA</t>
        </is>
      </c>
      <c r="AI579" s="116" t="n">
        <v>46386</v>
      </c>
      <c r="AJ579" s="116" t="n"/>
      <c r="AK579" t="inlineStr">
        <is>
          <t>SALDO FINANCIAR</t>
        </is>
      </c>
      <c r="AL579" t="n">
        <v>7</v>
      </c>
      <c r="AM579" t="n">
        <v>3666.67</v>
      </c>
      <c r="AN579" t="n">
        <v>0</v>
      </c>
      <c r="AO579" t="n">
        <v>0</v>
      </c>
      <c r="AP579" s="39" t="n">
        <v>3666.67</v>
      </c>
      <c r="AQ579" s="39" t="n">
        <v>0</v>
      </c>
      <c r="AR579" s="39" t="n">
        <v>3666.67</v>
      </c>
      <c r="AT579" t="inlineStr">
        <is>
          <t>Crédito Directo</t>
        </is>
      </c>
      <c r="AZ579" t="inlineStr">
        <is>
          <t>No</t>
        </is>
      </c>
      <c r="BC579" t="inlineStr">
        <is>
          <t>PENDIENTE</t>
        </is>
      </c>
      <c r="BN579" t="inlineStr">
        <is>
          <t>No</t>
        </is>
      </c>
      <c r="BO579" s="117" t="n">
        <v>46079.41944444444</v>
      </c>
      <c r="BP579" t="inlineStr">
        <is>
          <t>Magaly Guevara Perez</t>
        </is>
      </c>
      <c r="BR579" t="n">
        <v>17</v>
      </c>
      <c r="BT579" t="n">
        <v>0</v>
      </c>
      <c r="BX579" t="inlineStr">
        <is>
          <t>Cobranzas_2026.csv</t>
        </is>
      </c>
      <c r="BY579" t="n">
        <v>2026</v>
      </c>
      <c r="BZ579" t="inlineStr">
        <is>
          <t>01/01/2024</t>
        </is>
      </c>
      <c r="CA579" t="inlineStr">
        <is>
          <t>30/09/2031</t>
        </is>
      </c>
    </row>
    <row r="580">
      <c r="A580" t="inlineStr">
        <is>
          <t>RESIDENCIAL PRADA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Estacionamiento</t>
        </is>
      </c>
      <c r="F580" t="inlineStr">
        <is>
          <t>E 30</t>
        </is>
      </c>
      <c r="G580" s="39" t="n">
        <v>51500</v>
      </c>
      <c r="H580" s="39" t="n">
        <v>51500</v>
      </c>
      <c r="M580" s="39" t="n"/>
      <c r="N580" s="39" t="n"/>
      <c r="S580" s="39" t="n"/>
      <c r="T580" s="39" t="n"/>
      <c r="Y580" s="39" t="n"/>
      <c r="Z580" s="39" t="n"/>
      <c r="AA580" t="inlineStr">
        <is>
          <t>Joseluis Gaspar Zapata Flores</t>
        </is>
      </c>
      <c r="AB580" t="inlineStr">
        <is>
          <t>46730672</t>
        </is>
      </c>
      <c r="AC580" t="inlineStr">
        <is>
          <t>Jr. Los Clavles 141 P. J  El Progreso 1er Sector</t>
        </is>
      </c>
      <c r="AD580" t="n">
        <v>0</v>
      </c>
      <c r="AE580" t="inlineStr">
        <is>
          <t>948041027</t>
        </is>
      </c>
      <c r="AF580" t="inlineStr">
        <is>
          <t>jlzapata91@gmail.com</t>
        </is>
      </c>
      <c r="AG580" t="inlineStr">
        <is>
          <t>LIMA</t>
        </is>
      </c>
      <c r="AH580" t="inlineStr">
        <is>
          <t>CARABAYLLO</t>
        </is>
      </c>
      <c r="AI580" s="116" t="n">
        <v>46027</v>
      </c>
      <c r="AJ580" s="116" t="n">
        <v>46027</v>
      </c>
      <c r="AK580" t="inlineStr">
        <is>
          <t>SALDO FINANCIAR</t>
        </is>
      </c>
      <c r="AL580" t="n">
        <v>2</v>
      </c>
      <c r="AM580" t="n">
        <v>3000</v>
      </c>
      <c r="AN580" t="n">
        <v>0</v>
      </c>
      <c r="AO580" t="n">
        <v>0</v>
      </c>
      <c r="AP580" s="39" t="n">
        <v>3000</v>
      </c>
      <c r="AQ580" s="39" t="n">
        <v>3000</v>
      </c>
      <c r="AR580" s="39" t="n">
        <v>0</v>
      </c>
      <c r="AS580" t="n">
        <v>0</v>
      </c>
      <c r="AT580" t="inlineStr">
        <is>
          <t>Crédito Directo</t>
        </is>
      </c>
      <c r="AU580" t="inlineStr">
        <is>
          <t>Scotiabank Perú</t>
        </is>
      </c>
      <c r="AV580" t="inlineStr">
        <is>
          <t>000-2768484</t>
        </is>
      </c>
      <c r="AW580" t="inlineStr">
        <is>
          <t>TRANSFERENCIA BANCARIA</t>
        </is>
      </c>
      <c r="AY580" t="inlineStr">
        <is>
          <t>7844655573313</t>
        </is>
      </c>
      <c r="AZ580" t="inlineStr">
        <is>
          <t>No</t>
        </is>
      </c>
      <c r="BB580" t="n">
        <v>4</v>
      </c>
      <c r="BC580" t="inlineStr">
        <is>
          <t>CANCELADO</t>
        </is>
      </c>
      <c r="BN580" t="inlineStr">
        <is>
          <t>Si</t>
        </is>
      </c>
      <c r="BO580" s="117" t="n">
        <v>45960.71875</v>
      </c>
      <c r="BP580" t="inlineStr">
        <is>
          <t>Magaly Guevara Perez</t>
        </is>
      </c>
      <c r="BR580" t="n">
        <v>59</v>
      </c>
      <c r="BS580" t="inlineStr">
        <is>
          <t>29/06/2026 20:51</t>
        </is>
      </c>
      <c r="BT580" t="n">
        <v>0</v>
      </c>
      <c r="BX580" t="inlineStr">
        <is>
          <t>Cobranzas_2026.csv</t>
        </is>
      </c>
      <c r="BY580" t="n">
        <v>2026</v>
      </c>
      <c r="BZ580" t="inlineStr">
        <is>
          <t>01/01/2024</t>
        </is>
      </c>
      <c r="CA580" t="inlineStr">
        <is>
          <t>30/09/2031</t>
        </is>
      </c>
    </row>
    <row r="581">
      <c r="A581" t="inlineStr">
        <is>
          <t>RESIDENCIAL PRADA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Estacionamiento</t>
        </is>
      </c>
      <c r="F581" t="inlineStr">
        <is>
          <t>E 30</t>
        </is>
      </c>
      <c r="G581" s="39" t="n">
        <v>51500</v>
      </c>
      <c r="H581" s="39" t="n">
        <v>51500</v>
      </c>
      <c r="M581" s="39" t="n"/>
      <c r="N581" s="39" t="n"/>
      <c r="S581" s="39" t="n"/>
      <c r="T581" s="39" t="n"/>
      <c r="Y581" s="39" t="n"/>
      <c r="Z581" s="39" t="n"/>
      <c r="AA581" t="inlineStr">
        <is>
          <t>Joseluis Gaspar Zapata Flores</t>
        </is>
      </c>
      <c r="AB581" t="inlineStr">
        <is>
          <t>46730672</t>
        </is>
      </c>
      <c r="AC581" t="inlineStr">
        <is>
          <t>Jr. Los Clavles 141 P. J  El Progreso 1er Sector</t>
        </is>
      </c>
      <c r="AD581" t="n">
        <v>0</v>
      </c>
      <c r="AE581" t="inlineStr">
        <is>
          <t>948041027</t>
        </is>
      </c>
      <c r="AF581" t="inlineStr">
        <is>
          <t>jlzapata91@gmail.com</t>
        </is>
      </c>
      <c r="AG581" t="inlineStr">
        <is>
          <t>LIMA</t>
        </is>
      </c>
      <c r="AH581" t="inlineStr">
        <is>
          <t>CARABAYLLO</t>
        </is>
      </c>
      <c r="AI581" s="116" t="n">
        <v>46058</v>
      </c>
      <c r="AJ581" s="116" t="n">
        <v>46055</v>
      </c>
      <c r="AK581" t="inlineStr">
        <is>
          <t>SALDO FINANCIAR</t>
        </is>
      </c>
      <c r="AL581" t="n">
        <v>3</v>
      </c>
      <c r="AM581" t="n">
        <v>3000</v>
      </c>
      <c r="AN581" t="n">
        <v>0</v>
      </c>
      <c r="AO581" t="n">
        <v>0</v>
      </c>
      <c r="AP581" s="39" t="n">
        <v>3000</v>
      </c>
      <c r="AQ581" s="39" t="n">
        <v>3000</v>
      </c>
      <c r="AR581" s="39" t="n">
        <v>0</v>
      </c>
      <c r="AS581" t="n">
        <v>0</v>
      </c>
      <c r="AT581" t="inlineStr">
        <is>
          <t>Crédito Directo</t>
        </is>
      </c>
      <c r="AU581" t="inlineStr">
        <is>
          <t>Scotiabank Perú</t>
        </is>
      </c>
      <c r="AV581" t="inlineStr">
        <is>
          <t>000-2768484</t>
        </is>
      </c>
      <c r="AW581" t="inlineStr">
        <is>
          <t>TRANSFERENCIA BANCARIA</t>
        </is>
      </c>
      <c r="AY581" t="inlineStr">
        <is>
          <t>7844655628914</t>
        </is>
      </c>
      <c r="AZ581" t="inlineStr">
        <is>
          <t>No</t>
        </is>
      </c>
      <c r="BB581" t="n">
        <v>4</v>
      </c>
      <c r="BC581" t="inlineStr">
        <is>
          <t>CANCELADO</t>
        </is>
      </c>
      <c r="BN581" t="inlineStr">
        <is>
          <t>Si</t>
        </is>
      </c>
      <c r="BO581" s="117" t="n">
        <v>45960.71875</v>
      </c>
      <c r="BP581" t="inlineStr">
        <is>
          <t>Magaly Guevara Perez</t>
        </is>
      </c>
      <c r="BR581" t="n">
        <v>59</v>
      </c>
      <c r="BS581" t="inlineStr">
        <is>
          <t>29/06/2026 20:52</t>
        </is>
      </c>
      <c r="BT581" t="n">
        <v>0</v>
      </c>
      <c r="BX581" t="inlineStr">
        <is>
          <t>Cobranzas_2026.csv</t>
        </is>
      </c>
      <c r="BY581" t="n">
        <v>2026</v>
      </c>
      <c r="BZ581" t="inlineStr">
        <is>
          <t>01/01/2024</t>
        </is>
      </c>
      <c r="CA581" t="inlineStr">
        <is>
          <t>30/09/2031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Estacionamiento</t>
        </is>
      </c>
      <c r="F582" t="inlineStr">
        <is>
          <t>E 30</t>
        </is>
      </c>
      <c r="G582" s="39" t="n">
        <v>51500</v>
      </c>
      <c r="H582" s="39" t="n">
        <v>51500</v>
      </c>
      <c r="M582" s="39" t="n"/>
      <c r="N582" s="39" t="n"/>
      <c r="S582" s="39" t="n"/>
      <c r="T582" s="39" t="n"/>
      <c r="Y582" s="39" t="n"/>
      <c r="Z582" s="39" t="n"/>
      <c r="AA582" t="inlineStr">
        <is>
          <t>Joseluis Gaspar Zapata Flores</t>
        </is>
      </c>
      <c r="AB582" t="inlineStr">
        <is>
          <t>46730672</t>
        </is>
      </c>
      <c r="AC582" t="inlineStr">
        <is>
          <t>Jr. Los Clavles 141 P. J  El Progreso 1er Sector</t>
        </is>
      </c>
      <c r="AD582" t="n">
        <v>0</v>
      </c>
      <c r="AE582" t="inlineStr">
        <is>
          <t>948041027</t>
        </is>
      </c>
      <c r="AF582" t="inlineStr">
        <is>
          <t>jlzapata91@gmail.com</t>
        </is>
      </c>
      <c r="AG582" t="inlineStr">
        <is>
          <t>LIMA</t>
        </is>
      </c>
      <c r="AH582" t="inlineStr">
        <is>
          <t>CARABAYLLO</t>
        </is>
      </c>
      <c r="AI582" s="116" t="n">
        <v>46086</v>
      </c>
      <c r="AJ582" s="116" t="n">
        <v>46084</v>
      </c>
      <c r="AK582" t="inlineStr">
        <is>
          <t>SALDO FINANCIAR</t>
        </is>
      </c>
      <c r="AL582" t="n">
        <v>4</v>
      </c>
      <c r="AM582" t="n">
        <v>3000</v>
      </c>
      <c r="AN582" t="n">
        <v>0</v>
      </c>
      <c r="AO582" t="n">
        <v>0</v>
      </c>
      <c r="AP582" s="39" t="n">
        <v>3000</v>
      </c>
      <c r="AQ582" s="39" t="n">
        <v>3000</v>
      </c>
      <c r="AR582" s="39" t="n">
        <v>0</v>
      </c>
      <c r="AS582" t="n">
        <v>0</v>
      </c>
      <c r="AT582" t="inlineStr">
        <is>
          <t>Crédito Directo</t>
        </is>
      </c>
      <c r="AU582" t="inlineStr">
        <is>
          <t>Scotiabank Perú</t>
        </is>
      </c>
      <c r="AV582" t="inlineStr">
        <is>
          <t>000-2768484</t>
        </is>
      </c>
      <c r="AW582" t="inlineStr">
        <is>
          <t>TRANSFERENCIA BANCARIA</t>
        </is>
      </c>
      <c r="AY582" t="inlineStr">
        <is>
          <t>7844655533003</t>
        </is>
      </c>
      <c r="AZ582" t="inlineStr">
        <is>
          <t>No</t>
        </is>
      </c>
      <c r="BB582" t="n">
        <v>4</v>
      </c>
      <c r="BC582" t="inlineStr">
        <is>
          <t>CANCELADO</t>
        </is>
      </c>
      <c r="BN582" t="inlineStr">
        <is>
          <t>Si</t>
        </is>
      </c>
      <c r="BO582" s="117" t="n">
        <v>45960.71875</v>
      </c>
      <c r="BP582" t="inlineStr">
        <is>
          <t>Magaly Guevara Perez</t>
        </is>
      </c>
      <c r="BR582" t="n">
        <v>59</v>
      </c>
      <c r="BS582" t="inlineStr">
        <is>
          <t>29/06/2026 20:59</t>
        </is>
      </c>
      <c r="BT582" t="n">
        <v>0</v>
      </c>
      <c r="BX582" t="inlineStr">
        <is>
          <t>Cobranzas_2026.csv</t>
        </is>
      </c>
      <c r="BY582" t="n">
        <v>2026</v>
      </c>
      <c r="BZ582" t="inlineStr">
        <is>
          <t>01/01/2024</t>
        </is>
      </c>
      <c r="CA582" t="inlineStr">
        <is>
          <t>30/09/2031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Estacionamiento</t>
        </is>
      </c>
      <c r="F583" t="inlineStr">
        <is>
          <t>E 30</t>
        </is>
      </c>
      <c r="G583" s="39" t="n">
        <v>51500</v>
      </c>
      <c r="H583" s="39" t="n">
        <v>51500</v>
      </c>
      <c r="M583" s="39" t="n"/>
      <c r="N583" s="39" t="n"/>
      <c r="S583" s="39" t="n"/>
      <c r="T583" s="39" t="n"/>
      <c r="Y583" s="39" t="n"/>
      <c r="Z583" s="39" t="n"/>
      <c r="AA583" t="inlineStr">
        <is>
          <t>Joseluis Gaspar Zapata Flores</t>
        </is>
      </c>
      <c r="AB583" t="inlineStr">
        <is>
          <t>46730672</t>
        </is>
      </c>
      <c r="AC583" t="inlineStr">
        <is>
          <t>Jr. Los Clavles 141 P. J  El Progreso 1er Sector</t>
        </is>
      </c>
      <c r="AD583" t="n">
        <v>0</v>
      </c>
      <c r="AE583" t="inlineStr">
        <is>
          <t>948041027</t>
        </is>
      </c>
      <c r="AF583" t="inlineStr">
        <is>
          <t>jlzapata91@gmail.com</t>
        </is>
      </c>
      <c r="AG583" t="inlineStr">
        <is>
          <t>LIMA</t>
        </is>
      </c>
      <c r="AH583" t="inlineStr">
        <is>
          <t>CARABAYLLO</t>
        </is>
      </c>
      <c r="AI583" s="116" t="n">
        <v>46117</v>
      </c>
      <c r="AJ583" s="116" t="n">
        <v>46116</v>
      </c>
      <c r="AK583" t="inlineStr">
        <is>
          <t>SALDO FINANCIAR</t>
        </is>
      </c>
      <c r="AL583" t="n">
        <v>5</v>
      </c>
      <c r="AM583" t="n">
        <v>3000</v>
      </c>
      <c r="AN583" t="n">
        <v>0</v>
      </c>
      <c r="AO583" t="n">
        <v>0</v>
      </c>
      <c r="AP583" s="39" t="n">
        <v>3000</v>
      </c>
      <c r="AQ583" s="39" t="n">
        <v>3000</v>
      </c>
      <c r="AR583" s="39" t="n">
        <v>0</v>
      </c>
      <c r="AS583" t="n">
        <v>0</v>
      </c>
      <c r="AT583" t="inlineStr">
        <is>
          <t>Crédito Directo</t>
        </is>
      </c>
      <c r="AU583" t="inlineStr">
        <is>
          <t>Scotiabank Perú</t>
        </is>
      </c>
      <c r="AV583" t="inlineStr">
        <is>
          <t>000-2768484</t>
        </is>
      </c>
      <c r="AW583" t="inlineStr">
        <is>
          <t>TRANSFERENCIA BANCARIA</t>
        </is>
      </c>
      <c r="AY583" t="inlineStr">
        <is>
          <t>7844655573323</t>
        </is>
      </c>
      <c r="AZ583" t="inlineStr">
        <is>
          <t>No</t>
        </is>
      </c>
      <c r="BB583" t="n">
        <v>4</v>
      </c>
      <c r="BC583" t="inlineStr">
        <is>
          <t>CANCELADO</t>
        </is>
      </c>
      <c r="BN583" t="inlineStr">
        <is>
          <t>Si</t>
        </is>
      </c>
      <c r="BO583" s="117" t="n">
        <v>45960.71875</v>
      </c>
      <c r="BP583" t="inlineStr">
        <is>
          <t>Magaly Guevara Perez</t>
        </is>
      </c>
      <c r="BR583" t="n">
        <v>59</v>
      </c>
      <c r="BS583" t="inlineStr">
        <is>
          <t>29/06/2026 21:00</t>
        </is>
      </c>
      <c r="BT583" t="n">
        <v>0</v>
      </c>
      <c r="BX583" t="inlineStr">
        <is>
          <t>Cobranzas_2026.csv</t>
        </is>
      </c>
      <c r="BY583" t="n">
        <v>2026</v>
      </c>
      <c r="BZ583" t="inlineStr">
        <is>
          <t>01/01/2024</t>
        </is>
      </c>
      <c r="CA583" t="inlineStr">
        <is>
          <t>30/09/2031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Estacionamiento</t>
        </is>
      </c>
      <c r="F584" t="inlineStr">
        <is>
          <t>E 30</t>
        </is>
      </c>
      <c r="G584" s="39" t="n">
        <v>51500</v>
      </c>
      <c r="H584" s="39" t="n">
        <v>51500</v>
      </c>
      <c r="M584" s="39" t="n"/>
      <c r="N584" s="39" t="n"/>
      <c r="S584" s="39" t="n"/>
      <c r="T584" s="39" t="n"/>
      <c r="Y584" s="39" t="n"/>
      <c r="Z584" s="39" t="n"/>
      <c r="AA584" t="inlineStr">
        <is>
          <t>Joseluis Gaspar Zapata Flores</t>
        </is>
      </c>
      <c r="AB584" t="inlineStr">
        <is>
          <t>46730672</t>
        </is>
      </c>
      <c r="AC584" t="inlineStr">
        <is>
          <t>Jr. Los Clavles 141 P. J  El Progreso 1er Sector</t>
        </is>
      </c>
      <c r="AD584" t="n">
        <v>0</v>
      </c>
      <c r="AE584" t="inlineStr">
        <is>
          <t>948041027</t>
        </is>
      </c>
      <c r="AF584" t="inlineStr">
        <is>
          <t>jlzapata91@gmail.com</t>
        </is>
      </c>
      <c r="AG584" t="inlineStr">
        <is>
          <t>LIMA</t>
        </is>
      </c>
      <c r="AH584" t="inlineStr">
        <is>
          <t>CARABAYLLO</t>
        </is>
      </c>
      <c r="AI584" s="116" t="n">
        <v>46147</v>
      </c>
      <c r="AJ584" s="116" t="n">
        <v>46147</v>
      </c>
      <c r="AK584" t="inlineStr">
        <is>
          <t>SALDO FINANCIAR</t>
        </is>
      </c>
      <c r="AL584" t="n">
        <v>6</v>
      </c>
      <c r="AM584" t="n">
        <v>3000</v>
      </c>
      <c r="AN584" t="n">
        <v>0</v>
      </c>
      <c r="AO584" t="n">
        <v>0</v>
      </c>
      <c r="AP584" s="39" t="n">
        <v>3000</v>
      </c>
      <c r="AQ584" s="39" t="n">
        <v>3000</v>
      </c>
      <c r="AR584" s="39" t="n">
        <v>0</v>
      </c>
      <c r="AS584" t="n">
        <v>0</v>
      </c>
      <c r="AT584" t="inlineStr">
        <is>
          <t>Crédito Directo</t>
        </is>
      </c>
      <c r="AU584" t="inlineStr">
        <is>
          <t>Scotiabank Perú</t>
        </is>
      </c>
      <c r="AV584" t="inlineStr">
        <is>
          <t>000-2768484</t>
        </is>
      </c>
      <c r="AW584" t="inlineStr">
        <is>
          <t>TRANSFERENCIA BANCARIA</t>
        </is>
      </c>
      <c r="AY584" t="inlineStr">
        <is>
          <t>7844655544040</t>
        </is>
      </c>
      <c r="AZ584" t="inlineStr">
        <is>
          <t>No</t>
        </is>
      </c>
      <c r="BB584" t="n">
        <v>4</v>
      </c>
      <c r="BC584" t="inlineStr">
        <is>
          <t>CANCELADO</t>
        </is>
      </c>
      <c r="BN584" t="inlineStr">
        <is>
          <t>Si</t>
        </is>
      </c>
      <c r="BO584" s="117" t="n">
        <v>45960.71875</v>
      </c>
      <c r="BP584" t="inlineStr">
        <is>
          <t>Magaly Guevara Perez</t>
        </is>
      </c>
      <c r="BR584" t="n">
        <v>59</v>
      </c>
      <c r="BS584" t="inlineStr">
        <is>
          <t>29/06/2026 21:00</t>
        </is>
      </c>
      <c r="BT584" t="n">
        <v>0</v>
      </c>
      <c r="BX584" t="inlineStr">
        <is>
          <t>Cobranzas_2026.csv</t>
        </is>
      </c>
      <c r="BY584" t="n">
        <v>2026</v>
      </c>
      <c r="BZ584" t="inlineStr">
        <is>
          <t>01/01/2024</t>
        </is>
      </c>
      <c r="CA584" t="inlineStr">
        <is>
          <t>30/09/2031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30</t>
        </is>
      </c>
      <c r="G585" s="39" t="n">
        <v>51500</v>
      </c>
      <c r="H585" s="39" t="n">
        <v>51500</v>
      </c>
      <c r="M585" s="39" t="n"/>
      <c r="N585" s="39" t="n"/>
      <c r="S585" s="39" t="n"/>
      <c r="T585" s="39" t="n"/>
      <c r="Y585" s="39" t="n"/>
      <c r="Z585" s="39" t="n"/>
      <c r="AA585" t="inlineStr">
        <is>
          <t>Joseluis Gaspar Zapata Flores</t>
        </is>
      </c>
      <c r="AB585" t="inlineStr">
        <is>
          <t>46730672</t>
        </is>
      </c>
      <c r="AC585" t="inlineStr">
        <is>
          <t>Jr. Los Clavles 141 P. J  El Progreso 1er Sector</t>
        </is>
      </c>
      <c r="AD585" t="n">
        <v>0</v>
      </c>
      <c r="AE585" t="inlineStr">
        <is>
          <t>948041027</t>
        </is>
      </c>
      <c r="AF585" t="inlineStr">
        <is>
          <t>jlzapata91@gmail.com</t>
        </is>
      </c>
      <c r="AG585" t="inlineStr">
        <is>
          <t>LIMA</t>
        </is>
      </c>
      <c r="AH585" t="inlineStr">
        <is>
          <t>CARABAYLLO</t>
        </is>
      </c>
      <c r="AI585" s="116" t="n">
        <v>46178</v>
      </c>
      <c r="AJ585" s="116" t="n">
        <v>46178</v>
      </c>
      <c r="AK585" t="inlineStr">
        <is>
          <t>SALDO FINANCIAR</t>
        </is>
      </c>
      <c r="AL585" t="n">
        <v>7</v>
      </c>
      <c r="AM585" t="n">
        <v>3000</v>
      </c>
      <c r="AN585" t="n">
        <v>0</v>
      </c>
      <c r="AO585" t="n">
        <v>0</v>
      </c>
      <c r="AP585" s="39" t="n">
        <v>3000</v>
      </c>
      <c r="AQ585" s="39" t="n">
        <v>3000</v>
      </c>
      <c r="AR585" s="39" t="n">
        <v>0</v>
      </c>
      <c r="AS585" t="n">
        <v>0</v>
      </c>
      <c r="AT585" t="inlineStr">
        <is>
          <t>Crédito Directo</t>
        </is>
      </c>
      <c r="AU585" t="inlineStr">
        <is>
          <t>Scotiabank Perú</t>
        </is>
      </c>
      <c r="AV585" t="inlineStr">
        <is>
          <t>000-2768484</t>
        </is>
      </c>
      <c r="AW585" t="inlineStr">
        <is>
          <t>TRANSFERENCIA BANCARIA</t>
        </is>
      </c>
      <c r="AY585" t="inlineStr">
        <is>
          <t>7844655527739</t>
        </is>
      </c>
      <c r="AZ585" t="inlineStr">
        <is>
          <t>No</t>
        </is>
      </c>
      <c r="BB585" t="n">
        <v>4</v>
      </c>
      <c r="BC585" t="inlineStr">
        <is>
          <t>CANCELADO</t>
        </is>
      </c>
      <c r="BN585" t="inlineStr">
        <is>
          <t>Si</t>
        </is>
      </c>
      <c r="BO585" s="117" t="n">
        <v>45960.71875</v>
      </c>
      <c r="BP585" t="inlineStr">
        <is>
          <t>Magaly Guevara Perez</t>
        </is>
      </c>
      <c r="BR585" t="n">
        <v>59</v>
      </c>
      <c r="BS585" t="inlineStr">
        <is>
          <t>29/06/2026 21:02</t>
        </is>
      </c>
      <c r="BT585" t="n">
        <v>0</v>
      </c>
      <c r="BX585" t="inlineStr">
        <is>
          <t>Cobranzas_2026.csv</t>
        </is>
      </c>
      <c r="BY585" t="n">
        <v>2026</v>
      </c>
      <c r="BZ585" t="inlineStr">
        <is>
          <t>01/01/2024</t>
        </is>
      </c>
      <c r="CA585" t="inlineStr">
        <is>
          <t>30/09/2031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30</t>
        </is>
      </c>
      <c r="G586" s="39" t="n">
        <v>51500</v>
      </c>
      <c r="H586" s="39" t="n">
        <v>51500</v>
      </c>
      <c r="M586" s="39" t="n"/>
      <c r="N586" s="39" t="n"/>
      <c r="S586" s="39" t="n"/>
      <c r="T586" s="39" t="n"/>
      <c r="Y586" s="39" t="n"/>
      <c r="Z586" s="39" t="n"/>
      <c r="AA586" t="inlineStr">
        <is>
          <t>Joseluis Gaspar Zapata Flores</t>
        </is>
      </c>
      <c r="AB586" t="inlineStr">
        <is>
          <t>46730672</t>
        </is>
      </c>
      <c r="AC586" t="inlineStr">
        <is>
          <t>Jr. Los Clavles 141 P. J  El Progreso 1er Sector</t>
        </is>
      </c>
      <c r="AD586" t="n">
        <v>0</v>
      </c>
      <c r="AE586" t="inlineStr">
        <is>
          <t>948041027</t>
        </is>
      </c>
      <c r="AF586" t="inlineStr">
        <is>
          <t>jlzapata91@gmail.com</t>
        </is>
      </c>
      <c r="AG586" t="inlineStr">
        <is>
          <t>LIMA</t>
        </is>
      </c>
      <c r="AH586" t="inlineStr">
        <is>
          <t>CARABAYLLO</t>
        </is>
      </c>
      <c r="AI586" s="116" t="n">
        <v>46234</v>
      </c>
      <c r="AJ586" s="116" t="n">
        <v>46255</v>
      </c>
      <c r="AK586" t="inlineStr">
        <is>
          <t>SALDO FINANCIAR</t>
        </is>
      </c>
      <c r="AL586" t="n">
        <v>8</v>
      </c>
      <c r="AM586" t="n">
        <v>22500</v>
      </c>
      <c r="AN586" t="n">
        <v>0</v>
      </c>
      <c r="AO586" t="n">
        <v>0</v>
      </c>
      <c r="AP586" s="39" t="n">
        <v>22500</v>
      </c>
      <c r="AQ586" s="39" t="n">
        <v>22500</v>
      </c>
      <c r="AR586" s="39" t="n">
        <v>0</v>
      </c>
      <c r="AS586" t="n">
        <v>0</v>
      </c>
      <c r="AT586" t="inlineStr">
        <is>
          <t>Crédito Directo</t>
        </is>
      </c>
      <c r="AU586" t="inlineStr">
        <is>
          <t>Scotiabank Perú</t>
        </is>
      </c>
      <c r="AV586" t="inlineStr">
        <is>
          <t>000-2768484</t>
        </is>
      </c>
      <c r="AW586" t="inlineStr">
        <is>
          <t>TRANSFERENCIA BANCARIA</t>
        </is>
      </c>
      <c r="AZ586" t="inlineStr">
        <is>
          <t>No</t>
        </is>
      </c>
      <c r="BB586" t="n">
        <v>4</v>
      </c>
      <c r="BC586" t="inlineStr">
        <is>
          <t>CANCELADO</t>
        </is>
      </c>
      <c r="BN586" t="inlineStr">
        <is>
          <t>Si</t>
        </is>
      </c>
      <c r="BO586" s="117" t="n">
        <v>45960.71875</v>
      </c>
      <c r="BP586" t="inlineStr">
        <is>
          <t>Magaly Guevara Perez</t>
        </is>
      </c>
      <c r="BR586" t="n">
        <v>59</v>
      </c>
      <c r="BS586" t="inlineStr">
        <is>
          <t>23/08/2026 19:34</t>
        </is>
      </c>
      <c r="BT586" t="n">
        <v>0</v>
      </c>
      <c r="BX586" t="inlineStr">
        <is>
          <t>Cobranzas_2026.csv</t>
        </is>
      </c>
      <c r="BY586" t="n">
        <v>2026</v>
      </c>
      <c r="BZ586" t="inlineStr">
        <is>
          <t>01/01/2024</t>
        </is>
      </c>
      <c r="CA586" t="inlineStr">
        <is>
          <t>30/09/2031</t>
        </is>
      </c>
    </row>
    <row r="587">
      <c r="A587" t="inlineStr">
        <is>
          <t>RESIDENCIAL BEYOND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Departamento</t>
        </is>
      </c>
      <c r="F587" t="inlineStr">
        <is>
          <t>404</t>
        </is>
      </c>
      <c r="G587" s="39" t="n">
        <v>498000</v>
      </c>
      <c r="H587" s="39" t="n">
        <v>460000</v>
      </c>
      <c r="M587" s="39" t="n"/>
      <c r="N587" s="39" t="n"/>
      <c r="S587" s="39" t="n"/>
      <c r="T587" s="39" t="n"/>
      <c r="Y587" s="39" t="n"/>
      <c r="Z587" s="39" t="n"/>
      <c r="AA587" t="inlineStr">
        <is>
          <t>Juana Mercedes Moran Peralta</t>
        </is>
      </c>
      <c r="AB587" t="inlineStr">
        <is>
          <t>03495726</t>
        </is>
      </c>
      <c r="AC587" t="inlineStr">
        <is>
          <t>Jr. Ignacio Álvarez Thomas 1573 - Dpto. 302</t>
        </is>
      </c>
      <c r="AD587" t="n">
        <v>0</v>
      </c>
      <c r="AE587" t="inlineStr">
        <is>
          <t>978122557</t>
        </is>
      </c>
      <c r="AF587" t="inlineStr">
        <is>
          <t>Juanamoran2371@gmail.com</t>
        </is>
      </c>
      <c r="AG587" t="inlineStr">
        <is>
          <t>LIMA</t>
        </is>
      </c>
      <c r="AH587" t="inlineStr">
        <is>
          <t>CERCADO DE LIMA</t>
        </is>
      </c>
      <c r="AI587" s="116" t="n">
        <v>46250.6625</v>
      </c>
      <c r="AJ587" s="116" t="n">
        <v>45818</v>
      </c>
      <c r="AK587" t="inlineStr">
        <is>
          <t>CUOTA INICIAL</t>
        </is>
      </c>
      <c r="AL587" t="n">
        <v>1</v>
      </c>
      <c r="AM587" t="n">
        <v>43000</v>
      </c>
      <c r="AN587" t="n">
        <v>0</v>
      </c>
      <c r="AO587" t="n">
        <v>0</v>
      </c>
      <c r="AP587" s="39" t="n">
        <v>43000</v>
      </c>
      <c r="AQ587" s="39" t="n">
        <v>10000</v>
      </c>
      <c r="AR587" s="39" t="n">
        <v>0</v>
      </c>
      <c r="AS587" t="n">
        <v>0</v>
      </c>
      <c r="AT587" t="inlineStr">
        <is>
          <t>Ahorro</t>
        </is>
      </c>
      <c r="AU587" t="inlineStr">
        <is>
          <t>Banco de Credito del Perú</t>
        </is>
      </c>
      <c r="AV587" t="inlineStr">
        <is>
          <t>194-7325779-0-65</t>
        </is>
      </c>
      <c r="AW587" t="inlineStr">
        <is>
          <t>TRANSFERENCIA BANCARIA</t>
        </is>
      </c>
      <c r="AY587" t="inlineStr">
        <is>
          <t>03115533</t>
        </is>
      </c>
      <c r="AZ587" t="inlineStr">
        <is>
          <t>No</t>
        </is>
      </c>
      <c r="BB587" t="n">
        <v>4</v>
      </c>
      <c r="BC587" t="inlineStr">
        <is>
          <t>CANCELADO</t>
        </is>
      </c>
      <c r="BN587" t="inlineStr">
        <is>
          <t>Si</t>
        </is>
      </c>
      <c r="BO587" s="117" t="n">
        <v>46178.42777777778</v>
      </c>
      <c r="BP587" t="inlineStr">
        <is>
          <t>Magaly Guevara Perez</t>
        </is>
      </c>
      <c r="BR587" t="n">
        <v>29</v>
      </c>
      <c r="BS587" t="inlineStr">
        <is>
          <t>13/08/2026 14:12</t>
        </is>
      </c>
      <c r="BT587" t="n">
        <v>0</v>
      </c>
      <c r="BX587" t="inlineStr">
        <is>
          <t>Cobranzas_2026.csv</t>
        </is>
      </c>
      <c r="BY587" t="n">
        <v>2026</v>
      </c>
      <c r="BZ587" t="inlineStr">
        <is>
          <t>01/01/2024</t>
        </is>
      </c>
      <c r="CA587" t="inlineStr">
        <is>
          <t>30/09/2031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404</t>
        </is>
      </c>
      <c r="G588" s="39" t="n">
        <v>498000</v>
      </c>
      <c r="H588" s="39" t="n">
        <v>460000</v>
      </c>
      <c r="M588" s="39" t="n"/>
      <c r="N588" s="39" t="n"/>
      <c r="S588" s="39" t="n"/>
      <c r="T588" s="39" t="n"/>
      <c r="Y588" s="39" t="n"/>
      <c r="Z588" s="39" t="n"/>
      <c r="AA588" t="inlineStr">
        <is>
          <t>Juana Mercedes Moran Peralta</t>
        </is>
      </c>
      <c r="AB588" t="inlineStr">
        <is>
          <t>03495726</t>
        </is>
      </c>
      <c r="AC588" t="inlineStr">
        <is>
          <t>Jr. Ignacio Álvarez Thomas 1573 - Dpto. 302</t>
        </is>
      </c>
      <c r="AD588" t="n">
        <v>0</v>
      </c>
      <c r="AE588" t="inlineStr">
        <is>
          <t>978122557</t>
        </is>
      </c>
      <c r="AF588" t="inlineStr">
        <is>
          <t>Juanamoran2371@gmail.com</t>
        </is>
      </c>
      <c r="AG588" t="inlineStr">
        <is>
          <t>LIMA</t>
        </is>
      </c>
      <c r="AH588" t="inlineStr">
        <is>
          <t>CERCADO DE LIMA</t>
        </is>
      </c>
      <c r="AI588" s="116" t="n">
        <v>46250.6625</v>
      </c>
      <c r="AJ588" s="116" t="n">
        <v>45863</v>
      </c>
      <c r="AK588" t="inlineStr">
        <is>
          <t>CUOTA INICIAL</t>
        </is>
      </c>
      <c r="AL588" t="n">
        <v>1</v>
      </c>
      <c r="AM588" t="n">
        <v>0</v>
      </c>
      <c r="AN588" t="n">
        <v>0</v>
      </c>
      <c r="AO588" t="n">
        <v>0</v>
      </c>
      <c r="AP588" s="39" t="n">
        <v>0</v>
      </c>
      <c r="AQ588" s="39" t="n">
        <v>10000</v>
      </c>
      <c r="AR588" s="39" t="n">
        <v>0</v>
      </c>
      <c r="AS588" t="n">
        <v>0</v>
      </c>
      <c r="AT588" t="inlineStr">
        <is>
          <t>Ahorro</t>
        </is>
      </c>
      <c r="AU588" t="inlineStr">
        <is>
          <t>Banco de Credito del Perú</t>
        </is>
      </c>
      <c r="AV588" t="inlineStr">
        <is>
          <t>194-7325779-0-65</t>
        </is>
      </c>
      <c r="AW588" t="inlineStr">
        <is>
          <t>TRANSFERENCIA BANCARIA</t>
        </is>
      </c>
      <c r="AY588" t="inlineStr">
        <is>
          <t>1672391</t>
        </is>
      </c>
      <c r="AZ588" t="inlineStr">
        <is>
          <t>No</t>
        </is>
      </c>
      <c r="BB588" t="n">
        <v>4</v>
      </c>
      <c r="BC588" t="inlineStr">
        <is>
          <t>CANCELADO</t>
        </is>
      </c>
      <c r="BN588" t="inlineStr">
        <is>
          <t>Si</t>
        </is>
      </c>
      <c r="BO588" s="117" t="n">
        <v>46178.42777777778</v>
      </c>
      <c r="BP588" t="inlineStr">
        <is>
          <t>Magaly Guevara Perez</t>
        </is>
      </c>
      <c r="BR588" t="n">
        <v>29</v>
      </c>
      <c r="BS588" t="inlineStr">
        <is>
          <t>13/08/2026 14:14</t>
        </is>
      </c>
      <c r="BT588" t="n">
        <v>0</v>
      </c>
      <c r="BX588" t="inlineStr">
        <is>
          <t>Cobranzas_2026.csv</t>
        </is>
      </c>
      <c r="BY588" t="n">
        <v>2026</v>
      </c>
      <c r="BZ588" t="inlineStr">
        <is>
          <t>01/01/2024</t>
        </is>
      </c>
      <c r="CA588" t="inlineStr">
        <is>
          <t>30/09/2031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404</t>
        </is>
      </c>
      <c r="G589" s="39" t="n">
        <v>498000</v>
      </c>
      <c r="H589" s="39" t="n">
        <v>460000</v>
      </c>
      <c r="M589" s="39" t="n"/>
      <c r="N589" s="39" t="n"/>
      <c r="S589" s="39" t="n"/>
      <c r="T589" s="39" t="n"/>
      <c r="Y589" s="39" t="n"/>
      <c r="Z589" s="39" t="n"/>
      <c r="AA589" t="inlineStr">
        <is>
          <t>Juana Mercedes Moran Peralta</t>
        </is>
      </c>
      <c r="AB589" t="inlineStr">
        <is>
          <t>03495726</t>
        </is>
      </c>
      <c r="AC589" t="inlineStr">
        <is>
          <t>Jr. Ignacio Álvarez Thomas 1573 - Dpto. 302</t>
        </is>
      </c>
      <c r="AD589" t="n">
        <v>0</v>
      </c>
      <c r="AE589" t="inlineStr">
        <is>
          <t>978122557</t>
        </is>
      </c>
      <c r="AF589" t="inlineStr">
        <is>
          <t>Juanamoran2371@gmail.com</t>
        </is>
      </c>
      <c r="AG589" t="inlineStr">
        <is>
          <t>LIMA</t>
        </is>
      </c>
      <c r="AH589" t="inlineStr">
        <is>
          <t>CERCADO DE LIMA</t>
        </is>
      </c>
      <c r="AI589" s="116" t="n">
        <v>46250.6625</v>
      </c>
      <c r="AJ589" s="116" t="n">
        <v>46151</v>
      </c>
      <c r="AK589" t="inlineStr">
        <is>
          <t>CUOTA INICIAL</t>
        </is>
      </c>
      <c r="AL589" t="n">
        <v>1</v>
      </c>
      <c r="AM589" t="n">
        <v>0</v>
      </c>
      <c r="AN589" t="n">
        <v>0</v>
      </c>
      <c r="AO589" t="n">
        <v>0</v>
      </c>
      <c r="AP589" s="39" t="n">
        <v>0</v>
      </c>
      <c r="AQ589" s="39" t="n">
        <v>23000</v>
      </c>
      <c r="AR589" s="39" t="n">
        <v>0</v>
      </c>
      <c r="AS589" t="n">
        <v>0</v>
      </c>
      <c r="AT589" t="inlineStr">
        <is>
          <t>Ahorro</t>
        </is>
      </c>
      <c r="AU589" t="inlineStr">
        <is>
          <t>Banco de Credito del Perú</t>
        </is>
      </c>
      <c r="AV589" t="inlineStr">
        <is>
          <t>194-7325779-0-65</t>
        </is>
      </c>
      <c r="AW589" t="inlineStr">
        <is>
          <t>TRANSFERENCIA BANCARIA</t>
        </is>
      </c>
      <c r="AY589" t="inlineStr">
        <is>
          <t>1764662</t>
        </is>
      </c>
      <c r="AZ589" t="inlineStr">
        <is>
          <t>No</t>
        </is>
      </c>
      <c r="BB589" t="n">
        <v>4</v>
      </c>
      <c r="BC589" t="inlineStr">
        <is>
          <t>CANCELADO</t>
        </is>
      </c>
      <c r="BN589" t="inlineStr">
        <is>
          <t>Si</t>
        </is>
      </c>
      <c r="BO589" s="117" t="n">
        <v>46178.42777777778</v>
      </c>
      <c r="BP589" t="inlineStr">
        <is>
          <t>Magaly Guevara Perez</t>
        </is>
      </c>
      <c r="BR589" t="n">
        <v>29</v>
      </c>
      <c r="BS589" t="inlineStr">
        <is>
          <t>13/08/2026 14:15</t>
        </is>
      </c>
      <c r="BT589" t="n">
        <v>0</v>
      </c>
      <c r="BX589" t="inlineStr">
        <is>
          <t>Cobranzas_2026.csv</t>
        </is>
      </c>
      <c r="BY589" t="n">
        <v>2026</v>
      </c>
      <c r="BZ589" t="inlineStr">
        <is>
          <t>01/01/2024</t>
        </is>
      </c>
      <c r="CA589" t="inlineStr">
        <is>
          <t>30/09/2031</t>
        </is>
      </c>
    </row>
    <row r="590">
      <c r="A590" t="inlineStr">
        <is>
          <t>RESIDENCIAL BEYOND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404</t>
        </is>
      </c>
      <c r="G590" s="39" t="n">
        <v>498000</v>
      </c>
      <c r="H590" s="39" t="n">
        <v>460000</v>
      </c>
      <c r="M590" s="39" t="n"/>
      <c r="N590" s="39" t="n"/>
      <c r="S590" s="39" t="n"/>
      <c r="T590" s="39" t="n"/>
      <c r="Y590" s="39" t="n"/>
      <c r="Z590" s="39" t="n"/>
      <c r="AA590" t="inlineStr">
        <is>
          <t>Juana Mercedes Moran Peralta</t>
        </is>
      </c>
      <c r="AB590" t="inlineStr">
        <is>
          <t>03495726</t>
        </is>
      </c>
      <c r="AC590" t="inlineStr">
        <is>
          <t>Jr. Ignacio Álvarez Thomas 1573 - Dpto. 302</t>
        </is>
      </c>
      <c r="AD590" t="n">
        <v>0</v>
      </c>
      <c r="AE590" t="inlineStr">
        <is>
          <t>978122557</t>
        </is>
      </c>
      <c r="AF590" t="inlineStr">
        <is>
          <t>Juanamoran2371@gmail.com</t>
        </is>
      </c>
      <c r="AG590" t="inlineStr">
        <is>
          <t>LIMA</t>
        </is>
      </c>
      <c r="AH590" t="inlineStr">
        <is>
          <t>CERCADO DE LIMA</t>
        </is>
      </c>
      <c r="AI590" s="116" t="n">
        <v>46281.6625</v>
      </c>
      <c r="AJ590" s="116" t="n"/>
      <c r="AK590" t="inlineStr">
        <is>
          <t>SALDO FINANCIAR</t>
        </is>
      </c>
      <c r="AL590" t="n">
        <v>1</v>
      </c>
      <c r="AM590" t="n">
        <v>414000</v>
      </c>
      <c r="AN590" t="n">
        <v>0</v>
      </c>
      <c r="AO590" t="n">
        <v>0</v>
      </c>
      <c r="AP590" s="39" t="n">
        <v>414000</v>
      </c>
      <c r="AQ590" s="39" t="n">
        <v>0</v>
      </c>
      <c r="AR590" s="39" t="n">
        <v>414000</v>
      </c>
      <c r="AT590" t="inlineStr">
        <is>
          <t>Ahorro</t>
        </is>
      </c>
      <c r="AZ590" t="inlineStr">
        <is>
          <t>No</t>
        </is>
      </c>
      <c r="BC590" t="inlineStr">
        <is>
          <t>VENCIDO</t>
        </is>
      </c>
      <c r="BN590" t="inlineStr">
        <is>
          <t>No</t>
        </is>
      </c>
      <c r="BO590" s="117" t="n">
        <v>46178.42777777778</v>
      </c>
      <c r="BP590" t="inlineStr">
        <is>
          <t>Magaly Guevara Perez</t>
        </is>
      </c>
      <c r="BR590" t="n">
        <v>29</v>
      </c>
      <c r="BT590" t="n">
        <v>0</v>
      </c>
      <c r="BX590" t="inlineStr">
        <is>
          <t>Cobranzas_2026.csv</t>
        </is>
      </c>
      <c r="BY590" t="n">
        <v>2026</v>
      </c>
      <c r="BZ590" t="inlineStr">
        <is>
          <t>01/01/2024</t>
        </is>
      </c>
      <c r="CA590" t="inlineStr">
        <is>
          <t>30/09/2031</t>
        </is>
      </c>
    </row>
    <row r="591">
      <c r="A591" t="inlineStr">
        <is>
          <t>RESIDENCIAL BEYOND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Estacionamiento</t>
        </is>
      </c>
      <c r="F591" t="inlineStr">
        <is>
          <t>E 10 - D 09</t>
        </is>
      </c>
      <c r="G591" s="39" t="n">
        <v>51300</v>
      </c>
      <c r="H591" s="39" t="n">
        <v>51300</v>
      </c>
      <c r="M591" s="39" t="n"/>
      <c r="N591" s="39" t="n"/>
      <c r="S591" s="39" t="n"/>
      <c r="T591" s="39" t="n"/>
      <c r="Y591" s="39" t="n"/>
      <c r="Z591" s="39" t="n"/>
      <c r="AA591" t="inlineStr">
        <is>
          <t>Juana Mercedes Moran Peralta</t>
        </is>
      </c>
      <c r="AB591" t="inlineStr">
        <is>
          <t>03495726</t>
        </is>
      </c>
      <c r="AC591" t="inlineStr">
        <is>
          <t>Jr. Ignacio Álvarez Thomas 1573 - Dpto. 302</t>
        </is>
      </c>
      <c r="AD591" t="n">
        <v>0</v>
      </c>
      <c r="AE591" t="inlineStr">
        <is>
          <t>978122557</t>
        </is>
      </c>
      <c r="AF591" t="inlineStr">
        <is>
          <t>Juanamoran2371@gmail.com</t>
        </is>
      </c>
      <c r="AG591" t="inlineStr">
        <is>
          <t>LIMA</t>
        </is>
      </c>
      <c r="AH591" t="inlineStr">
        <is>
          <t>CERCADO DE LIMA</t>
        </is>
      </c>
      <c r="AI591" s="116" t="n">
        <v>46139</v>
      </c>
      <c r="AJ591" s="116" t="n">
        <v>46139</v>
      </c>
      <c r="AK591" t="inlineStr">
        <is>
          <t>SEPARACION</t>
        </is>
      </c>
      <c r="AL591" t="n">
        <v>1</v>
      </c>
      <c r="AM591" t="n">
        <v>3000</v>
      </c>
      <c r="AN591" t="n">
        <v>0</v>
      </c>
      <c r="AO591" t="n">
        <v>0</v>
      </c>
      <c r="AP591" s="39" t="n">
        <v>3000</v>
      </c>
      <c r="AQ591" s="39" t="n">
        <v>3000</v>
      </c>
      <c r="AR591" s="39" t="n">
        <v>0</v>
      </c>
      <c r="AS591" t="n">
        <v>0</v>
      </c>
      <c r="AT591" t="inlineStr">
        <is>
          <t>Crédito Hipotecario</t>
        </is>
      </c>
      <c r="AU591" t="inlineStr">
        <is>
          <t>Banco de Credito del Perú</t>
        </is>
      </c>
      <c r="AV591" t="inlineStr">
        <is>
          <t>194-7325779-0-65</t>
        </is>
      </c>
      <c r="AW591" t="inlineStr">
        <is>
          <t>TRANSFERENCIA BANCARIA</t>
        </is>
      </c>
      <c r="AY591" t="inlineStr">
        <is>
          <t>03104474</t>
        </is>
      </c>
      <c r="AZ591" t="inlineStr">
        <is>
          <t>No</t>
        </is>
      </c>
      <c r="BB591" t="n">
        <v>4</v>
      </c>
      <c r="BC591" t="inlineStr">
        <is>
          <t>CANCELADO</t>
        </is>
      </c>
      <c r="BN591" t="inlineStr">
        <is>
          <t>Si</t>
        </is>
      </c>
      <c r="BO591" s="117" t="n">
        <v>46224.49583333333</v>
      </c>
      <c r="BP591" t="inlineStr">
        <is>
          <t>Carla Michue M</t>
        </is>
      </c>
      <c r="BR591" t="n">
        <v>54</v>
      </c>
      <c r="BS591" t="inlineStr">
        <is>
          <t>21/07/2026 11:54</t>
        </is>
      </c>
      <c r="BT591" t="n">
        <v>0</v>
      </c>
      <c r="BX591" t="inlineStr">
        <is>
          <t>Cobranzas_2026.csv</t>
        </is>
      </c>
      <c r="BY591" t="n">
        <v>2026</v>
      </c>
      <c r="BZ591" t="inlineStr">
        <is>
          <t>01/01/2024</t>
        </is>
      </c>
      <c r="CA591" t="inlineStr">
        <is>
          <t>30/09/2031</t>
        </is>
      </c>
    </row>
    <row r="592">
      <c r="A592" t="inlineStr">
        <is>
          <t>RESIDENCIAL BEYOND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Estacionamiento</t>
        </is>
      </c>
      <c r="F592" t="inlineStr">
        <is>
          <t>E 10 - D 09</t>
        </is>
      </c>
      <c r="G592" s="39" t="n">
        <v>51300</v>
      </c>
      <c r="H592" s="39" t="n">
        <v>51300</v>
      </c>
      <c r="M592" s="39" t="n"/>
      <c r="N592" s="39" t="n"/>
      <c r="S592" s="39" t="n"/>
      <c r="T592" s="39" t="n"/>
      <c r="Y592" s="39" t="n"/>
      <c r="Z592" s="39" t="n"/>
      <c r="AA592" t="inlineStr">
        <is>
          <t>Juana Mercedes Moran Peralta</t>
        </is>
      </c>
      <c r="AB592" t="inlineStr">
        <is>
          <t>03495726</t>
        </is>
      </c>
      <c r="AC592" t="inlineStr">
        <is>
          <t>Jr. Ignacio Álvarez Thomas 1573 - Dpto. 302</t>
        </is>
      </c>
      <c r="AD592" t="n">
        <v>0</v>
      </c>
      <c r="AE592" t="inlineStr">
        <is>
          <t>978122557</t>
        </is>
      </c>
      <c r="AF592" t="inlineStr">
        <is>
          <t>Juanamoran2371@gmail.com</t>
        </is>
      </c>
      <c r="AG592" t="inlineStr">
        <is>
          <t>LIMA</t>
        </is>
      </c>
      <c r="AH592" t="inlineStr">
        <is>
          <t>CERCADO DE LIMA</t>
        </is>
      </c>
      <c r="AI592" s="116" t="n">
        <v>46139</v>
      </c>
      <c r="AJ592" s="116" t="n">
        <v>46139</v>
      </c>
      <c r="AK592" t="inlineStr">
        <is>
          <t>CUOTA INICIAL</t>
        </is>
      </c>
      <c r="AL592" t="n">
        <v>1</v>
      </c>
      <c r="AM592" t="n">
        <v>7000</v>
      </c>
      <c r="AN592" t="n">
        <v>0</v>
      </c>
      <c r="AO592" t="n">
        <v>0</v>
      </c>
      <c r="AP592" s="39" t="n">
        <v>7000</v>
      </c>
      <c r="AQ592" s="39" t="n">
        <v>7000</v>
      </c>
      <c r="AR592" s="39" t="n">
        <v>0</v>
      </c>
      <c r="AS592" t="n">
        <v>0</v>
      </c>
      <c r="AT592" t="inlineStr">
        <is>
          <t>Crédito Hipotecario</t>
        </is>
      </c>
      <c r="AU592" t="inlineStr">
        <is>
          <t>Banco de Credito del Perú</t>
        </is>
      </c>
      <c r="AV592" t="inlineStr">
        <is>
          <t>194-7325779-0-65</t>
        </is>
      </c>
      <c r="AW592" t="inlineStr">
        <is>
          <t>TRANSFERENCIA BANCARIA</t>
        </is>
      </c>
      <c r="AY592" t="inlineStr">
        <is>
          <t>03104474</t>
        </is>
      </c>
      <c r="AZ592" t="inlineStr">
        <is>
          <t>No</t>
        </is>
      </c>
      <c r="BB592" t="n">
        <v>4</v>
      </c>
      <c r="BC592" t="inlineStr">
        <is>
          <t>CANCELADO</t>
        </is>
      </c>
      <c r="BN592" t="inlineStr">
        <is>
          <t>Si</t>
        </is>
      </c>
      <c r="BO592" s="117" t="n">
        <v>46224.49583333333</v>
      </c>
      <c r="BP592" t="inlineStr">
        <is>
          <t>Carla Michue M</t>
        </is>
      </c>
      <c r="BR592" t="n">
        <v>54</v>
      </c>
      <c r="BS592" t="inlineStr">
        <is>
          <t>21/07/2026 15:40</t>
        </is>
      </c>
      <c r="BT592" t="n">
        <v>0</v>
      </c>
      <c r="BX592" t="inlineStr">
        <is>
          <t>Cobranzas_2026.csv</t>
        </is>
      </c>
      <c r="BY592" t="n">
        <v>2026</v>
      </c>
      <c r="BZ592" t="inlineStr">
        <is>
          <t>01/01/2024</t>
        </is>
      </c>
      <c r="CA592" t="inlineStr">
        <is>
          <t>30/09/2031</t>
        </is>
      </c>
    </row>
    <row r="593">
      <c r="A593" t="inlineStr">
        <is>
          <t>RESIDENCIAL BEYOND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Estacionamiento</t>
        </is>
      </c>
      <c r="F593" t="inlineStr">
        <is>
          <t>E 10 - D 09</t>
        </is>
      </c>
      <c r="G593" s="39" t="n">
        <v>51300</v>
      </c>
      <c r="H593" s="39" t="n">
        <v>51300</v>
      </c>
      <c r="M593" s="39" t="n"/>
      <c r="N593" s="39" t="n"/>
      <c r="S593" s="39" t="n"/>
      <c r="T593" s="39" t="n"/>
      <c r="Y593" s="39" t="n"/>
      <c r="Z593" s="39" t="n"/>
      <c r="AA593" t="inlineStr">
        <is>
          <t>Juana Mercedes Moran Peralta</t>
        </is>
      </c>
      <c r="AB593" t="inlineStr">
        <is>
          <t>03495726</t>
        </is>
      </c>
      <c r="AC593" t="inlineStr">
        <is>
          <t>Jr. Ignacio Álvarez Thomas 1573 - Dpto. 302</t>
        </is>
      </c>
      <c r="AD593" t="n">
        <v>0</v>
      </c>
      <c r="AE593" t="inlineStr">
        <is>
          <t>978122557</t>
        </is>
      </c>
      <c r="AF593" t="inlineStr">
        <is>
          <t>Juanamoran2371@gmail.com</t>
        </is>
      </c>
      <c r="AG593" t="inlineStr">
        <is>
          <t>LIMA</t>
        </is>
      </c>
      <c r="AH593" t="inlineStr">
        <is>
          <t>CERCADO DE LIMA</t>
        </is>
      </c>
      <c r="AI593" s="116" t="n">
        <v>46233</v>
      </c>
      <c r="AJ593" s="116" t="n"/>
      <c r="AK593" t="inlineStr">
        <is>
          <t>SALDO FINANCIAR</t>
        </is>
      </c>
      <c r="AL593" t="n">
        <v>1</v>
      </c>
      <c r="AM593" t="n">
        <v>2300</v>
      </c>
      <c r="AN593" t="n">
        <v>0</v>
      </c>
      <c r="AO593" t="n">
        <v>0</v>
      </c>
      <c r="AP593" s="39" t="n">
        <v>2300</v>
      </c>
      <c r="AQ593" s="39" t="n">
        <v>0</v>
      </c>
      <c r="AR593" s="39" t="n">
        <v>2300</v>
      </c>
      <c r="AT593" t="inlineStr">
        <is>
          <t>Crédito Hipotecario</t>
        </is>
      </c>
      <c r="AZ593" t="inlineStr">
        <is>
          <t>No</t>
        </is>
      </c>
      <c r="BC593" t="inlineStr">
        <is>
          <t>VENCIDO</t>
        </is>
      </c>
      <c r="BN593" t="inlineStr">
        <is>
          <t>No</t>
        </is>
      </c>
      <c r="BO593" s="117" t="n">
        <v>46224.49583333333</v>
      </c>
      <c r="BP593" t="inlineStr">
        <is>
          <t>Carla Michue M</t>
        </is>
      </c>
      <c r="BR593" t="n">
        <v>54</v>
      </c>
      <c r="BT593" t="n">
        <v>0</v>
      </c>
      <c r="BX593" t="inlineStr">
        <is>
          <t>Cobranzas_2026.csv</t>
        </is>
      </c>
      <c r="BY593" t="n">
        <v>2026</v>
      </c>
      <c r="BZ593" t="inlineStr">
        <is>
          <t>01/01/2024</t>
        </is>
      </c>
      <c r="CA593" t="inlineStr">
        <is>
          <t>30/09/2031</t>
        </is>
      </c>
    </row>
    <row r="594">
      <c r="A594" t="inlineStr">
        <is>
          <t>RESIDENCIAL BEYOND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Estacionamiento</t>
        </is>
      </c>
      <c r="F594" t="inlineStr">
        <is>
          <t>E 10 - D 09</t>
        </is>
      </c>
      <c r="G594" s="39" t="n">
        <v>51300</v>
      </c>
      <c r="H594" s="39" t="n">
        <v>51300</v>
      </c>
      <c r="M594" s="39" t="n"/>
      <c r="N594" s="39" t="n"/>
      <c r="S594" s="39" t="n"/>
      <c r="T594" s="39" t="n"/>
      <c r="Y594" s="39" t="n"/>
      <c r="Z594" s="39" t="n"/>
      <c r="AA594" t="inlineStr">
        <is>
          <t>Juana Mercedes Moran Peralta</t>
        </is>
      </c>
      <c r="AB594" t="inlineStr">
        <is>
          <t>03495726</t>
        </is>
      </c>
      <c r="AC594" t="inlineStr">
        <is>
          <t>Jr. Ignacio Álvarez Thomas 1573 - Dpto. 302</t>
        </is>
      </c>
      <c r="AD594" t="n">
        <v>0</v>
      </c>
      <c r="AE594" t="inlineStr">
        <is>
          <t>978122557</t>
        </is>
      </c>
      <c r="AF594" t="inlineStr">
        <is>
          <t>Juanamoran2371@gmail.com</t>
        </is>
      </c>
      <c r="AG594" t="inlineStr">
        <is>
          <t>LIMA</t>
        </is>
      </c>
      <c r="AH594" t="inlineStr">
        <is>
          <t>CERCADO DE LIMA</t>
        </is>
      </c>
      <c r="AI594" s="116" t="n">
        <v>46264</v>
      </c>
      <c r="AJ594" s="116" t="n"/>
      <c r="AK594" t="inlineStr">
        <is>
          <t>SALDO FINANCIAR</t>
        </is>
      </c>
      <c r="AL594" t="n">
        <v>2</v>
      </c>
      <c r="AM594" t="n">
        <v>3000</v>
      </c>
      <c r="AN594" t="n">
        <v>0</v>
      </c>
      <c r="AO594" t="n">
        <v>0</v>
      </c>
      <c r="AP594" s="39" t="n">
        <v>3000</v>
      </c>
      <c r="AQ594" s="39" t="n">
        <v>0</v>
      </c>
      <c r="AR594" s="39" t="n">
        <v>3000</v>
      </c>
      <c r="AT594" t="inlineStr">
        <is>
          <t>Crédito Hipotecario</t>
        </is>
      </c>
      <c r="AZ594" t="inlineStr">
        <is>
          <t>No</t>
        </is>
      </c>
      <c r="BC594" t="inlineStr">
        <is>
          <t>VENCIDO</t>
        </is>
      </c>
      <c r="BN594" t="inlineStr">
        <is>
          <t>No</t>
        </is>
      </c>
      <c r="BO594" s="117" t="n">
        <v>46224.49583333333</v>
      </c>
      <c r="BP594" t="inlineStr">
        <is>
          <t>Carla Michue M</t>
        </is>
      </c>
      <c r="BR594" t="n">
        <v>54</v>
      </c>
      <c r="BT594" t="n">
        <v>0</v>
      </c>
      <c r="BX594" t="inlineStr">
        <is>
          <t>Cobranzas_2026.csv</t>
        </is>
      </c>
      <c r="BY594" t="n">
        <v>2026</v>
      </c>
      <c r="BZ594" t="inlineStr">
        <is>
          <t>01/01/2024</t>
        </is>
      </c>
      <c r="CA594" t="inlineStr">
        <is>
          <t>30/09/2031</t>
        </is>
      </c>
    </row>
    <row r="595">
      <c r="A595" t="inlineStr">
        <is>
          <t>RESIDENCIAL BEYOND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Estacionamiento</t>
        </is>
      </c>
      <c r="F595" t="inlineStr">
        <is>
          <t>E 10 - D 09</t>
        </is>
      </c>
      <c r="G595" s="39" t="n">
        <v>51300</v>
      </c>
      <c r="H595" s="39" t="n">
        <v>51300</v>
      </c>
      <c r="M595" s="39" t="n"/>
      <c r="N595" s="39" t="n"/>
      <c r="S595" s="39" t="n"/>
      <c r="T595" s="39" t="n"/>
      <c r="Y595" s="39" t="n"/>
      <c r="Z595" s="39" t="n"/>
      <c r="AA595" t="inlineStr">
        <is>
          <t>Juana Mercedes Moran Peralta</t>
        </is>
      </c>
      <c r="AB595" t="inlineStr">
        <is>
          <t>03495726</t>
        </is>
      </c>
      <c r="AC595" t="inlineStr">
        <is>
          <t>Jr. Ignacio Álvarez Thomas 1573 - Dpto. 302</t>
        </is>
      </c>
      <c r="AD595" t="n">
        <v>0</v>
      </c>
      <c r="AE595" t="inlineStr">
        <is>
          <t>978122557</t>
        </is>
      </c>
      <c r="AF595" t="inlineStr">
        <is>
          <t>Juanamoran2371@gmail.com</t>
        </is>
      </c>
      <c r="AG595" t="inlineStr">
        <is>
          <t>LIMA</t>
        </is>
      </c>
      <c r="AH595" t="inlineStr">
        <is>
          <t>CERCADO DE LIMA</t>
        </is>
      </c>
      <c r="AI595" s="116" t="n">
        <v>46295</v>
      </c>
      <c r="AJ595" s="116" t="n"/>
      <c r="AK595" t="inlineStr">
        <is>
          <t>SALDO FINANCIAR</t>
        </is>
      </c>
      <c r="AL595" t="n">
        <v>3</v>
      </c>
      <c r="AM595" t="n">
        <v>3000</v>
      </c>
      <c r="AN595" t="n">
        <v>0</v>
      </c>
      <c r="AO595" t="n">
        <v>0</v>
      </c>
      <c r="AP595" s="39" t="n">
        <v>3000</v>
      </c>
      <c r="AQ595" s="39" t="n">
        <v>0</v>
      </c>
      <c r="AR595" s="39" t="n">
        <v>3000</v>
      </c>
      <c r="AT595" t="inlineStr">
        <is>
          <t>Crédito Hipotecario</t>
        </is>
      </c>
      <c r="AZ595" t="inlineStr">
        <is>
          <t>No</t>
        </is>
      </c>
      <c r="BC595" t="inlineStr">
        <is>
          <t>VENCIDO</t>
        </is>
      </c>
      <c r="BN595" t="inlineStr">
        <is>
          <t>No</t>
        </is>
      </c>
      <c r="BO595" s="117" t="n">
        <v>46224.49583333333</v>
      </c>
      <c r="BP595" t="inlineStr">
        <is>
          <t>Carla Michue M</t>
        </is>
      </c>
      <c r="BR595" t="n">
        <v>54</v>
      </c>
      <c r="BT595" t="n">
        <v>0</v>
      </c>
      <c r="BX595" t="inlineStr">
        <is>
          <t>Cobranzas_2026.csv</t>
        </is>
      </c>
      <c r="BY595" t="n">
        <v>2026</v>
      </c>
      <c r="BZ595" t="inlineStr">
        <is>
          <t>01/01/2024</t>
        </is>
      </c>
      <c r="CA595" t="inlineStr">
        <is>
          <t>30/09/2031</t>
        </is>
      </c>
    </row>
    <row r="596">
      <c r="A596" t="inlineStr">
        <is>
          <t>RESIDENCIAL BEYOND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Estacionamiento</t>
        </is>
      </c>
      <c r="F596" t="inlineStr">
        <is>
          <t>E 10 - D 09</t>
        </is>
      </c>
      <c r="G596" s="39" t="n">
        <v>51300</v>
      </c>
      <c r="H596" s="39" t="n">
        <v>51300</v>
      </c>
      <c r="M596" s="39" t="n"/>
      <c r="N596" s="39" t="n"/>
      <c r="S596" s="39" t="n"/>
      <c r="T596" s="39" t="n"/>
      <c r="Y596" s="39" t="n"/>
      <c r="Z596" s="39" t="n"/>
      <c r="AA596" t="inlineStr">
        <is>
          <t>Juana Mercedes Moran Peralta</t>
        </is>
      </c>
      <c r="AB596" t="inlineStr">
        <is>
          <t>03495726</t>
        </is>
      </c>
      <c r="AC596" t="inlineStr">
        <is>
          <t>Jr. Ignacio Álvarez Thomas 1573 - Dpto. 302</t>
        </is>
      </c>
      <c r="AD596" t="n">
        <v>0</v>
      </c>
      <c r="AE596" t="inlineStr">
        <is>
          <t>978122557</t>
        </is>
      </c>
      <c r="AF596" t="inlineStr">
        <is>
          <t>Juanamoran2371@gmail.com</t>
        </is>
      </c>
      <c r="AG596" t="inlineStr">
        <is>
          <t>LIMA</t>
        </is>
      </c>
      <c r="AH596" t="inlineStr">
        <is>
          <t>CERCADO DE LIMA</t>
        </is>
      </c>
      <c r="AI596" s="116" t="n">
        <v>46325</v>
      </c>
      <c r="AJ596" s="116" t="n"/>
      <c r="AK596" t="inlineStr">
        <is>
          <t>SALDO FINANCIAR</t>
        </is>
      </c>
      <c r="AL596" t="n">
        <v>4</v>
      </c>
      <c r="AM596" t="n">
        <v>3000</v>
      </c>
      <c r="AN596" t="n">
        <v>0</v>
      </c>
      <c r="AO596" t="n">
        <v>0</v>
      </c>
      <c r="AP596" s="39" t="n">
        <v>3000</v>
      </c>
      <c r="AQ596" s="39" t="n">
        <v>0</v>
      </c>
      <c r="AR596" s="39" t="n">
        <v>3000</v>
      </c>
      <c r="AT596" t="inlineStr">
        <is>
          <t>Crédito Hipotecario</t>
        </is>
      </c>
      <c r="AZ596" t="inlineStr">
        <is>
          <t>No</t>
        </is>
      </c>
      <c r="BC596" t="inlineStr">
        <is>
          <t>PENDIENTE</t>
        </is>
      </c>
      <c r="BN596" t="inlineStr">
        <is>
          <t>No</t>
        </is>
      </c>
      <c r="BO596" s="117" t="n">
        <v>46224.49583333333</v>
      </c>
      <c r="BP596" t="inlineStr">
        <is>
          <t>Carla Michue M</t>
        </is>
      </c>
      <c r="BR596" t="n">
        <v>54</v>
      </c>
      <c r="BT596" t="n">
        <v>0</v>
      </c>
      <c r="BX596" t="inlineStr">
        <is>
          <t>Cobranzas_2026.csv</t>
        </is>
      </c>
      <c r="BY596" t="n">
        <v>2026</v>
      </c>
      <c r="BZ596" t="inlineStr">
        <is>
          <t>01/01/2024</t>
        </is>
      </c>
      <c r="CA596" t="inlineStr">
        <is>
          <t>30/09/2031</t>
        </is>
      </c>
    </row>
    <row r="597">
      <c r="A597" t="inlineStr">
        <is>
          <t>RESIDENCIAL BEYOND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Estacionamiento</t>
        </is>
      </c>
      <c r="F597" t="inlineStr">
        <is>
          <t>E 10 - D 09</t>
        </is>
      </c>
      <c r="G597" s="39" t="n">
        <v>51300</v>
      </c>
      <c r="H597" s="39" t="n">
        <v>51300</v>
      </c>
      <c r="M597" s="39" t="n"/>
      <c r="N597" s="39" t="n"/>
      <c r="S597" s="39" t="n"/>
      <c r="T597" s="39" t="n"/>
      <c r="Y597" s="39" t="n"/>
      <c r="Z597" s="39" t="n"/>
      <c r="AA597" t="inlineStr">
        <is>
          <t>Juana Mercedes Moran Peralta</t>
        </is>
      </c>
      <c r="AB597" t="inlineStr">
        <is>
          <t>03495726</t>
        </is>
      </c>
      <c r="AC597" t="inlineStr">
        <is>
          <t>Jr. Ignacio Álvarez Thomas 1573 - Dpto. 302</t>
        </is>
      </c>
      <c r="AD597" t="n">
        <v>0</v>
      </c>
      <c r="AE597" t="inlineStr">
        <is>
          <t>978122557</t>
        </is>
      </c>
      <c r="AF597" t="inlineStr">
        <is>
          <t>Juanamoran2371@gmail.com</t>
        </is>
      </c>
      <c r="AG597" t="inlineStr">
        <is>
          <t>LIMA</t>
        </is>
      </c>
      <c r="AH597" t="inlineStr">
        <is>
          <t>CERCADO DE LIMA</t>
        </is>
      </c>
      <c r="AI597" s="116" t="n">
        <v>46356</v>
      </c>
      <c r="AJ597" s="116" t="n"/>
      <c r="AK597" t="inlineStr">
        <is>
          <t>SALDO FINANCIAR</t>
        </is>
      </c>
      <c r="AL597" t="n">
        <v>5</v>
      </c>
      <c r="AM597" t="n">
        <v>3000</v>
      </c>
      <c r="AN597" t="n">
        <v>0</v>
      </c>
      <c r="AO597" t="n">
        <v>0</v>
      </c>
      <c r="AP597" s="39" t="n">
        <v>3000</v>
      </c>
      <c r="AQ597" s="39" t="n">
        <v>0</v>
      </c>
      <c r="AR597" s="39" t="n">
        <v>3000</v>
      </c>
      <c r="AT597" t="inlineStr">
        <is>
          <t>Crédito Hipotecario</t>
        </is>
      </c>
      <c r="AZ597" t="inlineStr">
        <is>
          <t>No</t>
        </is>
      </c>
      <c r="BC597" t="inlineStr">
        <is>
          <t>PENDIENTE</t>
        </is>
      </c>
      <c r="BN597" t="inlineStr">
        <is>
          <t>No</t>
        </is>
      </c>
      <c r="BO597" s="117" t="n">
        <v>46224.49583333333</v>
      </c>
      <c r="BP597" t="inlineStr">
        <is>
          <t>Carla Michue M</t>
        </is>
      </c>
      <c r="BR597" t="n">
        <v>54</v>
      </c>
      <c r="BT597" t="n">
        <v>0</v>
      </c>
      <c r="BX597" t="inlineStr">
        <is>
          <t>Cobranzas_2026.csv</t>
        </is>
      </c>
      <c r="BY597" t="n">
        <v>2026</v>
      </c>
      <c r="BZ597" t="inlineStr">
        <is>
          <t>01/01/2024</t>
        </is>
      </c>
      <c r="CA597" t="inlineStr">
        <is>
          <t>30/09/2031</t>
        </is>
      </c>
    </row>
    <row r="598">
      <c r="A598" t="inlineStr">
        <is>
          <t>RESIDENCIAL BEYOND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Estacionamiento</t>
        </is>
      </c>
      <c r="F598" t="inlineStr">
        <is>
          <t>E 10 - D 09</t>
        </is>
      </c>
      <c r="G598" s="39" t="n">
        <v>51300</v>
      </c>
      <c r="H598" s="39" t="n">
        <v>51300</v>
      </c>
      <c r="M598" s="39" t="n"/>
      <c r="N598" s="39" t="n"/>
      <c r="S598" s="39" t="n"/>
      <c r="T598" s="39" t="n"/>
      <c r="Y598" s="39" t="n"/>
      <c r="Z598" s="39" t="n"/>
      <c r="AA598" t="inlineStr">
        <is>
          <t>Juana Mercedes Moran Peralta</t>
        </is>
      </c>
      <c r="AB598" t="inlineStr">
        <is>
          <t>03495726</t>
        </is>
      </c>
      <c r="AC598" t="inlineStr">
        <is>
          <t>Jr. Ignacio Álvarez Thomas 1573 - Dpto. 302</t>
        </is>
      </c>
      <c r="AD598" t="n">
        <v>0</v>
      </c>
      <c r="AE598" t="inlineStr">
        <is>
          <t>978122557</t>
        </is>
      </c>
      <c r="AF598" t="inlineStr">
        <is>
          <t>Juanamoran2371@gmail.com</t>
        </is>
      </c>
      <c r="AG598" t="inlineStr">
        <is>
          <t>LIMA</t>
        </is>
      </c>
      <c r="AH598" t="inlineStr">
        <is>
          <t>CERCADO DE LIMA</t>
        </is>
      </c>
      <c r="AI598" s="116" t="n">
        <v>46386</v>
      </c>
      <c r="AJ598" s="116" t="n"/>
      <c r="AK598" t="inlineStr">
        <is>
          <t>SALDO FINANCIAR</t>
        </is>
      </c>
      <c r="AL598" t="n">
        <v>6</v>
      </c>
      <c r="AM598" t="n">
        <v>3000</v>
      </c>
      <c r="AN598" t="n">
        <v>0</v>
      </c>
      <c r="AO598" t="n">
        <v>0</v>
      </c>
      <c r="AP598" s="39" t="n">
        <v>3000</v>
      </c>
      <c r="AQ598" s="39" t="n">
        <v>0</v>
      </c>
      <c r="AR598" s="39" t="n">
        <v>3000</v>
      </c>
      <c r="AT598" t="inlineStr">
        <is>
          <t>Crédito Hipotecario</t>
        </is>
      </c>
      <c r="AZ598" t="inlineStr">
        <is>
          <t>No</t>
        </is>
      </c>
      <c r="BC598" t="inlineStr">
        <is>
          <t>PENDIENTE</t>
        </is>
      </c>
      <c r="BN598" t="inlineStr">
        <is>
          <t>No</t>
        </is>
      </c>
      <c r="BO598" s="117" t="n">
        <v>46224.49583333333</v>
      </c>
      <c r="BP598" t="inlineStr">
        <is>
          <t>Carla Michue M</t>
        </is>
      </c>
      <c r="BR598" t="n">
        <v>54</v>
      </c>
      <c r="BT598" t="n">
        <v>0</v>
      </c>
      <c r="BX598" t="inlineStr">
        <is>
          <t>Cobranzas_2026.csv</t>
        </is>
      </c>
      <c r="BY598" t="n">
        <v>2026</v>
      </c>
      <c r="BZ598" t="inlineStr">
        <is>
          <t>01/01/2024</t>
        </is>
      </c>
      <c r="CA598" t="inlineStr">
        <is>
          <t>30/09/2031</t>
        </is>
      </c>
    </row>
    <row r="599">
      <c r="A599" t="inlineStr">
        <is>
          <t>RESIDENCIAL PRADA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Departamento</t>
        </is>
      </c>
      <c r="F599" t="inlineStr">
        <is>
          <t>604</t>
        </is>
      </c>
      <c r="G599" s="39" t="n">
        <v>423000</v>
      </c>
      <c r="H599" s="39" t="n">
        <v>423000</v>
      </c>
      <c r="I599" t="inlineStr">
        <is>
          <t>Edificio</t>
        </is>
      </c>
      <c r="J599" t="inlineStr">
        <is>
          <t>A</t>
        </is>
      </c>
      <c r="K599" t="inlineStr">
        <is>
          <t>Estacionamiento</t>
        </is>
      </c>
      <c r="L599" t="inlineStr">
        <is>
          <t>E 51 - D 39</t>
        </is>
      </c>
      <c r="M599" s="39" t="n">
        <v>50000</v>
      </c>
      <c r="N599" s="39" t="n">
        <v>50000</v>
      </c>
      <c r="S599" s="39" t="n"/>
      <c r="T599" s="39" t="n"/>
      <c r="Y599" s="39" t="n"/>
      <c r="Z599" s="39" t="n"/>
      <c r="AA599" t="inlineStr">
        <is>
          <t>JUDITH MEDINA ALVAREZ</t>
        </is>
      </c>
      <c r="AB599" t="inlineStr">
        <is>
          <t>45149889</t>
        </is>
      </c>
      <c r="AC599" t="inlineStr">
        <is>
          <t>Calle Union 212 SubLt 2 Seccion 3 Dpto. 301</t>
        </is>
      </c>
      <c r="AE599" t="inlineStr">
        <is>
          <t>959555038</t>
        </is>
      </c>
      <c r="AF599" t="inlineStr">
        <is>
          <t>Judith_2588@hotmail.com</t>
        </is>
      </c>
      <c r="AG599" t="inlineStr">
        <is>
          <t>AREQUIPA</t>
        </is>
      </c>
      <c r="AH599" t="inlineStr">
        <is>
          <t>YANAHUARA</t>
        </is>
      </c>
      <c r="AI599" s="116" t="n">
        <v>46096</v>
      </c>
      <c r="AJ599" s="116" t="n">
        <v>46096</v>
      </c>
      <c r="AK599" t="inlineStr">
        <is>
          <t>SEPARACION</t>
        </is>
      </c>
      <c r="AL599" t="n">
        <v>1</v>
      </c>
      <c r="AM599" t="n">
        <v>3000</v>
      </c>
      <c r="AN599" t="n">
        <v>0</v>
      </c>
      <c r="AO599" t="n">
        <v>0</v>
      </c>
      <c r="AP599" s="39" t="n">
        <v>3000</v>
      </c>
      <c r="AQ599" s="39" t="n">
        <v>3000</v>
      </c>
      <c r="AR599" s="39" t="n">
        <v>0</v>
      </c>
      <c r="AS599" t="n">
        <v>0</v>
      </c>
      <c r="AT599" t="inlineStr">
        <is>
          <t>Crédito Hipotecario</t>
        </is>
      </c>
      <c r="AU599" t="inlineStr">
        <is>
          <t>Scotiabank Perú</t>
        </is>
      </c>
      <c r="AV599" t="inlineStr">
        <is>
          <t>000-2768484</t>
        </is>
      </c>
      <c r="AW599" t="inlineStr">
        <is>
          <t>TRANSFERENCIA BANCARIA</t>
        </is>
      </c>
      <c r="AX599" t="inlineStr">
        <is>
          <t>45149889</t>
        </is>
      </c>
      <c r="AY599" t="inlineStr">
        <is>
          <t>0000607419191558</t>
        </is>
      </c>
      <c r="AZ599" t="inlineStr">
        <is>
          <t>No</t>
        </is>
      </c>
      <c r="BA599" t="inlineStr">
        <is>
          <t>NO PRECISA</t>
        </is>
      </c>
      <c r="BB599" t="n">
        <v>4</v>
      </c>
      <c r="BC599" t="inlineStr">
        <is>
          <t>CANCELADO</t>
        </is>
      </c>
      <c r="BN599" t="inlineStr">
        <is>
          <t>Si</t>
        </is>
      </c>
      <c r="BO599" s="117" t="n">
        <v>46142.69583333333</v>
      </c>
      <c r="BP599" t="inlineStr">
        <is>
          <t>Kenny Salazar S</t>
        </is>
      </c>
      <c r="BR599" t="n">
        <v>22</v>
      </c>
      <c r="BS599" t="inlineStr">
        <is>
          <t>05/06/2026 09:50</t>
        </is>
      </c>
      <c r="BT599" t="n">
        <v>0</v>
      </c>
      <c r="BX599" t="inlineStr">
        <is>
          <t>Cobranzas_2026.csv</t>
        </is>
      </c>
      <c r="BY599" t="n">
        <v>2026</v>
      </c>
      <c r="BZ599" t="inlineStr">
        <is>
          <t>01/01/2024</t>
        </is>
      </c>
      <c r="CA599" t="inlineStr">
        <is>
          <t>30/09/2031</t>
        </is>
      </c>
    </row>
    <row r="600">
      <c r="A600" t="inlineStr">
        <is>
          <t>RESIDENCIAL PRADA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Departamento</t>
        </is>
      </c>
      <c r="F600" t="inlineStr">
        <is>
          <t>604</t>
        </is>
      </c>
      <c r="G600" s="39" t="n">
        <v>423000</v>
      </c>
      <c r="H600" s="39" t="n">
        <v>423000</v>
      </c>
      <c r="I600" t="inlineStr">
        <is>
          <t>Edificio</t>
        </is>
      </c>
      <c r="J600" t="inlineStr">
        <is>
          <t>A</t>
        </is>
      </c>
      <c r="K600" t="inlineStr">
        <is>
          <t>Estacionamiento</t>
        </is>
      </c>
      <c r="L600" t="inlineStr">
        <is>
          <t>E 51 - D 39</t>
        </is>
      </c>
      <c r="M600" s="39" t="n">
        <v>50000</v>
      </c>
      <c r="N600" s="39" t="n">
        <v>50000</v>
      </c>
      <c r="S600" s="39" t="n"/>
      <c r="T600" s="39" t="n"/>
      <c r="Y600" s="39" t="n"/>
      <c r="Z600" s="39" t="n"/>
      <c r="AA600" t="inlineStr">
        <is>
          <t>JUDITH MEDINA ALVAREZ</t>
        </is>
      </c>
      <c r="AB600" t="inlineStr">
        <is>
          <t>45149889</t>
        </is>
      </c>
      <c r="AC600" t="inlineStr">
        <is>
          <t>Calle Union 212 SubLt 2 Seccion 3 Dpto. 301</t>
        </is>
      </c>
      <c r="AE600" t="inlineStr">
        <is>
          <t>959555038</t>
        </is>
      </c>
      <c r="AF600" t="inlineStr">
        <is>
          <t>Judith_2588@hotmail.com</t>
        </is>
      </c>
      <c r="AG600" t="inlineStr">
        <is>
          <t>AREQUIPA</t>
        </is>
      </c>
      <c r="AH600" t="inlineStr">
        <is>
          <t>YANAHUARA</t>
        </is>
      </c>
      <c r="AI600" s="116" t="n">
        <v>46142</v>
      </c>
      <c r="AJ600" s="116" t="n">
        <v>46142</v>
      </c>
      <c r="AK600" t="inlineStr">
        <is>
          <t>CUOTA INICIAL</t>
        </is>
      </c>
      <c r="AL600" t="n">
        <v>2</v>
      </c>
      <c r="AM600" t="n">
        <v>44300</v>
      </c>
      <c r="AN600" t="n">
        <v>0</v>
      </c>
      <c r="AO600" t="n">
        <v>0</v>
      </c>
      <c r="AP600" s="39" t="n">
        <v>44300</v>
      </c>
      <c r="AQ600" s="39" t="n">
        <v>44300</v>
      </c>
      <c r="AR600" s="39" t="n">
        <v>0</v>
      </c>
      <c r="AS600" t="n">
        <v>0</v>
      </c>
      <c r="AT600" t="inlineStr">
        <is>
          <t>Crédito Hipotecario</t>
        </is>
      </c>
      <c r="AU600" t="inlineStr">
        <is>
          <t>Scotiabank Perú</t>
        </is>
      </c>
      <c r="AV600" t="inlineStr">
        <is>
          <t>000-2768484</t>
        </is>
      </c>
      <c r="AW600" t="inlineStr">
        <is>
          <t>TRANSFERENCIA BANCARIA</t>
        </is>
      </c>
      <c r="AY600" t="inlineStr">
        <is>
          <t>00063</t>
        </is>
      </c>
      <c r="AZ600" t="inlineStr">
        <is>
          <t>No</t>
        </is>
      </c>
      <c r="BB600" t="n">
        <v>4</v>
      </c>
      <c r="BC600" t="inlineStr">
        <is>
          <t>CANCELADO</t>
        </is>
      </c>
      <c r="BN600" t="inlineStr">
        <is>
          <t>Si</t>
        </is>
      </c>
      <c r="BO600" s="117" t="n">
        <v>46142.69583333333</v>
      </c>
      <c r="BP600" t="inlineStr">
        <is>
          <t>Kenny Salazar S</t>
        </is>
      </c>
      <c r="BR600" t="n">
        <v>22</v>
      </c>
      <c r="BS600" t="inlineStr">
        <is>
          <t>07/07/2026 11:24</t>
        </is>
      </c>
      <c r="BT600" t="n">
        <v>0</v>
      </c>
      <c r="BX600" t="inlineStr">
        <is>
          <t>Cobranzas_2026.csv</t>
        </is>
      </c>
      <c r="BY600" t="n">
        <v>2026</v>
      </c>
      <c r="BZ600" t="inlineStr">
        <is>
          <t>01/01/2024</t>
        </is>
      </c>
      <c r="CA600" t="inlineStr">
        <is>
          <t>30/09/2031</t>
        </is>
      </c>
    </row>
    <row r="601">
      <c r="A601" t="inlineStr">
        <is>
          <t>RESIDENCIAL PRADA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Departamento</t>
        </is>
      </c>
      <c r="F601" t="inlineStr">
        <is>
          <t>604</t>
        </is>
      </c>
      <c r="G601" s="39" t="n">
        <v>423000</v>
      </c>
      <c r="H601" s="39" t="n">
        <v>423000</v>
      </c>
      <c r="I601" t="inlineStr">
        <is>
          <t>Edificio</t>
        </is>
      </c>
      <c r="J601" t="inlineStr">
        <is>
          <t>A</t>
        </is>
      </c>
      <c r="K601" t="inlineStr">
        <is>
          <t>Estacionamiento</t>
        </is>
      </c>
      <c r="L601" t="inlineStr">
        <is>
          <t>E 51 - D 39</t>
        </is>
      </c>
      <c r="M601" s="39" t="n">
        <v>50000</v>
      </c>
      <c r="N601" s="39" t="n">
        <v>50000</v>
      </c>
      <c r="S601" s="39" t="n"/>
      <c r="T601" s="39" t="n"/>
      <c r="Y601" s="39" t="n"/>
      <c r="Z601" s="39" t="n"/>
      <c r="AA601" t="inlineStr">
        <is>
          <t>JUDITH MEDINA ALVAREZ</t>
        </is>
      </c>
      <c r="AB601" t="inlineStr">
        <is>
          <t>45149889</t>
        </is>
      </c>
      <c r="AC601" t="inlineStr">
        <is>
          <t>Calle Union 212 SubLt 2 Seccion 3 Dpto. 301</t>
        </is>
      </c>
      <c r="AE601" t="inlineStr">
        <is>
          <t>959555038</t>
        </is>
      </c>
      <c r="AF601" t="inlineStr">
        <is>
          <t>Judith_2588@hotmail.com</t>
        </is>
      </c>
      <c r="AG601" t="inlineStr">
        <is>
          <t>AREQUIPA</t>
        </is>
      </c>
      <c r="AH601" t="inlineStr">
        <is>
          <t>YANAHUARA</t>
        </is>
      </c>
      <c r="AI601" s="116" t="n">
        <v>46203</v>
      </c>
      <c r="AJ601" s="116" t="n">
        <v>46211</v>
      </c>
      <c r="AK601" t="inlineStr">
        <is>
          <t>SALDO FINANCIAR</t>
        </is>
      </c>
      <c r="AL601" t="n">
        <v>2</v>
      </c>
      <c r="AM601" t="n">
        <v>397000</v>
      </c>
      <c r="AN601" t="n">
        <v>0</v>
      </c>
      <c r="AO601" t="n">
        <v>0</v>
      </c>
      <c r="AP601" s="39" t="n">
        <v>397000</v>
      </c>
      <c r="AQ601" s="39" t="n">
        <v>397000</v>
      </c>
      <c r="AR601" s="39" t="n">
        <v>0</v>
      </c>
      <c r="AS601" t="n">
        <v>0</v>
      </c>
      <c r="AT601" t="inlineStr">
        <is>
          <t>Crédito Hipotecario</t>
        </is>
      </c>
      <c r="AU601" t="inlineStr">
        <is>
          <t>Scotiabank Perú</t>
        </is>
      </c>
      <c r="AV601" t="inlineStr">
        <is>
          <t>000-2768484</t>
        </is>
      </c>
      <c r="AW601" t="inlineStr">
        <is>
          <t>TRANSFERENCIA BANCARIA</t>
        </is>
      </c>
      <c r="AY601" t="inlineStr">
        <is>
          <t>0270800003</t>
        </is>
      </c>
      <c r="AZ601" t="inlineStr">
        <is>
          <t>No</t>
        </is>
      </c>
      <c r="BB601" t="n">
        <v>4</v>
      </c>
      <c r="BC601" t="inlineStr">
        <is>
          <t>CANCELADO</t>
        </is>
      </c>
      <c r="BN601" t="inlineStr">
        <is>
          <t>Si</t>
        </is>
      </c>
      <c r="BO601" s="117" t="n">
        <v>46142.69583333333</v>
      </c>
      <c r="BP601" t="inlineStr">
        <is>
          <t>Kenny Salazar S</t>
        </is>
      </c>
      <c r="BR601" t="n">
        <v>22</v>
      </c>
      <c r="BS601" t="inlineStr">
        <is>
          <t>09/07/2026 13:49</t>
        </is>
      </c>
      <c r="BT601" t="n">
        <v>0</v>
      </c>
      <c r="BX601" t="inlineStr">
        <is>
          <t>Cobranzas_2026.csv</t>
        </is>
      </c>
      <c r="BY601" t="n">
        <v>2026</v>
      </c>
      <c r="BZ601" t="inlineStr">
        <is>
          <t>01/01/2024</t>
        </is>
      </c>
      <c r="CA601" t="inlineStr">
        <is>
          <t>30/09/2031</t>
        </is>
      </c>
    </row>
    <row r="602">
      <c r="A602" t="inlineStr">
        <is>
          <t>RESIDENCIAL PRADA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Departamento</t>
        </is>
      </c>
      <c r="F602" t="inlineStr">
        <is>
          <t>604</t>
        </is>
      </c>
      <c r="G602" s="39" t="n">
        <v>423000</v>
      </c>
      <c r="H602" s="39" t="n">
        <v>423000</v>
      </c>
      <c r="I602" t="inlineStr">
        <is>
          <t>Edificio</t>
        </is>
      </c>
      <c r="J602" t="inlineStr">
        <is>
          <t>A</t>
        </is>
      </c>
      <c r="K602" t="inlineStr">
        <is>
          <t>Estacionamiento</t>
        </is>
      </c>
      <c r="L602" t="inlineStr">
        <is>
          <t>E 51 - D 39</t>
        </is>
      </c>
      <c r="M602" s="39" t="n">
        <v>50000</v>
      </c>
      <c r="N602" s="39" t="n">
        <v>50000</v>
      </c>
      <c r="S602" s="39" t="n"/>
      <c r="T602" s="39" t="n"/>
      <c r="Y602" s="39" t="n"/>
      <c r="Z602" s="39" t="n"/>
      <c r="AA602" t="inlineStr">
        <is>
          <t>JUDITH MEDINA ALVAREZ</t>
        </is>
      </c>
      <c r="AB602" t="inlineStr">
        <is>
          <t>45149889</t>
        </is>
      </c>
      <c r="AC602" t="inlineStr">
        <is>
          <t>Calle Union 212 SubLt 2 Seccion 3 Dpto. 301</t>
        </is>
      </c>
      <c r="AE602" t="inlineStr">
        <is>
          <t>959555038</t>
        </is>
      </c>
      <c r="AF602" t="inlineStr">
        <is>
          <t>Judith_2588@hotmail.com</t>
        </is>
      </c>
      <c r="AG602" t="inlineStr">
        <is>
          <t>AREQUIPA</t>
        </is>
      </c>
      <c r="AH602" t="inlineStr">
        <is>
          <t>YANAHUARA</t>
        </is>
      </c>
      <c r="AI602" s="116" t="n">
        <v>46142</v>
      </c>
      <c r="AJ602" s="116" t="n">
        <v>46142</v>
      </c>
      <c r="AK602" t="inlineStr">
        <is>
          <t>SALDO FINANCIAR</t>
        </is>
      </c>
      <c r="AL602" t="n">
        <v>3</v>
      </c>
      <c r="AM602" t="n">
        <v>28700</v>
      </c>
      <c r="AN602" t="n">
        <v>0</v>
      </c>
      <c r="AO602" t="n">
        <v>0</v>
      </c>
      <c r="AP602" s="39" t="n">
        <v>28700</v>
      </c>
      <c r="AQ602" s="39" t="n">
        <v>28700</v>
      </c>
      <c r="AR602" s="39" t="n">
        <v>0</v>
      </c>
      <c r="AS602" t="n">
        <v>0</v>
      </c>
      <c r="AT602" t="inlineStr">
        <is>
          <t>Crédito Hipotecario</t>
        </is>
      </c>
      <c r="AU602" t="inlineStr">
        <is>
          <t>Scotiabank Perú</t>
        </is>
      </c>
      <c r="AV602" t="inlineStr">
        <is>
          <t>000-2768484</t>
        </is>
      </c>
      <c r="AW602" t="inlineStr">
        <is>
          <t>TRANSFERENCIA BANCARIA</t>
        </is>
      </c>
      <c r="AY602" t="inlineStr">
        <is>
          <t>00063</t>
        </is>
      </c>
      <c r="AZ602" t="inlineStr">
        <is>
          <t>No</t>
        </is>
      </c>
      <c r="BB602" t="n">
        <v>4</v>
      </c>
      <c r="BC602" t="inlineStr">
        <is>
          <t>CANCELADO</t>
        </is>
      </c>
      <c r="BN602" t="inlineStr">
        <is>
          <t>Si</t>
        </is>
      </c>
      <c r="BO602" s="117" t="n">
        <v>46142.69583333333</v>
      </c>
      <c r="BP602" t="inlineStr">
        <is>
          <t>Kenny Salazar S</t>
        </is>
      </c>
      <c r="BR602" t="n">
        <v>22</v>
      </c>
      <c r="BS602" t="inlineStr">
        <is>
          <t>07/07/2026 11:24</t>
        </is>
      </c>
      <c r="BT602" t="n">
        <v>0</v>
      </c>
      <c r="BX602" t="inlineStr">
        <is>
          <t>Cobranzas_2026.csv</t>
        </is>
      </c>
      <c r="BY602" t="n">
        <v>2026</v>
      </c>
      <c r="BZ602" t="inlineStr">
        <is>
          <t>01/01/2024</t>
        </is>
      </c>
      <c r="CA602" t="inlineStr">
        <is>
          <t>30/09/2031</t>
        </is>
      </c>
    </row>
    <row r="603">
      <c r="A603" t="inlineStr">
        <is>
          <t>RESIDENCIAL PRADA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09 - D 06</t>
        </is>
      </c>
      <c r="G603" s="39" t="n">
        <v>52000</v>
      </c>
      <c r="H603" s="39" t="n">
        <v>52000</v>
      </c>
      <c r="M603" s="39" t="n"/>
      <c r="N603" s="39" t="n"/>
      <c r="S603" s="39" t="n"/>
      <c r="T603" s="39" t="n"/>
      <c r="Y603" s="39" t="n"/>
      <c r="Z603" s="39" t="n"/>
      <c r="AA603" t="inlineStr">
        <is>
          <t>Karina Cabanillas Correa</t>
        </is>
      </c>
      <c r="AB603" t="inlineStr">
        <is>
          <t>40065933</t>
        </is>
      </c>
      <c r="AC603" t="inlineStr">
        <is>
          <t xml:space="preserve">Jr. Huiracocha 1639 Dpto. 1503 </t>
        </is>
      </c>
      <c r="AD603" t="n">
        <v>0</v>
      </c>
      <c r="AE603" t="inlineStr">
        <is>
          <t>970096822</t>
        </is>
      </c>
      <c r="AF603" t="inlineStr">
        <is>
          <t>karicab13@gmail.com</t>
        </is>
      </c>
      <c r="AG603" t="inlineStr">
        <is>
          <t>LIMA</t>
        </is>
      </c>
      <c r="AH603" t="inlineStr">
        <is>
          <t>JESUS MARIA</t>
        </is>
      </c>
      <c r="AI603" s="116" t="n">
        <v>46112</v>
      </c>
      <c r="AJ603" s="116" t="n">
        <v>46092</v>
      </c>
      <c r="AK603" t="inlineStr">
        <is>
          <t>SALDO FINANCIAR</t>
        </is>
      </c>
      <c r="AL603" t="n">
        <v>6</v>
      </c>
      <c r="AM603" t="n">
        <v>2700</v>
      </c>
      <c r="AN603" t="n">
        <v>0</v>
      </c>
      <c r="AO603" t="n">
        <v>0</v>
      </c>
      <c r="AP603" s="39" t="n">
        <v>2700</v>
      </c>
      <c r="AQ603" s="39" t="n">
        <v>2700</v>
      </c>
      <c r="AR603" s="39" t="n">
        <v>0</v>
      </c>
      <c r="AS603" t="n">
        <v>0</v>
      </c>
      <c r="AT603" t="inlineStr">
        <is>
          <t>Crédito Directo</t>
        </is>
      </c>
      <c r="AU603" t="inlineStr">
        <is>
          <t>Scotiabank Perú</t>
        </is>
      </c>
      <c r="AV603" t="inlineStr">
        <is>
          <t>000-2768484</t>
        </is>
      </c>
      <c r="AW603" t="inlineStr">
        <is>
          <t>TRANSFERENCIA BANCARIA</t>
        </is>
      </c>
      <c r="AY603" t="inlineStr">
        <is>
          <t>000006702000000</t>
        </is>
      </c>
      <c r="AZ603" t="inlineStr">
        <is>
          <t>No</t>
        </is>
      </c>
      <c r="BB603" t="n">
        <v>4</v>
      </c>
      <c r="BC603" t="inlineStr">
        <is>
          <t>CANCELADO</t>
        </is>
      </c>
      <c r="BN603" t="inlineStr">
        <is>
          <t>Si</t>
        </is>
      </c>
      <c r="BO603" s="117" t="n">
        <v>45886.67847222222</v>
      </c>
      <c r="BP603" t="inlineStr">
        <is>
          <t>Carla Michue M</t>
        </is>
      </c>
      <c r="BR603" t="n">
        <v>65</v>
      </c>
      <c r="BS603" t="inlineStr">
        <is>
          <t>07/07/2026 16:53</t>
        </is>
      </c>
      <c r="BT603" t="n">
        <v>0</v>
      </c>
      <c r="BX603" t="inlineStr">
        <is>
          <t>Cobranzas_2026.csv</t>
        </is>
      </c>
      <c r="BY603" t="n">
        <v>2026</v>
      </c>
      <c r="BZ603" t="inlineStr">
        <is>
          <t>01/01/2024</t>
        </is>
      </c>
      <c r="CA603" t="inlineStr">
        <is>
          <t>30/09/2031</t>
        </is>
      </c>
    </row>
    <row r="604">
      <c r="A604" t="inlineStr">
        <is>
          <t>RESIDENCIAL PRADA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Estacionamiento</t>
        </is>
      </c>
      <c r="F604" t="inlineStr">
        <is>
          <t>E 09 - D 06</t>
        </is>
      </c>
      <c r="G604" s="39" t="n">
        <v>52000</v>
      </c>
      <c r="H604" s="39" t="n">
        <v>52000</v>
      </c>
      <c r="M604" s="39" t="n"/>
      <c r="N604" s="39" t="n"/>
      <c r="S604" s="39" t="n"/>
      <c r="T604" s="39" t="n"/>
      <c r="Y604" s="39" t="n"/>
      <c r="Z604" s="39" t="n"/>
      <c r="AA604" t="inlineStr">
        <is>
          <t>Karina Cabanillas Correa</t>
        </is>
      </c>
      <c r="AB604" t="inlineStr">
        <is>
          <t>40065933</t>
        </is>
      </c>
      <c r="AC604" t="inlineStr">
        <is>
          <t xml:space="preserve">Jr. Huiracocha 1639 Dpto. 1503 </t>
        </is>
      </c>
      <c r="AD604" t="n">
        <v>0</v>
      </c>
      <c r="AE604" t="inlineStr">
        <is>
          <t>970096822</t>
        </is>
      </c>
      <c r="AF604" t="inlineStr">
        <is>
          <t>karicab13@gmail.com</t>
        </is>
      </c>
      <c r="AG604" t="inlineStr">
        <is>
          <t>LIMA</t>
        </is>
      </c>
      <c r="AH604" t="inlineStr">
        <is>
          <t>JESUS MARIA</t>
        </is>
      </c>
      <c r="AI604" s="116" t="n">
        <v>46142</v>
      </c>
      <c r="AJ604" s="116" t="n">
        <v>46142</v>
      </c>
      <c r="AK604" t="inlineStr">
        <is>
          <t>SALDO FINANCIAR</t>
        </is>
      </c>
      <c r="AL604" t="n">
        <v>7</v>
      </c>
      <c r="AM604" t="n">
        <v>5000</v>
      </c>
      <c r="AN604" t="n">
        <v>0</v>
      </c>
      <c r="AO604" t="n">
        <v>0</v>
      </c>
      <c r="AP604" s="39" t="n">
        <v>5000</v>
      </c>
      <c r="AQ604" s="39" t="n">
        <v>5000</v>
      </c>
      <c r="AR604" s="39" t="n">
        <v>0</v>
      </c>
      <c r="AS604" t="n">
        <v>0</v>
      </c>
      <c r="AT604" t="inlineStr">
        <is>
          <t>Crédito Directo</t>
        </is>
      </c>
      <c r="AU604" t="inlineStr">
        <is>
          <t>Scotiabank Perú</t>
        </is>
      </c>
      <c r="AV604" t="inlineStr">
        <is>
          <t>000-2768484</t>
        </is>
      </c>
      <c r="AW604" t="inlineStr">
        <is>
          <t>TRANSFERENCIA BANCARIA</t>
        </is>
      </c>
      <c r="AY604" t="inlineStr">
        <is>
          <t>5543493</t>
        </is>
      </c>
      <c r="AZ604" t="inlineStr">
        <is>
          <t>No</t>
        </is>
      </c>
      <c r="BB604" t="n">
        <v>4</v>
      </c>
      <c r="BC604" t="inlineStr">
        <is>
          <t>CANCELADO</t>
        </is>
      </c>
      <c r="BN604" t="inlineStr">
        <is>
          <t>Si</t>
        </is>
      </c>
      <c r="BO604" s="117" t="n">
        <v>45886.67847222222</v>
      </c>
      <c r="BP604" t="inlineStr">
        <is>
          <t>Carla Michue M</t>
        </is>
      </c>
      <c r="BR604" t="n">
        <v>65</v>
      </c>
      <c r="BS604" t="inlineStr">
        <is>
          <t>07/07/2026 16:54</t>
        </is>
      </c>
      <c r="BT604" t="n">
        <v>0</v>
      </c>
      <c r="BX604" t="inlineStr">
        <is>
          <t>Cobranzas_2026.csv</t>
        </is>
      </c>
      <c r="BY604" t="n">
        <v>2026</v>
      </c>
      <c r="BZ604" t="inlineStr">
        <is>
          <t>01/01/2024</t>
        </is>
      </c>
      <c r="CA604" t="inlineStr">
        <is>
          <t>30/09/2031</t>
        </is>
      </c>
    </row>
    <row r="605">
      <c r="A605" t="inlineStr">
        <is>
          <t>RESIDENCIAL PRADA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Estacionamiento</t>
        </is>
      </c>
      <c r="F605" t="inlineStr">
        <is>
          <t>E 09 - D 06</t>
        </is>
      </c>
      <c r="G605" s="39" t="n">
        <v>52000</v>
      </c>
      <c r="H605" s="39" t="n">
        <v>52000</v>
      </c>
      <c r="M605" s="39" t="n"/>
      <c r="N605" s="39" t="n"/>
      <c r="S605" s="39" t="n"/>
      <c r="T605" s="39" t="n"/>
      <c r="Y605" s="39" t="n"/>
      <c r="Z605" s="39" t="n"/>
      <c r="AA605" t="inlineStr">
        <is>
          <t>Karina Cabanillas Correa</t>
        </is>
      </c>
      <c r="AB605" t="inlineStr">
        <is>
          <t>40065933</t>
        </is>
      </c>
      <c r="AC605" t="inlineStr">
        <is>
          <t xml:space="preserve">Jr. Huiracocha 1639 Dpto. 1503 </t>
        </is>
      </c>
      <c r="AD605" t="n">
        <v>0</v>
      </c>
      <c r="AE605" t="inlineStr">
        <is>
          <t>970096822</t>
        </is>
      </c>
      <c r="AF605" t="inlineStr">
        <is>
          <t>karicab13@gmail.com</t>
        </is>
      </c>
      <c r="AG605" t="inlineStr">
        <is>
          <t>LIMA</t>
        </is>
      </c>
      <c r="AH605" t="inlineStr">
        <is>
          <t>JESUS MARIA</t>
        </is>
      </c>
      <c r="AI605" s="116" t="n">
        <v>46173</v>
      </c>
      <c r="AJ605" s="116" t="n"/>
      <c r="AK605" t="inlineStr">
        <is>
          <t>SALDO FINANCIAR</t>
        </is>
      </c>
      <c r="AL605" t="n">
        <v>8</v>
      </c>
      <c r="AM605" t="n">
        <v>5000</v>
      </c>
      <c r="AN605" t="n">
        <v>0</v>
      </c>
      <c r="AO605" t="n">
        <v>0</v>
      </c>
      <c r="AP605" s="39" t="n">
        <v>5000</v>
      </c>
      <c r="AQ605" s="39" t="n">
        <v>0</v>
      </c>
      <c r="AR605" s="39" t="n">
        <v>5000</v>
      </c>
      <c r="AT605" t="inlineStr">
        <is>
          <t>Crédito Directo</t>
        </is>
      </c>
      <c r="AZ605" t="inlineStr">
        <is>
          <t>No</t>
        </is>
      </c>
      <c r="BC605" t="inlineStr">
        <is>
          <t>VENCIDO</t>
        </is>
      </c>
      <c r="BN605" t="inlineStr">
        <is>
          <t>No</t>
        </is>
      </c>
      <c r="BO605" s="117" t="n">
        <v>45886.67847222222</v>
      </c>
      <c r="BP605" t="inlineStr">
        <is>
          <t>Carla Michue M</t>
        </is>
      </c>
      <c r="BR605" t="n">
        <v>65</v>
      </c>
      <c r="BT605" t="n">
        <v>0</v>
      </c>
      <c r="BX605" t="inlineStr">
        <is>
          <t>Cobranzas_2026.csv</t>
        </is>
      </c>
      <c r="BY605" t="n">
        <v>2026</v>
      </c>
      <c r="BZ605" t="inlineStr">
        <is>
          <t>01/01/2024</t>
        </is>
      </c>
      <c r="CA605" t="inlineStr">
        <is>
          <t>30/09/2031</t>
        </is>
      </c>
    </row>
    <row r="606">
      <c r="A606" t="inlineStr">
        <is>
          <t>RESIDENCIAL PRADA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Estacionamiento</t>
        </is>
      </c>
      <c r="F606" t="inlineStr">
        <is>
          <t>E 09 - D 06</t>
        </is>
      </c>
      <c r="G606" s="39" t="n">
        <v>52000</v>
      </c>
      <c r="H606" s="39" t="n">
        <v>52000</v>
      </c>
      <c r="M606" s="39" t="n"/>
      <c r="N606" s="39" t="n"/>
      <c r="S606" s="39" t="n"/>
      <c r="T606" s="39" t="n"/>
      <c r="Y606" s="39" t="n"/>
      <c r="Z606" s="39" t="n"/>
      <c r="AA606" t="inlineStr">
        <is>
          <t>Karina Cabanillas Correa</t>
        </is>
      </c>
      <c r="AB606" t="inlineStr">
        <is>
          <t>40065933</t>
        </is>
      </c>
      <c r="AC606" t="inlineStr">
        <is>
          <t xml:space="preserve">Jr. Huiracocha 1639 Dpto. 1503 </t>
        </is>
      </c>
      <c r="AD606" t="n">
        <v>0</v>
      </c>
      <c r="AE606" t="inlineStr">
        <is>
          <t>970096822</t>
        </is>
      </c>
      <c r="AF606" t="inlineStr">
        <is>
          <t>karicab13@gmail.com</t>
        </is>
      </c>
      <c r="AG606" t="inlineStr">
        <is>
          <t>LIMA</t>
        </is>
      </c>
      <c r="AH606" t="inlineStr">
        <is>
          <t>JESUS MARIA</t>
        </is>
      </c>
      <c r="AI606" s="116" t="n">
        <v>46203</v>
      </c>
      <c r="AJ606" s="116" t="n"/>
      <c r="AK606" t="inlineStr">
        <is>
          <t>SALDO FINANCIAR</t>
        </is>
      </c>
      <c r="AL606" t="n">
        <v>9</v>
      </c>
      <c r="AM606" t="n">
        <v>5400</v>
      </c>
      <c r="AN606" t="n">
        <v>0</v>
      </c>
      <c r="AO606" t="n">
        <v>0</v>
      </c>
      <c r="AP606" s="39" t="n">
        <v>5400</v>
      </c>
      <c r="AQ606" s="39" t="n">
        <v>0</v>
      </c>
      <c r="AR606" s="39" t="n">
        <v>5400</v>
      </c>
      <c r="AT606" t="inlineStr">
        <is>
          <t>Crédito Directo</t>
        </is>
      </c>
      <c r="AZ606" t="inlineStr">
        <is>
          <t>No</t>
        </is>
      </c>
      <c r="BC606" t="inlineStr">
        <is>
          <t>VENCIDO</t>
        </is>
      </c>
      <c r="BN606" t="inlineStr">
        <is>
          <t>No</t>
        </is>
      </c>
      <c r="BO606" s="117" t="n">
        <v>45886.67847222222</v>
      </c>
      <c r="BP606" t="inlineStr">
        <is>
          <t>Carla Michue M</t>
        </is>
      </c>
      <c r="BR606" t="n">
        <v>65</v>
      </c>
      <c r="BT606" t="n">
        <v>0</v>
      </c>
      <c r="BX606" t="inlineStr">
        <is>
          <t>Cobranzas_2026.csv</t>
        </is>
      </c>
      <c r="BY606" t="n">
        <v>2026</v>
      </c>
      <c r="BZ606" t="inlineStr">
        <is>
          <t>01/01/2024</t>
        </is>
      </c>
      <c r="CA606" t="inlineStr">
        <is>
          <t>30/09/2031</t>
        </is>
      </c>
    </row>
    <row r="607">
      <c r="A607" t="inlineStr">
        <is>
          <t>RESIDENCIAL PRADA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Estacionamiento</t>
        </is>
      </c>
      <c r="F607" t="inlineStr">
        <is>
          <t>E 09 - D 06</t>
        </is>
      </c>
      <c r="G607" s="39" t="n">
        <v>52000</v>
      </c>
      <c r="H607" s="39" t="n">
        <v>52000</v>
      </c>
      <c r="M607" s="39" t="n"/>
      <c r="N607" s="39" t="n"/>
      <c r="S607" s="39" t="n"/>
      <c r="T607" s="39" t="n"/>
      <c r="Y607" s="39" t="n"/>
      <c r="Z607" s="39" t="n"/>
      <c r="AA607" t="inlineStr">
        <is>
          <t>Karina Cabanillas Correa</t>
        </is>
      </c>
      <c r="AB607" t="inlineStr">
        <is>
          <t>40065933</t>
        </is>
      </c>
      <c r="AC607" t="inlineStr">
        <is>
          <t xml:space="preserve">Jr. Huiracocha 1639 Dpto. 1503 </t>
        </is>
      </c>
      <c r="AD607" t="n">
        <v>0</v>
      </c>
      <c r="AE607" t="inlineStr">
        <is>
          <t>970096822</t>
        </is>
      </c>
      <c r="AF607" t="inlineStr">
        <is>
          <t>karicab13@gmail.com</t>
        </is>
      </c>
      <c r="AG607" t="inlineStr">
        <is>
          <t>LIMA</t>
        </is>
      </c>
      <c r="AH607" t="inlineStr">
        <is>
          <t>JESUS MARIA</t>
        </is>
      </c>
      <c r="AI607" s="116" t="n">
        <v>46234</v>
      </c>
      <c r="AJ607" s="116" t="n"/>
      <c r="AK607" t="inlineStr">
        <is>
          <t>SALDO FINANCIAR</t>
        </is>
      </c>
      <c r="AL607" t="n">
        <v>10</v>
      </c>
      <c r="AM607" t="n">
        <v>10000</v>
      </c>
      <c r="AN607" t="n">
        <v>0</v>
      </c>
      <c r="AO607" t="n">
        <v>0</v>
      </c>
      <c r="AP607" s="39" t="n">
        <v>10000</v>
      </c>
      <c r="AQ607" s="39" t="n">
        <v>0</v>
      </c>
      <c r="AR607" s="39" t="n">
        <v>10000</v>
      </c>
      <c r="AT607" t="inlineStr">
        <is>
          <t>Crédito Directo</t>
        </is>
      </c>
      <c r="AZ607" t="inlineStr">
        <is>
          <t>No</t>
        </is>
      </c>
      <c r="BC607" t="inlineStr">
        <is>
          <t>VENCIDO</t>
        </is>
      </c>
      <c r="BN607" t="inlineStr">
        <is>
          <t>No</t>
        </is>
      </c>
      <c r="BO607" s="117" t="n">
        <v>45886.67847222222</v>
      </c>
      <c r="BP607" t="inlineStr">
        <is>
          <t>Carla Michue M</t>
        </is>
      </c>
      <c r="BR607" t="n">
        <v>65</v>
      </c>
      <c r="BT607" t="n">
        <v>0</v>
      </c>
      <c r="BX607" t="inlineStr">
        <is>
          <t>Cobranzas_2026.csv</t>
        </is>
      </c>
      <c r="BY607" t="n">
        <v>2026</v>
      </c>
      <c r="BZ607" t="inlineStr">
        <is>
          <t>01/01/2024</t>
        </is>
      </c>
      <c r="CA607" t="inlineStr">
        <is>
          <t>30/09/2031</t>
        </is>
      </c>
    </row>
    <row r="608">
      <c r="A608" t="inlineStr">
        <is>
          <t>RESIDENCIAL PRADA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405</t>
        </is>
      </c>
      <c r="G608" s="39" t="n">
        <v>535000</v>
      </c>
      <c r="H608" s="39" t="n">
        <v>468600</v>
      </c>
      <c r="I608" t="inlineStr">
        <is>
          <t>Edificio</t>
        </is>
      </c>
      <c r="J608" t="inlineStr">
        <is>
          <t>A</t>
        </is>
      </c>
      <c r="K608" t="inlineStr">
        <is>
          <t>Estacionamiento</t>
        </is>
      </c>
      <c r="L608" t="inlineStr">
        <is>
          <t>E 35 - D 27</t>
        </is>
      </c>
      <c r="M608" s="39" t="n">
        <v>66400</v>
      </c>
      <c r="N608" s="39" t="n">
        <v>66400</v>
      </c>
      <c r="S608" s="39" t="n"/>
      <c r="T608" s="39" t="n"/>
      <c r="Y608" s="39" t="n"/>
      <c r="Z608" s="39" t="n"/>
      <c r="AA608" t="inlineStr">
        <is>
          <t>katherine Neyra Alor Neyra</t>
        </is>
      </c>
      <c r="AB608" t="inlineStr">
        <is>
          <t>71550928</t>
        </is>
      </c>
      <c r="AC608" t="inlineStr">
        <is>
          <t>Asoc de Viv Las Palmeras Unidas Mz G Lt 19</t>
        </is>
      </c>
      <c r="AD608" t="n">
        <v>0</v>
      </c>
      <c r="AE608" t="inlineStr">
        <is>
          <t>944067766</t>
        </is>
      </c>
      <c r="AF608" t="inlineStr">
        <is>
          <t>Kalor.gr@gmail.com</t>
        </is>
      </c>
      <c r="AG608" t="inlineStr">
        <is>
          <t>HUAURA</t>
        </is>
      </c>
      <c r="AH608" t="inlineStr">
        <is>
          <t>SANTA MARIA</t>
        </is>
      </c>
      <c r="AI608" s="116" t="n">
        <v>46158</v>
      </c>
      <c r="AJ608" s="116" t="n">
        <v>46158</v>
      </c>
      <c r="AK608" t="inlineStr">
        <is>
          <t>SEPARACION</t>
        </is>
      </c>
      <c r="AL608" t="n">
        <v>1</v>
      </c>
      <c r="AM608" t="n">
        <v>3000</v>
      </c>
      <c r="AN608" t="n">
        <v>0</v>
      </c>
      <c r="AO608" t="n">
        <v>0</v>
      </c>
      <c r="AP608" s="39" t="n">
        <v>3000</v>
      </c>
      <c r="AQ608" s="39" t="n">
        <v>3000</v>
      </c>
      <c r="AR608" s="39" t="n">
        <v>0</v>
      </c>
      <c r="AS608" t="n">
        <v>0</v>
      </c>
      <c r="AT608" t="inlineStr">
        <is>
          <t>Crédito Hipotecario</t>
        </is>
      </c>
      <c r="AU608" t="inlineStr">
        <is>
          <t>Scotiabank Perú</t>
        </is>
      </c>
      <c r="AV608" t="inlineStr">
        <is>
          <t>000-2768484</t>
        </is>
      </c>
      <c r="AW608" t="inlineStr">
        <is>
          <t>TRANSFERENCIA BANCARIA</t>
        </is>
      </c>
      <c r="AX608" t="inlineStr">
        <is>
          <t>71550928</t>
        </is>
      </c>
      <c r="AY608" t="inlineStr">
        <is>
          <t>7844655553824</t>
        </is>
      </c>
      <c r="AZ608" t="inlineStr">
        <is>
          <t>No</t>
        </is>
      </c>
      <c r="BA608" t="inlineStr">
        <is>
          <t>NO PRECISA</t>
        </is>
      </c>
      <c r="BB608" t="n">
        <v>4</v>
      </c>
      <c r="BC608" t="inlineStr">
        <is>
          <t>CANCELADO</t>
        </is>
      </c>
      <c r="BN608" t="inlineStr">
        <is>
          <t>Si</t>
        </is>
      </c>
      <c r="BO608" s="117" t="n">
        <v>46158.85972222222</v>
      </c>
      <c r="BP608" t="inlineStr">
        <is>
          <t xml:space="preserve">Glenda Solano </t>
        </is>
      </c>
      <c r="BR608" t="n">
        <v>2</v>
      </c>
      <c r="BS608" t="inlineStr">
        <is>
          <t>16/05/2026 20:38</t>
        </is>
      </c>
      <c r="BT608" t="n">
        <v>0</v>
      </c>
      <c r="BX608" t="inlineStr">
        <is>
          <t>Cobranzas_2026.csv</t>
        </is>
      </c>
      <c r="BY608" t="n">
        <v>2026</v>
      </c>
      <c r="BZ608" t="inlineStr">
        <is>
          <t>01/01/2024</t>
        </is>
      </c>
      <c r="CA608" t="inlineStr">
        <is>
          <t>30/09/2031</t>
        </is>
      </c>
    </row>
    <row r="609">
      <c r="A609" t="inlineStr">
        <is>
          <t>RESIDENCIAL PRADA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405</t>
        </is>
      </c>
      <c r="G609" s="39" t="n">
        <v>535000</v>
      </c>
      <c r="H609" s="39" t="n">
        <v>468600</v>
      </c>
      <c r="I609" t="inlineStr">
        <is>
          <t>Edificio</t>
        </is>
      </c>
      <c r="J609" t="inlineStr">
        <is>
          <t>A</t>
        </is>
      </c>
      <c r="K609" t="inlineStr">
        <is>
          <t>Estacionamiento</t>
        </is>
      </c>
      <c r="L609" t="inlineStr">
        <is>
          <t>E 35 - D 27</t>
        </is>
      </c>
      <c r="M609" s="39" t="n">
        <v>66400</v>
      </c>
      <c r="N609" s="39" t="n">
        <v>66400</v>
      </c>
      <c r="S609" s="39" t="n"/>
      <c r="T609" s="39" t="n"/>
      <c r="Y609" s="39" t="n"/>
      <c r="Z609" s="39" t="n"/>
      <c r="AA609" t="inlineStr">
        <is>
          <t>katherine Neyra Alor Neyra</t>
        </is>
      </c>
      <c r="AB609" t="inlineStr">
        <is>
          <t>71550928</t>
        </is>
      </c>
      <c r="AC609" t="inlineStr">
        <is>
          <t>Asoc de Viv Las Palmeras Unidas Mz G Lt 19</t>
        </is>
      </c>
      <c r="AD609" t="n">
        <v>0</v>
      </c>
      <c r="AE609" t="inlineStr">
        <is>
          <t>944067766</t>
        </is>
      </c>
      <c r="AF609" t="inlineStr">
        <is>
          <t>Kalor.gr@gmail.com</t>
        </is>
      </c>
      <c r="AG609" t="inlineStr">
        <is>
          <t>HUAURA</t>
        </is>
      </c>
      <c r="AH609" t="inlineStr">
        <is>
          <t>SANTA MARIA</t>
        </is>
      </c>
      <c r="AI609" s="116" t="n">
        <v>46171</v>
      </c>
      <c r="AJ609" s="116" t="n"/>
      <c r="AK609" t="inlineStr">
        <is>
          <t>CUOTA INICIAL</t>
        </is>
      </c>
      <c r="AL609" t="n">
        <v>1</v>
      </c>
      <c r="AM609" t="n">
        <v>80250</v>
      </c>
      <c r="AN609" t="n">
        <v>0</v>
      </c>
      <c r="AO609" t="n">
        <v>0</v>
      </c>
      <c r="AP609" s="39" t="n">
        <v>80250</v>
      </c>
      <c r="AQ609" s="39" t="n">
        <v>0</v>
      </c>
      <c r="AR609" s="39" t="n">
        <v>80250</v>
      </c>
      <c r="AT609" t="inlineStr">
        <is>
          <t>Crédito Hipotecario</t>
        </is>
      </c>
      <c r="AZ609" t="inlineStr">
        <is>
          <t>No</t>
        </is>
      </c>
      <c r="BC609" t="inlineStr">
        <is>
          <t>VENCIDO</t>
        </is>
      </c>
      <c r="BN609" t="inlineStr">
        <is>
          <t>No</t>
        </is>
      </c>
      <c r="BO609" s="117" t="n">
        <v>46158.85972222222</v>
      </c>
      <c r="BP609" t="inlineStr">
        <is>
          <t xml:space="preserve">Glenda Solano </t>
        </is>
      </c>
      <c r="BR609" t="n">
        <v>2</v>
      </c>
      <c r="BT609" t="n">
        <v>0</v>
      </c>
      <c r="BX609" t="inlineStr">
        <is>
          <t>Cobranzas_2026.csv</t>
        </is>
      </c>
      <c r="BY609" t="n">
        <v>2026</v>
      </c>
      <c r="BZ609" t="inlineStr">
        <is>
          <t>01/01/2024</t>
        </is>
      </c>
      <c r="CA609" t="inlineStr">
        <is>
          <t>30/09/2031</t>
        </is>
      </c>
    </row>
    <row r="610">
      <c r="A610" t="inlineStr">
        <is>
          <t>RESIDENCIAL PRADA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405</t>
        </is>
      </c>
      <c r="G610" s="39" t="n">
        <v>535000</v>
      </c>
      <c r="H610" s="39" t="n">
        <v>468600</v>
      </c>
      <c r="I610" t="inlineStr">
        <is>
          <t>Edificio</t>
        </is>
      </c>
      <c r="J610" t="inlineStr">
        <is>
          <t>A</t>
        </is>
      </c>
      <c r="K610" t="inlineStr">
        <is>
          <t>Estacionamiento</t>
        </is>
      </c>
      <c r="L610" t="inlineStr">
        <is>
          <t>E 35 - D 27</t>
        </is>
      </c>
      <c r="M610" s="39" t="n">
        <v>66400</v>
      </c>
      <c r="N610" s="39" t="n">
        <v>66400</v>
      </c>
      <c r="S610" s="39" t="n"/>
      <c r="T610" s="39" t="n"/>
      <c r="Y610" s="39" t="n"/>
      <c r="Z610" s="39" t="n"/>
      <c r="AA610" t="inlineStr">
        <is>
          <t>katherine Neyra Alor Neyra</t>
        </is>
      </c>
      <c r="AB610" t="inlineStr">
        <is>
          <t>71550928</t>
        </is>
      </c>
      <c r="AC610" t="inlineStr">
        <is>
          <t>Asoc de Viv Las Palmeras Unidas Mz G Lt 19</t>
        </is>
      </c>
      <c r="AD610" t="n">
        <v>0</v>
      </c>
      <c r="AE610" t="inlineStr">
        <is>
          <t>944067766</t>
        </is>
      </c>
      <c r="AF610" t="inlineStr">
        <is>
          <t>Kalor.gr@gmail.com</t>
        </is>
      </c>
      <c r="AG610" t="inlineStr">
        <is>
          <t>HUAURA</t>
        </is>
      </c>
      <c r="AH610" t="inlineStr">
        <is>
          <t>SANTA MARIA</t>
        </is>
      </c>
      <c r="AI610" s="116" t="n">
        <v>46202</v>
      </c>
      <c r="AJ610" s="116" t="n"/>
      <c r="AK610" t="inlineStr">
        <is>
          <t>CUOTA INICIAL</t>
        </is>
      </c>
      <c r="AL610" t="n">
        <v>2</v>
      </c>
      <c r="AM610" t="n">
        <v>23750</v>
      </c>
      <c r="AN610" t="n">
        <v>0</v>
      </c>
      <c r="AO610" t="n">
        <v>0</v>
      </c>
      <c r="AP610" s="39" t="n">
        <v>23750</v>
      </c>
      <c r="AQ610" s="39" t="n">
        <v>0</v>
      </c>
      <c r="AR610" s="39" t="n">
        <v>23750</v>
      </c>
      <c r="AT610" t="inlineStr">
        <is>
          <t>Crédito Hipotecario</t>
        </is>
      </c>
      <c r="AZ610" t="inlineStr">
        <is>
          <t>No</t>
        </is>
      </c>
      <c r="BC610" t="inlineStr">
        <is>
          <t>VENCIDO</t>
        </is>
      </c>
      <c r="BN610" t="inlineStr">
        <is>
          <t>No</t>
        </is>
      </c>
      <c r="BO610" s="117" t="n">
        <v>46158.85972222222</v>
      </c>
      <c r="BP610" t="inlineStr">
        <is>
          <t xml:space="preserve">Glenda Solano </t>
        </is>
      </c>
      <c r="BR610" t="n">
        <v>2</v>
      </c>
      <c r="BT610" t="n">
        <v>0</v>
      </c>
      <c r="BX610" t="inlineStr">
        <is>
          <t>Cobranzas_2026.csv</t>
        </is>
      </c>
      <c r="BY610" t="n">
        <v>2026</v>
      </c>
      <c r="BZ610" t="inlineStr">
        <is>
          <t>01/01/2024</t>
        </is>
      </c>
      <c r="CA610" t="inlineStr">
        <is>
          <t>30/09/2031</t>
        </is>
      </c>
    </row>
    <row r="611">
      <c r="A611" t="inlineStr">
        <is>
          <t>RESIDENCIAL PRADA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405</t>
        </is>
      </c>
      <c r="G611" s="39" t="n">
        <v>535000</v>
      </c>
      <c r="H611" s="39" t="n">
        <v>468600</v>
      </c>
      <c r="I611" t="inlineStr">
        <is>
          <t>Edificio</t>
        </is>
      </c>
      <c r="J611" t="inlineStr">
        <is>
          <t>A</t>
        </is>
      </c>
      <c r="K611" t="inlineStr">
        <is>
          <t>Estacionamiento</t>
        </is>
      </c>
      <c r="L611" t="inlineStr">
        <is>
          <t>E 35 - D 27</t>
        </is>
      </c>
      <c r="M611" s="39" t="n">
        <v>66400</v>
      </c>
      <c r="N611" s="39" t="n">
        <v>66400</v>
      </c>
      <c r="S611" s="39" t="n"/>
      <c r="T611" s="39" t="n"/>
      <c r="Y611" s="39" t="n"/>
      <c r="Z611" s="39" t="n"/>
      <c r="AA611" t="inlineStr">
        <is>
          <t>katherine Neyra Alor Neyra</t>
        </is>
      </c>
      <c r="AB611" t="inlineStr">
        <is>
          <t>71550928</t>
        </is>
      </c>
      <c r="AC611" t="inlineStr">
        <is>
          <t>Asoc de Viv Las Palmeras Unidas Mz G Lt 19</t>
        </is>
      </c>
      <c r="AD611" t="n">
        <v>0</v>
      </c>
      <c r="AE611" t="inlineStr">
        <is>
          <t>944067766</t>
        </is>
      </c>
      <c r="AF611" t="inlineStr">
        <is>
          <t>Kalor.gr@gmail.com</t>
        </is>
      </c>
      <c r="AG611" t="inlineStr">
        <is>
          <t>HUAURA</t>
        </is>
      </c>
      <c r="AH611" t="inlineStr">
        <is>
          <t>SANTA MARIA</t>
        </is>
      </c>
      <c r="AI611" s="116" t="n">
        <v>46234</v>
      </c>
      <c r="AJ611" s="116" t="n"/>
      <c r="AK611" t="inlineStr">
        <is>
          <t>SALDO FINANCIAR</t>
        </is>
      </c>
      <c r="AL611" t="n">
        <v>1</v>
      </c>
      <c r="AM611" t="n">
        <v>428000</v>
      </c>
      <c r="AN611" t="n">
        <v>0</v>
      </c>
      <c r="AO611" t="n">
        <v>0</v>
      </c>
      <c r="AP611" s="39" t="n">
        <v>428000</v>
      </c>
      <c r="AQ611" s="39" t="n">
        <v>0</v>
      </c>
      <c r="AR611" s="39" t="n">
        <v>428000</v>
      </c>
      <c r="AT611" t="inlineStr">
        <is>
          <t>Crédito Hipotecario</t>
        </is>
      </c>
      <c r="AZ611" t="inlineStr">
        <is>
          <t>No</t>
        </is>
      </c>
      <c r="BC611" t="inlineStr">
        <is>
          <t>VENCIDO</t>
        </is>
      </c>
      <c r="BN611" t="inlineStr">
        <is>
          <t>No</t>
        </is>
      </c>
      <c r="BO611" s="117" t="n">
        <v>46158.85972222222</v>
      </c>
      <c r="BP611" t="inlineStr">
        <is>
          <t xml:space="preserve">Glenda Solano </t>
        </is>
      </c>
      <c r="BR611" t="n">
        <v>2</v>
      </c>
      <c r="BT611" t="n">
        <v>0</v>
      </c>
      <c r="BX611" t="inlineStr">
        <is>
          <t>Cobranzas_2026.csv</t>
        </is>
      </c>
      <c r="BY611" t="n">
        <v>2026</v>
      </c>
      <c r="BZ611" t="inlineStr">
        <is>
          <t>01/01/2024</t>
        </is>
      </c>
      <c r="CA611" t="inlineStr">
        <is>
          <t>30/09/2031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303</t>
        </is>
      </c>
      <c r="G612" s="39" t="n">
        <v>504700</v>
      </c>
      <c r="H612" s="39" t="n">
        <v>458000</v>
      </c>
      <c r="M612" s="39" t="n"/>
      <c r="N612" s="39" t="n"/>
      <c r="S612" s="39" t="n"/>
      <c r="T612" s="39" t="n"/>
      <c r="Y612" s="39" t="n"/>
      <c r="Z612" s="39" t="n"/>
      <c r="AA612" t="inlineStr">
        <is>
          <t>Leidy Lucero Espíritu Zabarburu</t>
        </is>
      </c>
      <c r="AB612" t="inlineStr">
        <is>
          <t>76936857</t>
        </is>
      </c>
      <c r="AC612" t="inlineStr">
        <is>
          <t>Av. José Arnaldo Márquez Nº 1655 – Dpto.403</t>
        </is>
      </c>
      <c r="AD612" t="n">
        <v>0</v>
      </c>
      <c r="AE612" t="inlineStr">
        <is>
          <t>966435253</t>
        </is>
      </c>
      <c r="AF612" t="inlineStr">
        <is>
          <t>lespiritu@zgroup.com.pe</t>
        </is>
      </c>
      <c r="AG612" t="inlineStr">
        <is>
          <t>LIMA</t>
        </is>
      </c>
      <c r="AH612" t="inlineStr">
        <is>
          <t>JESUS MARIA</t>
        </is>
      </c>
      <c r="AI612" s="116" t="n">
        <v>46057</v>
      </c>
      <c r="AJ612" s="116" t="n">
        <v>46057</v>
      </c>
      <c r="AK612" t="inlineStr">
        <is>
          <t>CUOTA INICIAL</t>
        </is>
      </c>
      <c r="AL612" t="n">
        <v>1</v>
      </c>
      <c r="AM612" t="n">
        <v>19900</v>
      </c>
      <c r="AN612" t="n">
        <v>0</v>
      </c>
      <c r="AO612" t="n">
        <v>0</v>
      </c>
      <c r="AP612" s="39" t="n">
        <v>19900</v>
      </c>
      <c r="AQ612" s="39" t="n">
        <v>19900</v>
      </c>
      <c r="AR612" s="39" t="n">
        <v>0</v>
      </c>
      <c r="AS612" t="n">
        <v>0</v>
      </c>
      <c r="AT612" t="inlineStr">
        <is>
          <t>Ahorro</t>
        </is>
      </c>
      <c r="AU612" t="inlineStr">
        <is>
          <t>Banco de Credito del Perú</t>
        </is>
      </c>
      <c r="AV612" t="inlineStr">
        <is>
          <t>194-7325779-0-65</t>
        </is>
      </c>
      <c r="AW612" t="inlineStr">
        <is>
          <t>TRANSFERENCIA BANCARIA</t>
        </is>
      </c>
      <c r="AY612" t="inlineStr">
        <is>
          <t>03009075</t>
        </is>
      </c>
      <c r="AZ612" t="inlineStr">
        <is>
          <t>No</t>
        </is>
      </c>
      <c r="BB612" t="n">
        <v>4</v>
      </c>
      <c r="BC612" t="inlineStr">
        <is>
          <t>CANCELADO</t>
        </is>
      </c>
      <c r="BN612" t="inlineStr">
        <is>
          <t>Si</t>
        </is>
      </c>
      <c r="BO612" s="117" t="n">
        <v>46057.42013888889</v>
      </c>
      <c r="BP612" t="inlineStr">
        <is>
          <t>Magaly Guevara Perez</t>
        </is>
      </c>
      <c r="BR612" t="n">
        <v>25</v>
      </c>
      <c r="BS612" t="inlineStr">
        <is>
          <t>12/08/2026 17:56</t>
        </is>
      </c>
      <c r="BT612" t="n">
        <v>0</v>
      </c>
      <c r="BX612" t="inlineStr">
        <is>
          <t>Cobranzas_2026.csv</t>
        </is>
      </c>
      <c r="BY612" t="n">
        <v>2026</v>
      </c>
      <c r="BZ612" t="inlineStr">
        <is>
          <t>01/01/2024</t>
        </is>
      </c>
      <c r="CA612" t="inlineStr">
        <is>
          <t>30/09/2031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303</t>
        </is>
      </c>
      <c r="G613" s="39" t="n">
        <v>504700</v>
      </c>
      <c r="H613" s="39" t="n">
        <v>458000</v>
      </c>
      <c r="M613" s="39" t="n"/>
      <c r="N613" s="39" t="n"/>
      <c r="S613" s="39" t="n"/>
      <c r="T613" s="39" t="n"/>
      <c r="Y613" s="39" t="n"/>
      <c r="Z613" s="39" t="n"/>
      <c r="AA613" t="inlineStr">
        <is>
          <t>Leidy Lucero Espíritu Zabarburu</t>
        </is>
      </c>
      <c r="AB613" t="inlineStr">
        <is>
          <t>76936857</t>
        </is>
      </c>
      <c r="AC613" t="inlineStr">
        <is>
          <t>Av. José Arnaldo Márquez Nº 1655 – Dpto.403</t>
        </is>
      </c>
      <c r="AD613" t="n">
        <v>0</v>
      </c>
      <c r="AE613" t="inlineStr">
        <is>
          <t>966435253</t>
        </is>
      </c>
      <c r="AF613" t="inlineStr">
        <is>
          <t>lespiritu@zgroup.com.pe</t>
        </is>
      </c>
      <c r="AG613" t="inlineStr">
        <is>
          <t>LIMA</t>
        </is>
      </c>
      <c r="AH613" t="inlineStr">
        <is>
          <t>JESUS MARIA</t>
        </is>
      </c>
      <c r="AI613" s="116" t="n">
        <v>46233</v>
      </c>
      <c r="AJ613" s="116" t="n"/>
      <c r="AK613" t="inlineStr">
        <is>
          <t>CUOTA INICIAL</t>
        </is>
      </c>
      <c r="AL613" t="n">
        <v>2</v>
      </c>
      <c r="AM613" t="n">
        <v>45800</v>
      </c>
      <c r="AN613" t="n">
        <v>0</v>
      </c>
      <c r="AO613" t="n">
        <v>0</v>
      </c>
      <c r="AP613" s="39" t="n">
        <v>45800</v>
      </c>
      <c r="AQ613" s="39" t="n">
        <v>0</v>
      </c>
      <c r="AR613" s="39" t="n">
        <v>45800</v>
      </c>
      <c r="AT613" t="inlineStr">
        <is>
          <t>Ahorro</t>
        </is>
      </c>
      <c r="AZ613" t="inlineStr">
        <is>
          <t>No</t>
        </is>
      </c>
      <c r="BC613" t="inlineStr">
        <is>
          <t>VENCIDO</t>
        </is>
      </c>
      <c r="BN613" t="inlineStr">
        <is>
          <t>No</t>
        </is>
      </c>
      <c r="BO613" s="117" t="n">
        <v>46057.42013888889</v>
      </c>
      <c r="BP613" t="inlineStr">
        <is>
          <t>Magaly Guevara Perez</t>
        </is>
      </c>
      <c r="BR613" t="n">
        <v>25</v>
      </c>
      <c r="BT613" t="n">
        <v>0</v>
      </c>
      <c r="BX613" t="inlineStr">
        <is>
          <t>Cobranzas_2026.csv</t>
        </is>
      </c>
      <c r="BY613" t="n">
        <v>2026</v>
      </c>
      <c r="BZ613" t="inlineStr">
        <is>
          <t>01/01/2024</t>
        </is>
      </c>
      <c r="CA613" t="inlineStr">
        <is>
          <t>30/09/2031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303</t>
        </is>
      </c>
      <c r="G614" s="39" t="n">
        <v>504700</v>
      </c>
      <c r="H614" s="39" t="n">
        <v>458000</v>
      </c>
      <c r="M614" s="39" t="n"/>
      <c r="N614" s="39" t="n"/>
      <c r="S614" s="39" t="n"/>
      <c r="T614" s="39" t="n"/>
      <c r="Y614" s="39" t="n"/>
      <c r="Z614" s="39" t="n"/>
      <c r="AA614" t="inlineStr">
        <is>
          <t>Leidy Lucero Espíritu Zabarburu</t>
        </is>
      </c>
      <c r="AB614" t="inlineStr">
        <is>
          <t>76936857</t>
        </is>
      </c>
      <c r="AC614" t="inlineStr">
        <is>
          <t>Av. José Arnaldo Márquez Nº 1655 – Dpto.403</t>
        </is>
      </c>
      <c r="AD614" t="n">
        <v>0</v>
      </c>
      <c r="AE614" t="inlineStr">
        <is>
          <t>966435253</t>
        </is>
      </c>
      <c r="AF614" t="inlineStr">
        <is>
          <t>lespiritu@zgroup.com.pe</t>
        </is>
      </c>
      <c r="AG614" t="inlineStr">
        <is>
          <t>LIMA</t>
        </is>
      </c>
      <c r="AH614" t="inlineStr">
        <is>
          <t>JESUS MARIA</t>
        </is>
      </c>
      <c r="AI614" s="116" t="n">
        <v>46295</v>
      </c>
      <c r="AJ614" s="116" t="n"/>
      <c r="AK614" t="inlineStr">
        <is>
          <t>SALDO FINANCIAR</t>
        </is>
      </c>
      <c r="AL614" t="n">
        <v>1</v>
      </c>
      <c r="AM614" t="n">
        <v>389300</v>
      </c>
      <c r="AN614" t="n">
        <v>0</v>
      </c>
      <c r="AO614" t="n">
        <v>0</v>
      </c>
      <c r="AP614" s="39" t="n">
        <v>389300</v>
      </c>
      <c r="AQ614" s="39" t="n">
        <v>0</v>
      </c>
      <c r="AR614" s="39" t="n">
        <v>389300</v>
      </c>
      <c r="AT614" t="inlineStr">
        <is>
          <t>Ahorro</t>
        </is>
      </c>
      <c r="AZ614" t="inlineStr">
        <is>
          <t>No</t>
        </is>
      </c>
      <c r="BC614" t="inlineStr">
        <is>
          <t>VENCIDO</t>
        </is>
      </c>
      <c r="BN614" t="inlineStr">
        <is>
          <t>No</t>
        </is>
      </c>
      <c r="BO614" s="117" t="n">
        <v>46057.42013888889</v>
      </c>
      <c r="BP614" t="inlineStr">
        <is>
          <t>Magaly Guevara Perez</t>
        </is>
      </c>
      <c r="BR614" t="n">
        <v>25</v>
      </c>
      <c r="BT614" t="n">
        <v>0</v>
      </c>
      <c r="BX614" t="inlineStr">
        <is>
          <t>Cobranzas_2026.csv</t>
        </is>
      </c>
      <c r="BY614" t="n">
        <v>2026</v>
      </c>
      <c r="BZ614" t="inlineStr">
        <is>
          <t>01/01/2024</t>
        </is>
      </c>
      <c r="CA614" t="inlineStr">
        <is>
          <t>30/09/2031</t>
        </is>
      </c>
    </row>
    <row r="615">
      <c r="A615" t="inlineStr">
        <is>
          <t>RESIDENCIAL VENECIA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301</t>
        </is>
      </c>
      <c r="G615" s="39" t="n">
        <v>534000</v>
      </c>
      <c r="H615" s="39" t="n">
        <v>534000</v>
      </c>
      <c r="I615" t="inlineStr">
        <is>
          <t>Edificio</t>
        </is>
      </c>
      <c r="J615" t="inlineStr">
        <is>
          <t>A</t>
        </is>
      </c>
      <c r="K615" t="inlineStr">
        <is>
          <t>Estacionamiento</t>
        </is>
      </c>
      <c r="L615" t="inlineStr">
        <is>
          <t>E 17</t>
        </is>
      </c>
      <c r="M615" s="39" t="n">
        <v>43000</v>
      </c>
      <c r="N615" s="39" t="n">
        <v>43000</v>
      </c>
      <c r="S615" s="39" t="n"/>
      <c r="T615" s="39" t="n"/>
      <c r="Y615" s="39" t="n"/>
      <c r="Z615" s="39" t="n"/>
      <c r="AA615" t="inlineStr">
        <is>
          <t>Leidy Pilar Espinoza Mariño</t>
        </is>
      </c>
      <c r="AB615" t="inlineStr">
        <is>
          <t>46546054</t>
        </is>
      </c>
      <c r="AC615" t="inlineStr">
        <is>
          <t>LAS AZUCENAS LT-34 MZ-F- HUMAYA</t>
        </is>
      </c>
      <c r="AD615" t="n">
        <v>0</v>
      </c>
      <c r="AE615" t="inlineStr">
        <is>
          <t>945411554</t>
        </is>
      </c>
      <c r="AF615" t="inlineStr">
        <is>
          <t>leidyespinoza30@gmail.com</t>
        </is>
      </c>
      <c r="AG615" t="inlineStr">
        <is>
          <t>HUAURA</t>
        </is>
      </c>
      <c r="AH615" t="inlineStr">
        <is>
          <t>HUAURA</t>
        </is>
      </c>
      <c r="AI615" s="116" t="n">
        <v>46053</v>
      </c>
      <c r="AJ615" s="116" t="n">
        <v>46105</v>
      </c>
      <c r="AK615" t="inlineStr">
        <is>
          <t>AHORRO CASA</t>
        </is>
      </c>
      <c r="AL615" t="n">
        <v>2</v>
      </c>
      <c r="AM615" t="n">
        <v>28850</v>
      </c>
      <c r="AN615" t="n">
        <v>0</v>
      </c>
      <c r="AO615" t="n">
        <v>0</v>
      </c>
      <c r="AP615" s="39" t="n">
        <v>28850</v>
      </c>
      <c r="AQ615" s="39" t="n">
        <v>28850</v>
      </c>
      <c r="AR615" s="39" t="n">
        <v>0</v>
      </c>
      <c r="AS615" t="n">
        <v>0</v>
      </c>
      <c r="AT615" t="inlineStr">
        <is>
          <t>Crédito Hipotecario</t>
        </is>
      </c>
      <c r="AU615" t="inlineStr">
        <is>
          <t>Scotiabank Perú</t>
        </is>
      </c>
      <c r="AV615" t="inlineStr">
        <is>
          <t>0004071419</t>
        </is>
      </c>
      <c r="AW615" t="inlineStr">
        <is>
          <t>TRANSFERENCIA BANCARIA</t>
        </is>
      </c>
      <c r="AX615" t="inlineStr">
        <is>
          <t>46546054</t>
        </is>
      </c>
      <c r="AY615" t="inlineStr">
        <is>
          <t>7844655508247</t>
        </is>
      </c>
      <c r="AZ615" t="inlineStr">
        <is>
          <t>No</t>
        </is>
      </c>
      <c r="BB615" t="n">
        <v>4</v>
      </c>
      <c r="BC615" t="inlineStr">
        <is>
          <t>CANCELADO</t>
        </is>
      </c>
      <c r="BN615" t="inlineStr">
        <is>
          <t>Si</t>
        </is>
      </c>
      <c r="BO615" s="117" t="n">
        <v>45922.33680555555</v>
      </c>
      <c r="BP615" t="inlineStr">
        <is>
          <t>Magaly Guevara Perez</t>
        </is>
      </c>
      <c r="BR615" t="n">
        <v>5</v>
      </c>
      <c r="BS615" t="inlineStr">
        <is>
          <t>04/06/2026 08:34</t>
        </is>
      </c>
      <c r="BT615" t="n">
        <v>0</v>
      </c>
      <c r="BX615" t="inlineStr">
        <is>
          <t>Cobranzas_2026.csv</t>
        </is>
      </c>
      <c r="BY615" t="n">
        <v>2026</v>
      </c>
      <c r="BZ615" t="inlineStr">
        <is>
          <t>01/01/2024</t>
        </is>
      </c>
      <c r="CA615" t="inlineStr">
        <is>
          <t>30/09/2031</t>
        </is>
      </c>
    </row>
    <row r="616">
      <c r="A616" t="inlineStr">
        <is>
          <t>RESIDENCIAL VENECIA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301</t>
        </is>
      </c>
      <c r="G616" s="39" t="n">
        <v>534000</v>
      </c>
      <c r="H616" s="39" t="n">
        <v>534000</v>
      </c>
      <c r="I616" t="inlineStr">
        <is>
          <t>Edificio</t>
        </is>
      </c>
      <c r="J616" t="inlineStr">
        <is>
          <t>A</t>
        </is>
      </c>
      <c r="K616" t="inlineStr">
        <is>
          <t>Estacionamiento</t>
        </is>
      </c>
      <c r="L616" t="inlineStr">
        <is>
          <t>E 17</t>
        </is>
      </c>
      <c r="M616" s="39" t="n">
        <v>43000</v>
      </c>
      <c r="N616" s="39" t="n">
        <v>43000</v>
      </c>
      <c r="S616" s="39" t="n"/>
      <c r="T616" s="39" t="n"/>
      <c r="Y616" s="39" t="n"/>
      <c r="Z616" s="39" t="n"/>
      <c r="AA616" t="inlineStr">
        <is>
          <t>Leidy Pilar Espinoza Mariño</t>
        </is>
      </c>
      <c r="AB616" t="inlineStr">
        <is>
          <t>46546054</t>
        </is>
      </c>
      <c r="AC616" t="inlineStr">
        <is>
          <t>LAS AZUCENAS LT-34 MZ-F- HUMAYA</t>
        </is>
      </c>
      <c r="AD616" t="n">
        <v>0</v>
      </c>
      <c r="AE616" t="inlineStr">
        <is>
          <t>945411554</t>
        </is>
      </c>
      <c r="AF616" t="inlineStr">
        <is>
          <t>leidyespinoza30@gmail.com</t>
        </is>
      </c>
      <c r="AG616" t="inlineStr">
        <is>
          <t>HUAURA</t>
        </is>
      </c>
      <c r="AH616" t="inlineStr">
        <is>
          <t>HUAURA</t>
        </is>
      </c>
      <c r="AI616" s="116" t="n">
        <v>46203</v>
      </c>
      <c r="AJ616" s="116" t="n">
        <v>46230</v>
      </c>
      <c r="AK616" t="inlineStr">
        <is>
          <t>SALDO FINANCIAR</t>
        </is>
      </c>
      <c r="AL616" t="n">
        <v>1</v>
      </c>
      <c r="AM616" t="n">
        <v>519300</v>
      </c>
      <c r="AN616" t="n">
        <v>0</v>
      </c>
      <c r="AO616" t="n">
        <v>0</v>
      </c>
      <c r="AP616" s="39" t="n">
        <v>519300</v>
      </c>
      <c r="AQ616" s="39" t="n">
        <v>519300</v>
      </c>
      <c r="AR616" s="39" t="n">
        <v>0</v>
      </c>
      <c r="AS616" t="n">
        <v>0</v>
      </c>
      <c r="AT616" t="inlineStr">
        <is>
          <t>Crédito Hipotecario</t>
        </is>
      </c>
      <c r="AU616" t="inlineStr">
        <is>
          <t>Scotiabank Perú</t>
        </is>
      </c>
      <c r="AV616" t="inlineStr">
        <is>
          <t>0004071419</t>
        </is>
      </c>
      <c r="AW616" t="inlineStr">
        <is>
          <t>TRANSFERENCIA BANCARIA</t>
        </is>
      </c>
      <c r="AY616" t="inlineStr">
        <is>
          <t>EB01-101</t>
        </is>
      </c>
      <c r="AZ616" t="inlineStr">
        <is>
          <t>Si</t>
        </is>
      </c>
      <c r="BB616" t="n">
        <v>4</v>
      </c>
      <c r="BC616" t="inlineStr">
        <is>
          <t>CANCELADO</t>
        </is>
      </c>
      <c r="BN616" t="inlineStr">
        <is>
          <t>Si</t>
        </is>
      </c>
      <c r="BO616" s="117" t="n">
        <v>45922.33680555555</v>
      </c>
      <c r="BP616" t="inlineStr">
        <is>
          <t>Magaly Guevara Perez</t>
        </is>
      </c>
      <c r="BR616" t="n">
        <v>5</v>
      </c>
      <c r="BS616" t="inlineStr">
        <is>
          <t>27/07/2026 12:06</t>
        </is>
      </c>
      <c r="BT616" t="n">
        <v>0</v>
      </c>
      <c r="BX616" t="inlineStr">
        <is>
          <t>Cobranzas_2026.csv</t>
        </is>
      </c>
      <c r="BY616" t="n">
        <v>2026</v>
      </c>
      <c r="BZ616" t="inlineStr">
        <is>
          <t>01/01/2024</t>
        </is>
      </c>
      <c r="CA616" t="inlineStr">
        <is>
          <t>30/09/2031</t>
        </is>
      </c>
    </row>
    <row r="617">
      <c r="A617" t="inlineStr">
        <is>
          <t>RESIDENCIAL PRADA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904</t>
        </is>
      </c>
      <c r="G617" s="39" t="n">
        <v>417700</v>
      </c>
      <c r="H617" s="39" t="n">
        <v>417700</v>
      </c>
      <c r="M617" s="39" t="n"/>
      <c r="N617" s="39" t="n"/>
      <c r="S617" s="39" t="n"/>
      <c r="T617" s="39" t="n"/>
      <c r="Y617" s="39" t="n"/>
      <c r="Z617" s="39" t="n"/>
      <c r="AA617" t="inlineStr">
        <is>
          <t xml:space="preserve">Lizet Lopez Paucar </t>
        </is>
      </c>
      <c r="AB617" t="inlineStr">
        <is>
          <t>42459734</t>
        </is>
      </c>
      <c r="AC617" t="inlineStr">
        <is>
          <t>Av. Arnaldo Márquez 1526 Dpto. 34 - Jesús María - Lima</t>
        </is>
      </c>
      <c r="AD617" t="n">
        <v>999889061</v>
      </c>
      <c r="AE617" t="inlineStr">
        <is>
          <t>999889061</t>
        </is>
      </c>
      <c r="AF617" t="inlineStr">
        <is>
          <t>lizetlopezp@gmail.com</t>
        </is>
      </c>
      <c r="AG617" t="inlineStr">
        <is>
          <t>LIMA</t>
        </is>
      </c>
      <c r="AH617" t="inlineStr">
        <is>
          <t>JESUS MARIA</t>
        </is>
      </c>
      <c r="AI617" s="116" t="n">
        <v>46027</v>
      </c>
      <c r="AJ617" s="116" t="n">
        <v>46027</v>
      </c>
      <c r="AK617" t="inlineStr">
        <is>
          <t>SEPARACION</t>
        </is>
      </c>
      <c r="AL617" t="n">
        <v>1</v>
      </c>
      <c r="AM617" t="n">
        <v>3000</v>
      </c>
      <c r="AN617" t="n">
        <v>0</v>
      </c>
      <c r="AO617" t="n">
        <v>0</v>
      </c>
      <c r="AP617" s="39" t="n">
        <v>3000</v>
      </c>
      <c r="AQ617" s="39" t="n">
        <v>3000</v>
      </c>
      <c r="AR617" s="39" t="n">
        <v>0</v>
      </c>
      <c r="AS617" t="n">
        <v>0</v>
      </c>
      <c r="AT617" t="inlineStr">
        <is>
          <t>Ahorro</t>
        </is>
      </c>
      <c r="AU617" t="inlineStr">
        <is>
          <t>Scotiabank Perú</t>
        </is>
      </c>
      <c r="AV617" t="inlineStr">
        <is>
          <t>000-2768484</t>
        </is>
      </c>
      <c r="AW617" t="inlineStr">
        <is>
          <t>POS VISA</t>
        </is>
      </c>
      <c r="AY617" t="inlineStr">
        <is>
          <t>0000600519140030</t>
        </is>
      </c>
      <c r="AZ617" t="inlineStr">
        <is>
          <t>No</t>
        </is>
      </c>
      <c r="BA617" t="inlineStr">
        <is>
          <t>AHORROS PERSONALES</t>
        </is>
      </c>
      <c r="BB617" t="n">
        <v>4</v>
      </c>
      <c r="BC617" t="inlineStr">
        <is>
          <t>CANCELADO</t>
        </is>
      </c>
      <c r="BN617" t="inlineStr">
        <is>
          <t>Si</t>
        </is>
      </c>
      <c r="BO617" s="117" t="n">
        <v>46053.58055555556</v>
      </c>
      <c r="BP617" t="inlineStr">
        <is>
          <t>Kenny Salazar S</t>
        </is>
      </c>
      <c r="BR617" t="n">
        <v>46</v>
      </c>
      <c r="BS617" t="inlineStr">
        <is>
          <t>03/06/2026 10:04</t>
        </is>
      </c>
      <c r="BT617" t="n">
        <v>0</v>
      </c>
      <c r="BX617" t="inlineStr">
        <is>
          <t>Cobranzas_2026.csv</t>
        </is>
      </c>
      <c r="BY617" t="n">
        <v>2026</v>
      </c>
      <c r="BZ617" t="inlineStr">
        <is>
          <t>01/01/2024</t>
        </is>
      </c>
      <c r="CA617" t="inlineStr">
        <is>
          <t>30/09/2031</t>
        </is>
      </c>
    </row>
    <row r="618">
      <c r="A618" t="inlineStr">
        <is>
          <t>RESIDENCIAL PRADA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904</t>
        </is>
      </c>
      <c r="G618" s="39" t="n">
        <v>417700</v>
      </c>
      <c r="H618" s="39" t="n">
        <v>417700</v>
      </c>
      <c r="M618" s="39" t="n"/>
      <c r="N618" s="39" t="n"/>
      <c r="S618" s="39" t="n"/>
      <c r="T618" s="39" t="n"/>
      <c r="Y618" s="39" t="n"/>
      <c r="Z618" s="39" t="n"/>
      <c r="AA618" t="inlineStr">
        <is>
          <t xml:space="preserve">Lizet Lopez Paucar </t>
        </is>
      </c>
      <c r="AB618" t="inlineStr">
        <is>
          <t>42459734</t>
        </is>
      </c>
      <c r="AC618" t="inlineStr">
        <is>
          <t>Av. Arnaldo Márquez 1526 Dpto. 34 - Jesús María - Lima</t>
        </is>
      </c>
      <c r="AD618" t="n">
        <v>999889061</v>
      </c>
      <c r="AE618" t="inlineStr">
        <is>
          <t>999889061</t>
        </is>
      </c>
      <c r="AF618" t="inlineStr">
        <is>
          <t>lizetlopezp@gmail.com</t>
        </is>
      </c>
      <c r="AG618" t="inlineStr">
        <is>
          <t>LIMA</t>
        </is>
      </c>
      <c r="AH618" t="inlineStr">
        <is>
          <t>JESUS MARIA</t>
        </is>
      </c>
      <c r="AI618" s="116" t="n">
        <v>46054</v>
      </c>
      <c r="AJ618" s="116" t="n">
        <v>46053</v>
      </c>
      <c r="AK618" t="inlineStr">
        <is>
          <t>CUOTA INICIAL</t>
        </is>
      </c>
      <c r="AL618" t="n">
        <v>1</v>
      </c>
      <c r="AM618" t="n">
        <v>0</v>
      </c>
      <c r="AN618" t="n">
        <v>0</v>
      </c>
      <c r="AO618" t="n">
        <v>0</v>
      </c>
      <c r="AP618" s="39" t="n">
        <v>30000</v>
      </c>
      <c r="AQ618" s="39" t="n">
        <v>29650</v>
      </c>
      <c r="AR618" s="39" t="n">
        <v>0</v>
      </c>
      <c r="AS618" t="n">
        <v>0</v>
      </c>
      <c r="AT618" t="inlineStr">
        <is>
          <t>Ahorro</t>
        </is>
      </c>
      <c r="AU618" t="inlineStr">
        <is>
          <t>Scotiabank Perú</t>
        </is>
      </c>
      <c r="AV618" t="inlineStr">
        <is>
          <t>000-2768484</t>
        </is>
      </c>
      <c r="AW618" t="inlineStr">
        <is>
          <t>TRANSFERENCIA BANCARIA</t>
        </is>
      </c>
      <c r="AY618" t="inlineStr">
        <is>
          <t>02462401</t>
        </is>
      </c>
      <c r="AZ618" t="inlineStr">
        <is>
          <t>No</t>
        </is>
      </c>
      <c r="BB618" t="n">
        <v>4</v>
      </c>
      <c r="BC618" t="inlineStr">
        <is>
          <t>CANCELADO</t>
        </is>
      </c>
      <c r="BN618" t="inlineStr">
        <is>
          <t>Si</t>
        </is>
      </c>
      <c r="BO618" s="117" t="n">
        <v>46053.58055555556</v>
      </c>
      <c r="BP618" t="inlineStr">
        <is>
          <t>Kenny Salazar S</t>
        </is>
      </c>
      <c r="BR618" t="n">
        <v>46</v>
      </c>
      <c r="BS618" t="inlineStr">
        <is>
          <t>07/07/2026 13:49</t>
        </is>
      </c>
      <c r="BT618" t="n">
        <v>0</v>
      </c>
      <c r="BX618" t="inlineStr">
        <is>
          <t>Cobranzas_2026.csv</t>
        </is>
      </c>
      <c r="BY618" t="n">
        <v>2026</v>
      </c>
      <c r="BZ618" t="inlineStr">
        <is>
          <t>01/01/2024</t>
        </is>
      </c>
      <c r="CA618" t="inlineStr">
        <is>
          <t>30/09/2031</t>
        </is>
      </c>
    </row>
    <row r="619">
      <c r="A619" t="inlineStr">
        <is>
          <t>RESIDENCIAL PRADA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904</t>
        </is>
      </c>
      <c r="G619" s="39" t="n">
        <v>417700</v>
      </c>
      <c r="H619" s="39" t="n">
        <v>417700</v>
      </c>
      <c r="M619" s="39" t="n"/>
      <c r="N619" s="39" t="n"/>
      <c r="S619" s="39" t="n"/>
      <c r="T619" s="39" t="n"/>
      <c r="Y619" s="39" t="n"/>
      <c r="Z619" s="39" t="n"/>
      <c r="AA619" t="inlineStr">
        <is>
          <t xml:space="preserve">Lizet Lopez Paucar </t>
        </is>
      </c>
      <c r="AB619" t="inlineStr">
        <is>
          <t>42459734</t>
        </is>
      </c>
      <c r="AC619" t="inlineStr">
        <is>
          <t>Av. Arnaldo Márquez 1526 Dpto. 34 - Jesús María - Lima</t>
        </is>
      </c>
      <c r="AD619" t="n">
        <v>999889061</v>
      </c>
      <c r="AE619" t="inlineStr">
        <is>
          <t>999889061</t>
        </is>
      </c>
      <c r="AF619" t="inlineStr">
        <is>
          <t>lizetlopezp@gmail.com</t>
        </is>
      </c>
      <c r="AG619" t="inlineStr">
        <is>
          <t>LIMA</t>
        </is>
      </c>
      <c r="AH619" t="inlineStr">
        <is>
          <t>JESUS MARIA</t>
        </is>
      </c>
      <c r="AI619" s="116" t="n">
        <v>46054</v>
      </c>
      <c r="AJ619" s="116" t="n">
        <v>46054</v>
      </c>
      <c r="AK619" t="inlineStr">
        <is>
          <t>CUOTA INICIAL</t>
        </is>
      </c>
      <c r="AL619" t="n">
        <v>1</v>
      </c>
      <c r="AM619" t="n">
        <v>30000</v>
      </c>
      <c r="AN619" t="n">
        <v>0</v>
      </c>
      <c r="AO619" t="n">
        <v>0</v>
      </c>
      <c r="AP619" s="39" t="n">
        <v>0</v>
      </c>
      <c r="AQ619" s="39" t="n">
        <v>350</v>
      </c>
      <c r="AR619" s="39" t="n">
        <v>0</v>
      </c>
      <c r="AS619" t="n">
        <v>0</v>
      </c>
      <c r="AT619" t="inlineStr">
        <is>
          <t>Ahorro</t>
        </is>
      </c>
      <c r="AU619" t="inlineStr">
        <is>
          <t>Scotiabank Perú</t>
        </is>
      </c>
      <c r="AV619" t="inlineStr">
        <is>
          <t>000-2768484</t>
        </is>
      </c>
      <c r="AW619" t="inlineStr">
        <is>
          <t>TRANSFERENCIA BANCARIA</t>
        </is>
      </c>
      <c r="AY619" t="inlineStr">
        <is>
          <t>02011578</t>
        </is>
      </c>
      <c r="AZ619" t="inlineStr">
        <is>
          <t>No</t>
        </is>
      </c>
      <c r="BB619" t="n">
        <v>4</v>
      </c>
      <c r="BC619" t="inlineStr">
        <is>
          <t>CANCELADO</t>
        </is>
      </c>
      <c r="BN619" t="inlineStr">
        <is>
          <t>Si</t>
        </is>
      </c>
      <c r="BO619" s="117" t="n">
        <v>46053.58055555556</v>
      </c>
      <c r="BP619" t="inlineStr">
        <is>
          <t>Kenny Salazar S</t>
        </is>
      </c>
      <c r="BR619" t="n">
        <v>46</v>
      </c>
      <c r="BS619" t="inlineStr">
        <is>
          <t>07/07/2026 13:50</t>
        </is>
      </c>
      <c r="BT619" t="n">
        <v>0</v>
      </c>
      <c r="BX619" t="inlineStr">
        <is>
          <t>Cobranzas_2026.csv</t>
        </is>
      </c>
      <c r="BY619" t="n">
        <v>2026</v>
      </c>
      <c r="BZ619" t="inlineStr">
        <is>
          <t>01/01/2024</t>
        </is>
      </c>
      <c r="CA619" t="inlineStr">
        <is>
          <t>30/09/2031</t>
        </is>
      </c>
    </row>
    <row r="620">
      <c r="A620" t="inlineStr">
        <is>
          <t>RESIDENCIAL PRADA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904</t>
        </is>
      </c>
      <c r="G620" s="39" t="n">
        <v>417700</v>
      </c>
      <c r="H620" s="39" t="n">
        <v>417700</v>
      </c>
      <c r="M620" s="39" t="n"/>
      <c r="N620" s="39" t="n"/>
      <c r="S620" s="39" t="n"/>
      <c r="T620" s="39" t="n"/>
      <c r="Y620" s="39" t="n"/>
      <c r="Z620" s="39" t="n"/>
      <c r="AA620" t="inlineStr">
        <is>
          <t xml:space="preserve">Lizet Lopez Paucar </t>
        </is>
      </c>
      <c r="AB620" t="inlineStr">
        <is>
          <t>42459734</t>
        </is>
      </c>
      <c r="AC620" t="inlineStr">
        <is>
          <t>Av. Arnaldo Márquez 1526 Dpto. 34 - Jesús María - Lima</t>
        </is>
      </c>
      <c r="AD620" t="n">
        <v>999889061</v>
      </c>
      <c r="AE620" t="inlineStr">
        <is>
          <t>999889061</t>
        </is>
      </c>
      <c r="AF620" t="inlineStr">
        <is>
          <t>lizetlopezp@gmail.com</t>
        </is>
      </c>
      <c r="AG620" t="inlineStr">
        <is>
          <t>LIMA</t>
        </is>
      </c>
      <c r="AH620" t="inlineStr">
        <is>
          <t>JESUS MARIA</t>
        </is>
      </c>
      <c r="AI620" s="116" t="n">
        <v>46157</v>
      </c>
      <c r="AJ620" s="116" t="n">
        <v>46185</v>
      </c>
      <c r="AK620" t="inlineStr">
        <is>
          <t>CUOTA INICIAL</t>
        </is>
      </c>
      <c r="AL620" t="n">
        <v>2</v>
      </c>
      <c r="AM620" t="n">
        <v>0</v>
      </c>
      <c r="AN620" t="n">
        <v>0</v>
      </c>
      <c r="AO620" t="n">
        <v>0</v>
      </c>
      <c r="AP620" s="39" t="n">
        <v>20700</v>
      </c>
      <c r="AQ620" s="39" t="n">
        <v>17498.37</v>
      </c>
      <c r="AR620" s="39" t="n">
        <v>0</v>
      </c>
      <c r="AS620" t="n">
        <v>0</v>
      </c>
      <c r="AT620" t="inlineStr">
        <is>
          <t>Ahorro</t>
        </is>
      </c>
      <c r="AU620" t="inlineStr">
        <is>
          <t>Scotiabank Perú</t>
        </is>
      </c>
      <c r="AV620" t="inlineStr">
        <is>
          <t>000-2768484</t>
        </is>
      </c>
      <c r="AW620" t="inlineStr">
        <is>
          <t>TRANSFERENCIA BANCARIA</t>
        </is>
      </c>
      <c r="AY620" t="inlineStr">
        <is>
          <t>7844655529167</t>
        </is>
      </c>
      <c r="AZ620" t="inlineStr">
        <is>
          <t>No</t>
        </is>
      </c>
      <c r="BB620" t="n">
        <v>4</v>
      </c>
      <c r="BC620" t="inlineStr">
        <is>
          <t>CANCELADO</t>
        </is>
      </c>
      <c r="BN620" t="inlineStr">
        <is>
          <t>Si</t>
        </is>
      </c>
      <c r="BO620" s="117" t="n">
        <v>46053.58055555556</v>
      </c>
      <c r="BP620" t="inlineStr">
        <is>
          <t>Kenny Salazar S</t>
        </is>
      </c>
      <c r="BR620" t="n">
        <v>46</v>
      </c>
      <c r="BS620" t="inlineStr">
        <is>
          <t>07/07/2026 13:54</t>
        </is>
      </c>
      <c r="BT620" t="n">
        <v>0</v>
      </c>
      <c r="BX620" t="inlineStr">
        <is>
          <t>Cobranzas_2026.csv</t>
        </is>
      </c>
      <c r="BY620" t="n">
        <v>2026</v>
      </c>
      <c r="BZ620" t="inlineStr">
        <is>
          <t>01/01/2024</t>
        </is>
      </c>
      <c r="CA620" t="inlineStr">
        <is>
          <t>30/09/2031</t>
        </is>
      </c>
    </row>
    <row r="621">
      <c r="A621" t="inlineStr">
        <is>
          <t>RESIDENCIAL PRADA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904</t>
        </is>
      </c>
      <c r="G621" s="39" t="n">
        <v>417700</v>
      </c>
      <c r="H621" s="39" t="n">
        <v>417700</v>
      </c>
      <c r="M621" s="39" t="n"/>
      <c r="N621" s="39" t="n"/>
      <c r="S621" s="39" t="n"/>
      <c r="T621" s="39" t="n"/>
      <c r="Y621" s="39" t="n"/>
      <c r="Z621" s="39" t="n"/>
      <c r="AA621" t="inlineStr">
        <is>
          <t xml:space="preserve">Lizet Lopez Paucar </t>
        </is>
      </c>
      <c r="AB621" t="inlineStr">
        <is>
          <t>42459734</t>
        </is>
      </c>
      <c r="AC621" t="inlineStr">
        <is>
          <t>Av. Arnaldo Márquez 1526 Dpto. 34 - Jesús María - Lima</t>
        </is>
      </c>
      <c r="AD621" t="n">
        <v>999889061</v>
      </c>
      <c r="AE621" t="inlineStr">
        <is>
          <t>999889061</t>
        </is>
      </c>
      <c r="AF621" t="inlineStr">
        <is>
          <t>lizetlopezp@gmail.com</t>
        </is>
      </c>
      <c r="AG621" t="inlineStr">
        <is>
          <t>LIMA</t>
        </is>
      </c>
      <c r="AH621" t="inlineStr">
        <is>
          <t>JESUS MARIA</t>
        </is>
      </c>
      <c r="AI621" s="116" t="n">
        <v>46157</v>
      </c>
      <c r="AJ621" s="116" t="n">
        <v>46186</v>
      </c>
      <c r="AK621" t="inlineStr">
        <is>
          <t>CUOTA INICIAL</t>
        </is>
      </c>
      <c r="AL621" t="n">
        <v>2</v>
      </c>
      <c r="AM621" t="n">
        <v>20700</v>
      </c>
      <c r="AN621" t="n">
        <v>0</v>
      </c>
      <c r="AO621" t="n">
        <v>0</v>
      </c>
      <c r="AP621" s="39" t="n">
        <v>0</v>
      </c>
      <c r="AQ621" s="39" t="n">
        <v>3201.63</v>
      </c>
      <c r="AR621" s="39" t="n">
        <v>0</v>
      </c>
      <c r="AS621" t="n">
        <v>0</v>
      </c>
      <c r="AT621" t="inlineStr">
        <is>
          <t>Ahorro</t>
        </is>
      </c>
      <c r="AU621" t="inlineStr">
        <is>
          <t>Scotiabank Perú</t>
        </is>
      </c>
      <c r="AV621" t="inlineStr">
        <is>
          <t>000-2768484</t>
        </is>
      </c>
      <c r="AW621" t="inlineStr">
        <is>
          <t>TRANSFERENCIA BANCARIA</t>
        </is>
      </c>
      <c r="AY621" t="inlineStr">
        <is>
          <t>7844655513571</t>
        </is>
      </c>
      <c r="AZ621" t="inlineStr">
        <is>
          <t>No</t>
        </is>
      </c>
      <c r="BB621" t="n">
        <v>4</v>
      </c>
      <c r="BC621" t="inlineStr">
        <is>
          <t>CANCELADO</t>
        </is>
      </c>
      <c r="BN621" t="inlineStr">
        <is>
          <t>Si</t>
        </is>
      </c>
      <c r="BO621" s="117" t="n">
        <v>46053.58055555556</v>
      </c>
      <c r="BP621" t="inlineStr">
        <is>
          <t>Kenny Salazar S</t>
        </is>
      </c>
      <c r="BR621" t="n">
        <v>46</v>
      </c>
      <c r="BS621" t="inlineStr">
        <is>
          <t>07/07/2026 13:56</t>
        </is>
      </c>
      <c r="BT621" t="n">
        <v>0</v>
      </c>
      <c r="BX621" t="inlineStr">
        <is>
          <t>Cobranzas_2026.csv</t>
        </is>
      </c>
      <c r="BY621" t="n">
        <v>2026</v>
      </c>
      <c r="BZ621" t="inlineStr">
        <is>
          <t>01/01/2024</t>
        </is>
      </c>
      <c r="CA621" t="inlineStr">
        <is>
          <t>30/09/2031</t>
        </is>
      </c>
    </row>
    <row r="622">
      <c r="A622" t="inlineStr">
        <is>
          <t>RESIDENCIAL PRADA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904</t>
        </is>
      </c>
      <c r="G622" s="39" t="n">
        <v>417700</v>
      </c>
      <c r="H622" s="39" t="n">
        <v>417700</v>
      </c>
      <c r="M622" s="39" t="n"/>
      <c r="N622" s="39" t="n"/>
      <c r="S622" s="39" t="n"/>
      <c r="T622" s="39" t="n"/>
      <c r="Y622" s="39" t="n"/>
      <c r="Z622" s="39" t="n"/>
      <c r="AA622" t="inlineStr">
        <is>
          <t xml:space="preserve">Lizet Lopez Paucar </t>
        </is>
      </c>
      <c r="AB622" t="inlineStr">
        <is>
          <t>42459734</t>
        </is>
      </c>
      <c r="AC622" t="inlineStr">
        <is>
          <t>Av. Arnaldo Márquez 1526 Dpto. 34 - Jesús María - Lima</t>
        </is>
      </c>
      <c r="AD622" t="n">
        <v>999889061</v>
      </c>
      <c r="AE622" t="inlineStr">
        <is>
          <t>999889061</t>
        </is>
      </c>
      <c r="AF622" t="inlineStr">
        <is>
          <t>lizetlopezp@gmail.com</t>
        </is>
      </c>
      <c r="AG622" t="inlineStr">
        <is>
          <t>LIMA</t>
        </is>
      </c>
      <c r="AH622" t="inlineStr">
        <is>
          <t>JESUS MARIA</t>
        </is>
      </c>
      <c r="AI622" s="116" t="n">
        <v>46172</v>
      </c>
      <c r="AJ622" s="116" t="n">
        <v>46186</v>
      </c>
      <c r="AK622" t="inlineStr">
        <is>
          <t>CUOTA INICIAL</t>
        </is>
      </c>
      <c r="AL622" t="n">
        <v>3</v>
      </c>
      <c r="AM622" t="n">
        <v>14000</v>
      </c>
      <c r="AN622" t="n">
        <v>0</v>
      </c>
      <c r="AO622" t="n">
        <v>0</v>
      </c>
      <c r="AP622" s="39" t="n">
        <v>14000</v>
      </c>
      <c r="AQ622" s="39" t="n">
        <v>14000</v>
      </c>
      <c r="AR622" s="39" t="n">
        <v>0</v>
      </c>
      <c r="AS622" t="n">
        <v>0</v>
      </c>
      <c r="AT622" t="inlineStr">
        <is>
          <t>Ahorro</t>
        </is>
      </c>
      <c r="AU622" t="inlineStr">
        <is>
          <t>Scotiabank Perú</t>
        </is>
      </c>
      <c r="AV622" t="inlineStr">
        <is>
          <t>000-2768484</t>
        </is>
      </c>
      <c r="AW622" t="inlineStr">
        <is>
          <t>TRANSFERENCIA BANCARIA</t>
        </is>
      </c>
      <c r="AY622" t="inlineStr">
        <is>
          <t>7844655513571</t>
        </is>
      </c>
      <c r="AZ622" t="inlineStr">
        <is>
          <t>No</t>
        </is>
      </c>
      <c r="BB622" t="n">
        <v>4</v>
      </c>
      <c r="BC622" t="inlineStr">
        <is>
          <t>CANCELADO</t>
        </is>
      </c>
      <c r="BN622" t="inlineStr">
        <is>
          <t>Si</t>
        </is>
      </c>
      <c r="BO622" s="117" t="n">
        <v>46053.58055555556</v>
      </c>
      <c r="BP622" t="inlineStr">
        <is>
          <t>Kenny Salazar S</t>
        </is>
      </c>
      <c r="BR622" t="n">
        <v>46</v>
      </c>
      <c r="BS622" t="inlineStr">
        <is>
          <t>07/07/2026 13:56</t>
        </is>
      </c>
      <c r="BT622" t="n">
        <v>0</v>
      </c>
      <c r="BX622" t="inlineStr">
        <is>
          <t>Cobranzas_2026.csv</t>
        </is>
      </c>
      <c r="BY622" t="n">
        <v>2026</v>
      </c>
      <c r="BZ622" t="inlineStr">
        <is>
          <t>01/01/2024</t>
        </is>
      </c>
      <c r="CA622" t="inlineStr">
        <is>
          <t>30/09/2031</t>
        </is>
      </c>
    </row>
    <row r="623">
      <c r="A623" t="inlineStr">
        <is>
          <t>RESIDENCIAL PRADA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904</t>
        </is>
      </c>
      <c r="G623" s="39" t="n">
        <v>417700</v>
      </c>
      <c r="H623" s="39" t="n">
        <v>417700</v>
      </c>
      <c r="M623" s="39" t="n"/>
      <c r="N623" s="39" t="n"/>
      <c r="S623" s="39" t="n"/>
      <c r="T623" s="39" t="n"/>
      <c r="Y623" s="39" t="n"/>
      <c r="Z623" s="39" t="n"/>
      <c r="AA623" t="inlineStr">
        <is>
          <t xml:space="preserve">Lizet Lopez Paucar </t>
        </is>
      </c>
      <c r="AB623" t="inlineStr">
        <is>
          <t>42459734</t>
        </is>
      </c>
      <c r="AC623" t="inlineStr">
        <is>
          <t>Av. Arnaldo Márquez 1526 Dpto. 34 - Jesús María - Lima</t>
        </is>
      </c>
      <c r="AD623" t="n">
        <v>999889061</v>
      </c>
      <c r="AE623" t="inlineStr">
        <is>
          <t>999889061</t>
        </is>
      </c>
      <c r="AF623" t="inlineStr">
        <is>
          <t>lizetlopezp@gmail.com</t>
        </is>
      </c>
      <c r="AG623" t="inlineStr">
        <is>
          <t>LIMA</t>
        </is>
      </c>
      <c r="AH623" t="inlineStr">
        <is>
          <t>JESUS MARIA</t>
        </is>
      </c>
      <c r="AI623" s="116" t="n">
        <v>46203</v>
      </c>
      <c r="AJ623" s="116" t="n">
        <v>46247</v>
      </c>
      <c r="AK623" t="inlineStr">
        <is>
          <t>SALDO FINANCIAR</t>
        </is>
      </c>
      <c r="AL623" t="n">
        <v>1</v>
      </c>
      <c r="AM623" t="n">
        <v>350000</v>
      </c>
      <c r="AN623" t="n">
        <v>0</v>
      </c>
      <c r="AO623" t="n">
        <v>0</v>
      </c>
      <c r="AP623" s="39" t="n">
        <v>350000</v>
      </c>
      <c r="AQ623" s="39" t="n">
        <v>350000</v>
      </c>
      <c r="AR623" s="39" t="n">
        <v>0</v>
      </c>
      <c r="AS623" t="n">
        <v>0</v>
      </c>
      <c r="AT623" t="inlineStr">
        <is>
          <t>Ahorro</t>
        </is>
      </c>
      <c r="AU623" t="inlineStr">
        <is>
          <t>Scotiabank Perú</t>
        </is>
      </c>
      <c r="AV623" t="inlineStr">
        <is>
          <t>000-2768484</t>
        </is>
      </c>
      <c r="AW623" t="inlineStr">
        <is>
          <t>TRANSFERENCIA BANCARIA</t>
        </is>
      </c>
      <c r="AY623" t="inlineStr">
        <is>
          <t>EB01-293</t>
        </is>
      </c>
      <c r="AZ623" t="inlineStr">
        <is>
          <t>No</t>
        </is>
      </c>
      <c r="BB623" t="n">
        <v>4</v>
      </c>
      <c r="BC623" t="inlineStr">
        <is>
          <t>CANCELADO</t>
        </is>
      </c>
      <c r="BN623" t="inlineStr">
        <is>
          <t>Si</t>
        </is>
      </c>
      <c r="BO623" s="117" t="n">
        <v>46053.58055555556</v>
      </c>
      <c r="BP623" t="inlineStr">
        <is>
          <t>Kenny Salazar S</t>
        </is>
      </c>
      <c r="BR623" t="n">
        <v>46</v>
      </c>
      <c r="BS623" t="inlineStr">
        <is>
          <t>18/08/2026 11:54</t>
        </is>
      </c>
      <c r="BT623" t="n">
        <v>0</v>
      </c>
      <c r="BX623" t="inlineStr">
        <is>
          <t>Cobranzas_2026.csv</t>
        </is>
      </c>
      <c r="BY623" t="n">
        <v>2026</v>
      </c>
      <c r="BZ623" t="inlineStr">
        <is>
          <t>01/01/2024</t>
        </is>
      </c>
      <c r="CA623" t="inlineStr">
        <is>
          <t>30/09/2031</t>
        </is>
      </c>
    </row>
    <row r="624">
      <c r="A624" t="inlineStr">
        <is>
          <t>RESIDENCIAL PRADA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Estacionamiento</t>
        </is>
      </c>
      <c r="F624" t="inlineStr">
        <is>
          <t>E 22</t>
        </is>
      </c>
      <c r="G624" s="39" t="n">
        <v>47500</v>
      </c>
      <c r="H624" s="39" t="n">
        <v>47500</v>
      </c>
      <c r="M624" s="39" t="n"/>
      <c r="N624" s="39" t="n"/>
      <c r="S624" s="39" t="n"/>
      <c r="T624" s="39" t="n"/>
      <c r="Y624" s="39" t="n"/>
      <c r="Z624" s="39" t="n"/>
      <c r="AA624" t="inlineStr">
        <is>
          <t>Lizet Lopez Paucar</t>
        </is>
      </c>
      <c r="AB624" t="inlineStr">
        <is>
          <t>42459734</t>
        </is>
      </c>
      <c r="AC624" t="inlineStr">
        <is>
          <t>Av. Arnaldo Márquez 1526 Dpto. 34 - Jesús María - Lima</t>
        </is>
      </c>
      <c r="AD624" t="n">
        <v>999889061</v>
      </c>
      <c r="AE624" t="inlineStr">
        <is>
          <t>999889061</t>
        </is>
      </c>
      <c r="AF624" t="inlineStr">
        <is>
          <t>lizetlopezp@gmail.com</t>
        </is>
      </c>
      <c r="AG624" t="inlineStr">
        <is>
          <t>LIMA</t>
        </is>
      </c>
      <c r="AH624" t="inlineStr">
        <is>
          <t>JESUS MARIA</t>
        </is>
      </c>
      <c r="AI624" s="116" t="n">
        <v>46197</v>
      </c>
      <c r="AJ624" s="116" t="n">
        <v>46197</v>
      </c>
      <c r="AK624" t="inlineStr">
        <is>
          <t>SEPARACION</t>
        </is>
      </c>
      <c r="AL624" t="n">
        <v>1</v>
      </c>
      <c r="AM624" t="n">
        <v>3000</v>
      </c>
      <c r="AN624" t="n">
        <v>0</v>
      </c>
      <c r="AO624" t="n">
        <v>0</v>
      </c>
      <c r="AP624" s="39" t="n">
        <v>3000</v>
      </c>
      <c r="AQ624" s="39" t="n">
        <v>3000</v>
      </c>
      <c r="AR624" s="39" t="n">
        <v>0</v>
      </c>
      <c r="AS624" t="n">
        <v>0</v>
      </c>
      <c r="AT624" t="inlineStr">
        <is>
          <t>Crédito Directo</t>
        </is>
      </c>
      <c r="AU624" t="inlineStr">
        <is>
          <t>Scotiabank Perú</t>
        </is>
      </c>
      <c r="AV624" t="inlineStr">
        <is>
          <t>000-2768484</t>
        </is>
      </c>
      <c r="AW624" t="inlineStr">
        <is>
          <t>POS VISA</t>
        </is>
      </c>
      <c r="AY624" t="inlineStr">
        <is>
          <t>041086</t>
        </is>
      </c>
      <c r="AZ624" t="inlineStr">
        <is>
          <t>No</t>
        </is>
      </c>
      <c r="BB624" t="n">
        <v>4</v>
      </c>
      <c r="BC624" t="inlineStr">
        <is>
          <t>CANCELADO</t>
        </is>
      </c>
      <c r="BN624" t="inlineStr">
        <is>
          <t>Si</t>
        </is>
      </c>
      <c r="BO624" s="117" t="n">
        <v>46197.62847222222</v>
      </c>
      <c r="BP624" t="inlineStr">
        <is>
          <t>Magaly Guevara Perez</t>
        </is>
      </c>
      <c r="BR624" t="n">
        <v>70</v>
      </c>
      <c r="BS624" t="inlineStr">
        <is>
          <t>08/07/2026 15:05</t>
        </is>
      </c>
      <c r="BT624" t="n">
        <v>0</v>
      </c>
      <c r="BX624" t="inlineStr">
        <is>
          <t>Cobranzas_2026.csv</t>
        </is>
      </c>
      <c r="BY624" t="n">
        <v>2026</v>
      </c>
      <c r="BZ624" t="inlineStr">
        <is>
          <t>01/01/2024</t>
        </is>
      </c>
      <c r="CA624" t="inlineStr">
        <is>
          <t>30/09/2031</t>
        </is>
      </c>
    </row>
    <row r="625">
      <c r="A625" t="inlineStr">
        <is>
          <t>RESIDENCIAL PRADA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Estacionamiento</t>
        </is>
      </c>
      <c r="F625" t="inlineStr">
        <is>
          <t>E 22</t>
        </is>
      </c>
      <c r="G625" s="39" t="n">
        <v>47500</v>
      </c>
      <c r="H625" s="39" t="n">
        <v>47500</v>
      </c>
      <c r="M625" s="39" t="n"/>
      <c r="N625" s="39" t="n"/>
      <c r="S625" s="39" t="n"/>
      <c r="T625" s="39" t="n"/>
      <c r="Y625" s="39" t="n"/>
      <c r="Z625" s="39" t="n"/>
      <c r="AA625" t="inlineStr">
        <is>
          <t>Lizet Lopez Paucar</t>
        </is>
      </c>
      <c r="AB625" t="inlineStr">
        <is>
          <t>42459734</t>
        </is>
      </c>
      <c r="AC625" t="inlineStr">
        <is>
          <t>Av. Arnaldo Márquez 1526 Dpto. 34 - Jesús María - Lima</t>
        </is>
      </c>
      <c r="AD625" t="n">
        <v>999889061</v>
      </c>
      <c r="AE625" t="inlineStr">
        <is>
          <t>999889061</t>
        </is>
      </c>
      <c r="AF625" t="inlineStr">
        <is>
          <t>lizetlopezp@gmail.com</t>
        </is>
      </c>
      <c r="AG625" t="inlineStr">
        <is>
          <t>LIMA</t>
        </is>
      </c>
      <c r="AH625" t="inlineStr">
        <is>
          <t>JESUS MARIA</t>
        </is>
      </c>
      <c r="AI625" s="116" t="n">
        <v>46249</v>
      </c>
      <c r="AJ625" s="116" t="n"/>
      <c r="AK625" t="inlineStr">
        <is>
          <t>CUOTA INICIAL</t>
        </is>
      </c>
      <c r="AL625" t="n">
        <v>1</v>
      </c>
      <c r="AM625" t="n">
        <v>20750</v>
      </c>
      <c r="AN625" t="n">
        <v>0</v>
      </c>
      <c r="AO625" t="n">
        <v>0</v>
      </c>
      <c r="AP625" s="39" t="n">
        <v>20750</v>
      </c>
      <c r="AQ625" s="39" t="n">
        <v>0</v>
      </c>
      <c r="AR625" s="39" t="n">
        <v>20750</v>
      </c>
      <c r="AT625" t="inlineStr">
        <is>
          <t>Crédito Directo</t>
        </is>
      </c>
      <c r="AZ625" t="inlineStr">
        <is>
          <t>No</t>
        </is>
      </c>
      <c r="BC625" t="inlineStr">
        <is>
          <t>VENCIDO</t>
        </is>
      </c>
      <c r="BN625" t="inlineStr">
        <is>
          <t>No</t>
        </is>
      </c>
      <c r="BO625" s="117" t="n">
        <v>46197.62847222222</v>
      </c>
      <c r="BP625" t="inlineStr">
        <is>
          <t>Magaly Guevara Perez</t>
        </is>
      </c>
      <c r="BR625" t="n">
        <v>70</v>
      </c>
      <c r="BT625" t="n">
        <v>0</v>
      </c>
      <c r="BX625" t="inlineStr">
        <is>
          <t>Cobranzas_2026.csv</t>
        </is>
      </c>
      <c r="BY625" t="n">
        <v>2026</v>
      </c>
      <c r="BZ625" t="inlineStr">
        <is>
          <t>01/01/2024</t>
        </is>
      </c>
      <c r="CA625" t="inlineStr">
        <is>
          <t>30/09/2031</t>
        </is>
      </c>
    </row>
    <row r="626">
      <c r="A626" t="inlineStr">
        <is>
          <t>RESIDENCIAL PRADA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Estacionamiento</t>
        </is>
      </c>
      <c r="F626" t="inlineStr">
        <is>
          <t>E 22</t>
        </is>
      </c>
      <c r="G626" s="39" t="n">
        <v>47500</v>
      </c>
      <c r="H626" s="39" t="n">
        <v>47500</v>
      </c>
      <c r="M626" s="39" t="n"/>
      <c r="N626" s="39" t="n"/>
      <c r="S626" s="39" t="n"/>
      <c r="T626" s="39" t="n"/>
      <c r="Y626" s="39" t="n"/>
      <c r="Z626" s="39" t="n"/>
      <c r="AA626" t="inlineStr">
        <is>
          <t>Lizet Lopez Paucar</t>
        </is>
      </c>
      <c r="AB626" t="inlineStr">
        <is>
          <t>42459734</t>
        </is>
      </c>
      <c r="AC626" t="inlineStr">
        <is>
          <t>Av. Arnaldo Márquez 1526 Dpto. 34 - Jesús María - Lima</t>
        </is>
      </c>
      <c r="AD626" t="n">
        <v>999889061</v>
      </c>
      <c r="AE626" t="inlineStr">
        <is>
          <t>999889061</t>
        </is>
      </c>
      <c r="AF626" t="inlineStr">
        <is>
          <t>lizetlopezp@gmail.com</t>
        </is>
      </c>
      <c r="AG626" t="inlineStr">
        <is>
          <t>LIMA</t>
        </is>
      </c>
      <c r="AH626" t="inlineStr">
        <is>
          <t>JESUS MARIA</t>
        </is>
      </c>
      <c r="AI626" s="116" t="n">
        <v>46264</v>
      </c>
      <c r="AJ626" s="116" t="n"/>
      <c r="AK626" t="inlineStr">
        <is>
          <t>SALDO FINANCIAR</t>
        </is>
      </c>
      <c r="AL626" t="n">
        <v>1</v>
      </c>
      <c r="AM626" t="n">
        <v>23750</v>
      </c>
      <c r="AN626" t="n">
        <v>0</v>
      </c>
      <c r="AO626" t="n">
        <v>0</v>
      </c>
      <c r="AP626" s="39" t="n">
        <v>23750</v>
      </c>
      <c r="AQ626" s="39" t="n">
        <v>0</v>
      </c>
      <c r="AR626" s="39" t="n">
        <v>23750</v>
      </c>
      <c r="AT626" t="inlineStr">
        <is>
          <t>Crédito Directo</t>
        </is>
      </c>
      <c r="AZ626" t="inlineStr">
        <is>
          <t>No</t>
        </is>
      </c>
      <c r="BC626" t="inlineStr">
        <is>
          <t>VENCIDO</t>
        </is>
      </c>
      <c r="BN626" t="inlineStr">
        <is>
          <t>No</t>
        </is>
      </c>
      <c r="BO626" s="117" t="n">
        <v>46197.62847222222</v>
      </c>
      <c r="BP626" t="inlineStr">
        <is>
          <t>Magaly Guevara Perez</t>
        </is>
      </c>
      <c r="BR626" t="n">
        <v>70</v>
      </c>
      <c r="BT626" t="n">
        <v>0</v>
      </c>
      <c r="BX626" t="inlineStr">
        <is>
          <t>Cobranzas_2026.csv</t>
        </is>
      </c>
      <c r="BY626" t="n">
        <v>2026</v>
      </c>
      <c r="BZ626" t="inlineStr">
        <is>
          <t>01/01/2024</t>
        </is>
      </c>
      <c r="CA626" t="inlineStr">
        <is>
          <t>30/09/2031</t>
        </is>
      </c>
    </row>
    <row r="627">
      <c r="A627" t="inlineStr">
        <is>
          <t>RESIDENCIAL PRADA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Estacionamiento</t>
        </is>
      </c>
      <c r="F627" t="inlineStr">
        <is>
          <t>E 37 - D 28</t>
        </is>
      </c>
      <c r="G627" s="39" t="n">
        <v>52000</v>
      </c>
      <c r="H627" s="39" t="n">
        <v>52000</v>
      </c>
      <c r="M627" s="39" t="n"/>
      <c r="N627" s="39" t="n"/>
      <c r="S627" s="39" t="n"/>
      <c r="T627" s="39" t="n"/>
      <c r="Y627" s="39" t="n"/>
      <c r="Z627" s="39" t="n"/>
      <c r="AA627" t="inlineStr">
        <is>
          <t>Luis Alberto Ovalle Huamanguilla</t>
        </is>
      </c>
      <c r="AB627" t="inlineStr">
        <is>
          <t>43953371</t>
        </is>
      </c>
      <c r="AC627" t="inlineStr">
        <is>
          <t>JR. NAPO NRO. 821</t>
        </is>
      </c>
      <c r="AD627" t="n">
        <v>0</v>
      </c>
      <c r="AE627" t="inlineStr">
        <is>
          <t>992764943</t>
        </is>
      </c>
      <c r="AF627" t="inlineStr">
        <is>
          <t>aovalle2212@gmail.com</t>
        </is>
      </c>
      <c r="AG627" t="inlineStr">
        <is>
          <t>LIMA</t>
        </is>
      </c>
      <c r="AH627" t="inlineStr">
        <is>
          <t>BREÑA</t>
        </is>
      </c>
      <c r="AI627" s="116" t="n">
        <v>46112</v>
      </c>
      <c r="AJ627" s="116" t="n">
        <v>46112</v>
      </c>
      <c r="AK627" t="inlineStr">
        <is>
          <t>CUOTA INICIAL</t>
        </is>
      </c>
      <c r="AL627" t="n">
        <v>1</v>
      </c>
      <c r="AM627" t="n">
        <v>12000</v>
      </c>
      <c r="AN627" t="n">
        <v>0</v>
      </c>
      <c r="AO627" t="n">
        <v>0</v>
      </c>
      <c r="AP627" s="39" t="n">
        <v>12000</v>
      </c>
      <c r="AQ627" s="39" t="n">
        <v>12000</v>
      </c>
      <c r="AR627" s="39" t="n">
        <v>0</v>
      </c>
      <c r="AS627" t="n">
        <v>0</v>
      </c>
      <c r="AT627" t="inlineStr">
        <is>
          <t>Crédito Directo</t>
        </is>
      </c>
      <c r="AU627" t="inlineStr">
        <is>
          <t>Scotiabank Perú</t>
        </is>
      </c>
      <c r="AV627" t="inlineStr">
        <is>
          <t>000-2768484</t>
        </is>
      </c>
      <c r="AW627" t="inlineStr">
        <is>
          <t>TRANSFERENCIA BANCARIA</t>
        </is>
      </c>
      <c r="AY627" t="inlineStr">
        <is>
          <t>000074230000007425</t>
        </is>
      </c>
      <c r="AZ627" t="inlineStr">
        <is>
          <t>No</t>
        </is>
      </c>
      <c r="BB627" t="n">
        <v>4</v>
      </c>
      <c r="BC627" t="inlineStr">
        <is>
          <t>CANCELADO</t>
        </is>
      </c>
      <c r="BN627" t="inlineStr">
        <is>
          <t>Si</t>
        </is>
      </c>
      <c r="BO627" s="117" t="n">
        <v>46112.72361111111</v>
      </c>
      <c r="BP627" t="inlineStr">
        <is>
          <t>Magaly Guevara Perez</t>
        </is>
      </c>
      <c r="BR627" t="n">
        <v>60</v>
      </c>
      <c r="BS627" t="inlineStr">
        <is>
          <t>07/07/2026 11:20</t>
        </is>
      </c>
      <c r="BT627" t="n">
        <v>0</v>
      </c>
      <c r="BX627" t="inlineStr">
        <is>
          <t>Cobranzas_2026.csv</t>
        </is>
      </c>
      <c r="BY627" t="n">
        <v>2026</v>
      </c>
      <c r="BZ627" t="inlineStr">
        <is>
          <t>01/01/2024</t>
        </is>
      </c>
      <c r="CA627" t="inlineStr">
        <is>
          <t>30/09/2031</t>
        </is>
      </c>
    </row>
    <row r="628">
      <c r="A628" t="inlineStr">
        <is>
          <t>RESIDENCIAL PRADA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Estacionamiento</t>
        </is>
      </c>
      <c r="F628" t="inlineStr">
        <is>
          <t>E 37 - D 28</t>
        </is>
      </c>
      <c r="G628" s="39" t="n">
        <v>52000</v>
      </c>
      <c r="H628" s="39" t="n">
        <v>52000</v>
      </c>
      <c r="M628" s="39" t="n"/>
      <c r="N628" s="39" t="n"/>
      <c r="S628" s="39" t="n"/>
      <c r="T628" s="39" t="n"/>
      <c r="Y628" s="39" t="n"/>
      <c r="Z628" s="39" t="n"/>
      <c r="AA628" t="inlineStr">
        <is>
          <t>Luis Alberto Ovalle Huamanguilla</t>
        </is>
      </c>
      <c r="AB628" t="inlineStr">
        <is>
          <t>43953371</t>
        </is>
      </c>
      <c r="AC628" t="inlineStr">
        <is>
          <t>JR. NAPO NRO. 821</t>
        </is>
      </c>
      <c r="AD628" t="n">
        <v>0</v>
      </c>
      <c r="AE628" t="inlineStr">
        <is>
          <t>992764943</t>
        </is>
      </c>
      <c r="AF628" t="inlineStr">
        <is>
          <t>aovalle2212@gmail.com</t>
        </is>
      </c>
      <c r="AG628" t="inlineStr">
        <is>
          <t>LIMA</t>
        </is>
      </c>
      <c r="AH628" t="inlineStr">
        <is>
          <t>BREÑA</t>
        </is>
      </c>
      <c r="AI628" s="116" t="n">
        <v>46234</v>
      </c>
      <c r="AJ628" s="116" t="n"/>
      <c r="AK628" t="inlineStr">
        <is>
          <t>SALDO FINANCIAR</t>
        </is>
      </c>
      <c r="AL628" t="n">
        <v>1</v>
      </c>
      <c r="AM628" t="n">
        <v>35000</v>
      </c>
      <c r="AN628" t="n">
        <v>0</v>
      </c>
      <c r="AO628" t="n">
        <v>0</v>
      </c>
      <c r="AP628" s="39" t="n">
        <v>35000</v>
      </c>
      <c r="AQ628" s="39" t="n">
        <v>0</v>
      </c>
      <c r="AR628" s="39" t="n">
        <v>35000</v>
      </c>
      <c r="AT628" t="inlineStr">
        <is>
          <t>Crédito Directo</t>
        </is>
      </c>
      <c r="AZ628" t="inlineStr">
        <is>
          <t>No</t>
        </is>
      </c>
      <c r="BC628" t="inlineStr">
        <is>
          <t>VENCIDO</t>
        </is>
      </c>
      <c r="BN628" t="inlineStr">
        <is>
          <t>No</t>
        </is>
      </c>
      <c r="BO628" s="117" t="n">
        <v>46112.72361111111</v>
      </c>
      <c r="BP628" t="inlineStr">
        <is>
          <t>Magaly Guevara Perez</t>
        </is>
      </c>
      <c r="BR628" t="n">
        <v>60</v>
      </c>
      <c r="BT628" t="n">
        <v>0</v>
      </c>
      <c r="BX628" t="inlineStr">
        <is>
          <t>Cobranzas_2026.csv</t>
        </is>
      </c>
      <c r="BY628" t="n">
        <v>2026</v>
      </c>
      <c r="BZ628" t="inlineStr">
        <is>
          <t>01/01/2024</t>
        </is>
      </c>
      <c r="CA628" t="inlineStr">
        <is>
          <t>30/09/2031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401</t>
        </is>
      </c>
      <c r="G629" s="39" t="n">
        <v>518500</v>
      </c>
      <c r="H629" s="39" t="n">
        <v>470000</v>
      </c>
      <c r="M629" s="39" t="n"/>
      <c r="N629" s="39" t="n"/>
      <c r="S629" s="39" t="n"/>
      <c r="T629" s="39" t="n"/>
      <c r="Y629" s="39" t="n"/>
      <c r="Z629" s="39" t="n"/>
      <c r="AA629" t="inlineStr">
        <is>
          <t>Luis Alberto Vargas Chacaltana</t>
        </is>
      </c>
      <c r="AB629" t="inlineStr">
        <is>
          <t>09389936</t>
        </is>
      </c>
      <c r="AC629" t="inlineStr">
        <is>
          <t>Los Tilos 388 – 392</t>
        </is>
      </c>
      <c r="AD629" t="n">
        <v>0</v>
      </c>
      <c r="AE629" t="inlineStr">
        <is>
          <t>946890596</t>
        </is>
      </c>
      <c r="AF629" t="inlineStr">
        <is>
          <t>nicolle1095@gmail.com</t>
        </is>
      </c>
      <c r="AG629" t="inlineStr">
        <is>
          <t>LIMA</t>
        </is>
      </c>
      <c r="AH629" t="inlineStr">
        <is>
          <t>SANTIAGO DE SURCO</t>
        </is>
      </c>
      <c r="AI629" s="116" t="n">
        <v>46233</v>
      </c>
      <c r="AJ629" s="116" t="n"/>
      <c r="AK629" t="inlineStr">
        <is>
          <t>SALDO FINANCIAR</t>
        </is>
      </c>
      <c r="AL629" t="n">
        <v>2</v>
      </c>
      <c r="AM629" t="n">
        <v>94000</v>
      </c>
      <c r="AN629" t="n">
        <v>0</v>
      </c>
      <c r="AO629" t="n">
        <v>0</v>
      </c>
      <c r="AP629" s="39" t="n">
        <v>94000</v>
      </c>
      <c r="AQ629" s="39" t="n">
        <v>0</v>
      </c>
      <c r="AR629" s="39" t="n">
        <v>94000</v>
      </c>
      <c r="AT629" t="inlineStr">
        <is>
          <t>Crédito Directo</t>
        </is>
      </c>
      <c r="AZ629" t="inlineStr">
        <is>
          <t>No</t>
        </is>
      </c>
      <c r="BC629" t="inlineStr">
        <is>
          <t>VENCIDO</t>
        </is>
      </c>
      <c r="BN629" t="inlineStr">
        <is>
          <t>No</t>
        </is>
      </c>
      <c r="BO629" s="117" t="n">
        <v>45932.42222222222</v>
      </c>
      <c r="BP629" t="inlineStr">
        <is>
          <t>Carla Michue M</t>
        </is>
      </c>
      <c r="BR629" t="n">
        <v>26</v>
      </c>
      <c r="BT629" t="n">
        <v>0</v>
      </c>
      <c r="BX629" t="inlineStr">
        <is>
          <t>Cobranzas_2026.csv</t>
        </is>
      </c>
      <c r="BY629" t="n">
        <v>2026</v>
      </c>
      <c r="BZ629" t="inlineStr">
        <is>
          <t>01/01/2024</t>
        </is>
      </c>
      <c r="CA629" t="inlineStr">
        <is>
          <t>30/09/2031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401</t>
        </is>
      </c>
      <c r="G630" s="39" t="n">
        <v>518500</v>
      </c>
      <c r="H630" s="39" t="n">
        <v>470000</v>
      </c>
      <c r="M630" s="39" t="n"/>
      <c r="N630" s="39" t="n"/>
      <c r="S630" s="39" t="n"/>
      <c r="T630" s="39" t="n"/>
      <c r="Y630" s="39" t="n"/>
      <c r="Z630" s="39" t="n"/>
      <c r="AA630" t="inlineStr">
        <is>
          <t>Luis Alberto Vargas Chacaltana</t>
        </is>
      </c>
      <c r="AB630" t="inlineStr">
        <is>
          <t>09389936</t>
        </is>
      </c>
      <c r="AC630" t="inlineStr">
        <is>
          <t>Los Tilos 388 – 392</t>
        </is>
      </c>
      <c r="AD630" t="n">
        <v>0</v>
      </c>
      <c r="AE630" t="inlineStr">
        <is>
          <t>946890596</t>
        </is>
      </c>
      <c r="AF630" t="inlineStr">
        <is>
          <t>nicolle1095@gmail.com</t>
        </is>
      </c>
      <c r="AG630" t="inlineStr">
        <is>
          <t>LIMA</t>
        </is>
      </c>
      <c r="AH630" t="inlineStr">
        <is>
          <t>SANTIAGO DE SURCO</t>
        </is>
      </c>
      <c r="AI630" s="116" t="n">
        <v>46386</v>
      </c>
      <c r="AJ630" s="116" t="n"/>
      <c r="AK630" t="inlineStr">
        <is>
          <t>SALDO FINANCIAR</t>
        </is>
      </c>
      <c r="AL630" t="n">
        <v>3</v>
      </c>
      <c r="AM630" t="n">
        <v>94000</v>
      </c>
      <c r="AN630" t="n">
        <v>0</v>
      </c>
      <c r="AO630" t="n">
        <v>0</v>
      </c>
      <c r="AP630" s="39" t="n">
        <v>94000</v>
      </c>
      <c r="AQ630" s="39" t="n">
        <v>0</v>
      </c>
      <c r="AR630" s="39" t="n">
        <v>94000</v>
      </c>
      <c r="AT630" t="inlineStr">
        <is>
          <t>Crédito Directo</t>
        </is>
      </c>
      <c r="AZ630" t="inlineStr">
        <is>
          <t>No</t>
        </is>
      </c>
      <c r="BC630" t="inlineStr">
        <is>
          <t>PENDIENTE</t>
        </is>
      </c>
      <c r="BN630" t="inlineStr">
        <is>
          <t>No</t>
        </is>
      </c>
      <c r="BO630" s="117" t="n">
        <v>45932.42222222222</v>
      </c>
      <c r="BP630" t="inlineStr">
        <is>
          <t>Carla Michue M</t>
        </is>
      </c>
      <c r="BR630" t="n">
        <v>26</v>
      </c>
      <c r="BT630" t="n">
        <v>0</v>
      </c>
      <c r="BX630" t="inlineStr">
        <is>
          <t>Cobranzas_2026.csv</t>
        </is>
      </c>
      <c r="BY630" t="n">
        <v>2026</v>
      </c>
      <c r="BZ630" t="inlineStr">
        <is>
          <t>01/01/2024</t>
        </is>
      </c>
      <c r="CA630" t="inlineStr">
        <is>
          <t>30/09/2031</t>
        </is>
      </c>
    </row>
    <row r="631">
      <c r="A631" t="inlineStr">
        <is>
          <t>RESIDENCIAL BEYOND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Estacionamiento</t>
        </is>
      </c>
      <c r="F631" t="inlineStr">
        <is>
          <t>E 09</t>
        </is>
      </c>
      <c r="G631" s="39" t="n">
        <v>50000</v>
      </c>
      <c r="H631" s="39" t="n">
        <v>50000</v>
      </c>
      <c r="M631" s="39" t="n"/>
      <c r="N631" s="39" t="n"/>
      <c r="S631" s="39" t="n"/>
      <c r="T631" s="39" t="n"/>
      <c r="Y631" s="39" t="n"/>
      <c r="Z631" s="39" t="n"/>
      <c r="AA631" t="inlineStr">
        <is>
          <t>Luis Alberto Vargas Chacaltana</t>
        </is>
      </c>
      <c r="AB631" t="inlineStr">
        <is>
          <t>09389936</t>
        </is>
      </c>
      <c r="AC631" t="inlineStr">
        <is>
          <t>Los Tilos 388 – 392</t>
        </is>
      </c>
      <c r="AD631" t="n">
        <v>0</v>
      </c>
      <c r="AE631" t="inlineStr">
        <is>
          <t>946890596</t>
        </is>
      </c>
      <c r="AF631" t="inlineStr">
        <is>
          <t>nicolle1095@gmail.com</t>
        </is>
      </c>
      <c r="AG631" t="inlineStr">
        <is>
          <t>LIMA</t>
        </is>
      </c>
      <c r="AH631" t="inlineStr">
        <is>
          <t>SANTIAGO DE SURCO</t>
        </is>
      </c>
      <c r="AI631" s="116" t="n">
        <v>46049</v>
      </c>
      <c r="AJ631" s="116" t="n">
        <v>46049</v>
      </c>
      <c r="AK631" t="inlineStr">
        <is>
          <t>SEPARACION</t>
        </is>
      </c>
      <c r="AL631" t="n">
        <v>1</v>
      </c>
      <c r="AM631" t="n">
        <v>3000</v>
      </c>
      <c r="AN631" t="n">
        <v>0</v>
      </c>
      <c r="AO631" t="n">
        <v>0</v>
      </c>
      <c r="AP631" s="39" t="n">
        <v>3000</v>
      </c>
      <c r="AQ631" s="39" t="n">
        <v>3000</v>
      </c>
      <c r="AR631" s="39" t="n">
        <v>0</v>
      </c>
      <c r="AS631" t="n">
        <v>0</v>
      </c>
      <c r="AT631" t="inlineStr">
        <is>
          <t>Crédito Directo</t>
        </is>
      </c>
      <c r="AU631" t="inlineStr">
        <is>
          <t>Banco de Credito del Perú</t>
        </is>
      </c>
      <c r="AV631" t="inlineStr">
        <is>
          <t>002-19400732577906596</t>
        </is>
      </c>
      <c r="AW631" t="inlineStr">
        <is>
          <t>TRANSFERENCIA BANCARIA</t>
        </is>
      </c>
      <c r="AY631" t="inlineStr">
        <is>
          <t>00002559000000000</t>
        </is>
      </c>
      <c r="AZ631" t="inlineStr">
        <is>
          <t>No</t>
        </is>
      </c>
      <c r="BA631" t="inlineStr">
        <is>
          <t>AHORROS PERSONALES</t>
        </is>
      </c>
      <c r="BB631" t="n">
        <v>4</v>
      </c>
      <c r="BC631" t="inlineStr">
        <is>
          <t>CANCELADO</t>
        </is>
      </c>
      <c r="BN631" t="inlineStr">
        <is>
          <t>Si</t>
        </is>
      </c>
      <c r="BO631" s="117" t="n">
        <v>46049.67638888889</v>
      </c>
      <c r="BP631" t="inlineStr">
        <is>
          <t>Carla Michue M</t>
        </is>
      </c>
      <c r="BR631" t="n">
        <v>57</v>
      </c>
      <c r="BS631" t="inlineStr">
        <is>
          <t>29/08/2026 16:14</t>
        </is>
      </c>
      <c r="BT631" t="n">
        <v>0</v>
      </c>
      <c r="BX631" t="inlineStr">
        <is>
          <t>Cobranzas_2026.csv</t>
        </is>
      </c>
      <c r="BY631" t="n">
        <v>2026</v>
      </c>
      <c r="BZ631" t="inlineStr">
        <is>
          <t>01/01/2024</t>
        </is>
      </c>
      <c r="CA631" t="inlineStr">
        <is>
          <t>30/09/2031</t>
        </is>
      </c>
    </row>
    <row r="632">
      <c r="A632" t="inlineStr">
        <is>
          <t>RESIDENCIAL BEYOND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Estacionamiento</t>
        </is>
      </c>
      <c r="F632" t="inlineStr">
        <is>
          <t>E 09</t>
        </is>
      </c>
      <c r="G632" s="39" t="n">
        <v>50000</v>
      </c>
      <c r="H632" s="39" t="n">
        <v>50000</v>
      </c>
      <c r="M632" s="39" t="n"/>
      <c r="N632" s="39" t="n"/>
      <c r="S632" s="39" t="n"/>
      <c r="T632" s="39" t="n"/>
      <c r="Y632" s="39" t="n"/>
      <c r="Z632" s="39" t="n"/>
      <c r="AA632" t="inlineStr">
        <is>
          <t>Luis Alberto Vargas Chacaltana</t>
        </is>
      </c>
      <c r="AB632" t="inlineStr">
        <is>
          <t>09389936</t>
        </is>
      </c>
      <c r="AC632" t="inlineStr">
        <is>
          <t>Los Tilos 388 – 392</t>
        </is>
      </c>
      <c r="AD632" t="n">
        <v>0</v>
      </c>
      <c r="AE632" t="inlineStr">
        <is>
          <t>946890596</t>
        </is>
      </c>
      <c r="AF632" t="inlineStr">
        <is>
          <t>nicolle1095@gmail.com</t>
        </is>
      </c>
      <c r="AG632" t="inlineStr">
        <is>
          <t>LIMA</t>
        </is>
      </c>
      <c r="AH632" t="inlineStr">
        <is>
          <t>SANTIAGO DE SURCO</t>
        </is>
      </c>
      <c r="AI632" s="116" t="n">
        <v>46049</v>
      </c>
      <c r="AJ632" s="116" t="n">
        <v>46049</v>
      </c>
      <c r="AK632" t="inlineStr">
        <is>
          <t>CUOTA INICIAL</t>
        </is>
      </c>
      <c r="AL632" t="n">
        <v>1</v>
      </c>
      <c r="AM632" t="n">
        <v>7000</v>
      </c>
      <c r="AN632" t="n">
        <v>0</v>
      </c>
      <c r="AO632" t="n">
        <v>0</v>
      </c>
      <c r="AP632" s="39" t="n">
        <v>7000</v>
      </c>
      <c r="AQ632" s="39" t="n">
        <v>7000</v>
      </c>
      <c r="AR632" s="39" t="n">
        <v>0</v>
      </c>
      <c r="AS632" t="n">
        <v>0</v>
      </c>
      <c r="AT632" t="inlineStr">
        <is>
          <t>Crédito Directo</t>
        </is>
      </c>
      <c r="AU632" t="inlineStr">
        <is>
          <t>Banco de Credito del Perú</t>
        </is>
      </c>
      <c r="AV632" t="inlineStr">
        <is>
          <t>194-7325779-0-65</t>
        </is>
      </c>
      <c r="AW632" t="inlineStr">
        <is>
          <t>TRANSFERENCIA BANCARIA</t>
        </is>
      </c>
      <c r="AY632" t="inlineStr">
        <is>
          <t>000025590000000</t>
        </is>
      </c>
      <c r="AZ632" t="inlineStr">
        <is>
          <t>No</t>
        </is>
      </c>
      <c r="BA632" t="inlineStr">
        <is>
          <t>AHORROS PERSONALES</t>
        </is>
      </c>
      <c r="BB632" t="n">
        <v>4</v>
      </c>
      <c r="BC632" t="inlineStr">
        <is>
          <t>CANCELADO</t>
        </is>
      </c>
      <c r="BN632" t="inlineStr">
        <is>
          <t>Si</t>
        </is>
      </c>
      <c r="BO632" s="117" t="n">
        <v>46049.67638888889</v>
      </c>
      <c r="BP632" t="inlineStr">
        <is>
          <t>Carla Michue M</t>
        </is>
      </c>
      <c r="BR632" t="n">
        <v>57</v>
      </c>
      <c r="BS632" t="inlineStr">
        <is>
          <t>29/08/2026 16:15</t>
        </is>
      </c>
      <c r="BT632" t="n">
        <v>0</v>
      </c>
      <c r="BX632" t="inlineStr">
        <is>
          <t>Cobranzas_2026.csv</t>
        </is>
      </c>
      <c r="BY632" t="n">
        <v>2026</v>
      </c>
      <c r="BZ632" t="inlineStr">
        <is>
          <t>01/01/2024</t>
        </is>
      </c>
      <c r="CA632" t="inlineStr">
        <is>
          <t>30/09/2031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104</t>
        </is>
      </c>
      <c r="G633" s="39" t="n">
        <v>553000</v>
      </c>
      <c r="H633" s="39" t="n">
        <v>497000</v>
      </c>
      <c r="M633" s="39" t="n"/>
      <c r="N633" s="39" t="n"/>
      <c r="S633" s="39" t="n"/>
      <c r="T633" s="39" t="n"/>
      <c r="Y633" s="39" t="n"/>
      <c r="Z633" s="39" t="n"/>
      <c r="AA633" t="inlineStr">
        <is>
          <t>Luis Miguel Montero Monteza</t>
        </is>
      </c>
      <c r="AB633" t="inlineStr">
        <is>
          <t>45611107</t>
        </is>
      </c>
      <c r="AC633" t="inlineStr">
        <is>
          <t>calle los rosales 128</t>
        </is>
      </c>
      <c r="AD633" t="n">
        <v>0</v>
      </c>
      <c r="AE633" t="inlineStr">
        <is>
          <t>970277190</t>
        </is>
      </c>
      <c r="AF633" t="inlineStr">
        <is>
          <t>monter25@hotmail.com</t>
        </is>
      </c>
      <c r="AG633" t="inlineStr">
        <is>
          <t>JAEN</t>
        </is>
      </c>
      <c r="AH633" t="inlineStr">
        <is>
          <t>JAEN</t>
        </is>
      </c>
      <c r="AI633" s="116" t="n">
        <v>46203</v>
      </c>
      <c r="AJ633" s="116" t="n">
        <v>46234</v>
      </c>
      <c r="AK633" t="inlineStr">
        <is>
          <t>CUOTA INICIAL</t>
        </is>
      </c>
      <c r="AL633" t="n">
        <v>2</v>
      </c>
      <c r="AM633" t="n">
        <v>5100</v>
      </c>
      <c r="AN633" t="n">
        <v>0</v>
      </c>
      <c r="AO633" t="n">
        <v>0</v>
      </c>
      <c r="AP633" s="39" t="n">
        <v>5100</v>
      </c>
      <c r="AQ633" s="39" t="n">
        <v>5100</v>
      </c>
      <c r="AR633" s="39" t="n">
        <v>0</v>
      </c>
      <c r="AS633" t="n">
        <v>0</v>
      </c>
      <c r="AT633" t="inlineStr">
        <is>
          <t>Ahorro</t>
        </is>
      </c>
      <c r="AU633" t="inlineStr">
        <is>
          <t>Scotiabank Perú</t>
        </is>
      </c>
      <c r="AV633" t="inlineStr">
        <is>
          <t>0004071419</t>
        </is>
      </c>
      <c r="AW633" t="inlineStr">
        <is>
          <t>TRANSFERENCIA BANCARIA</t>
        </is>
      </c>
      <c r="AY633" t="inlineStr">
        <is>
          <t>25718</t>
        </is>
      </c>
      <c r="AZ633" t="inlineStr">
        <is>
          <t>No</t>
        </is>
      </c>
      <c r="BB633" t="n">
        <v>4</v>
      </c>
      <c r="BC633" t="inlineStr">
        <is>
          <t>CANCELADO</t>
        </is>
      </c>
      <c r="BN633" t="inlineStr">
        <is>
          <t>Si</t>
        </is>
      </c>
      <c r="BO633" s="117" t="n">
        <v>45988.33333333334</v>
      </c>
      <c r="BP633" t="inlineStr">
        <is>
          <t>Magaly Guevara Perez</t>
        </is>
      </c>
      <c r="BR633" t="n">
        <v>3</v>
      </c>
      <c r="BS633" t="inlineStr">
        <is>
          <t>18/08/2026 10:50</t>
        </is>
      </c>
      <c r="BT633" t="n">
        <v>0</v>
      </c>
      <c r="BX633" t="inlineStr">
        <is>
          <t>Cobranzas_2026.csv</t>
        </is>
      </c>
      <c r="BY633" t="n">
        <v>2026</v>
      </c>
      <c r="BZ633" t="inlineStr">
        <is>
          <t>01/01/2024</t>
        </is>
      </c>
      <c r="CA633" t="inlineStr">
        <is>
          <t>30/09/2031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104</t>
        </is>
      </c>
      <c r="G634" s="39" t="n">
        <v>553000</v>
      </c>
      <c r="H634" s="39" t="n">
        <v>497000</v>
      </c>
      <c r="M634" s="39" t="n"/>
      <c r="N634" s="39" t="n"/>
      <c r="S634" s="39" t="n"/>
      <c r="T634" s="39" t="n"/>
      <c r="Y634" s="39" t="n"/>
      <c r="Z634" s="39" t="n"/>
      <c r="AA634" t="inlineStr">
        <is>
          <t>Luis Miguel Montero Monteza</t>
        </is>
      </c>
      <c r="AB634" t="inlineStr">
        <is>
          <t>45611107</t>
        </is>
      </c>
      <c r="AC634" t="inlineStr">
        <is>
          <t>calle los rosales 128</t>
        </is>
      </c>
      <c r="AD634" t="n">
        <v>0</v>
      </c>
      <c r="AE634" t="inlineStr">
        <is>
          <t>970277190</t>
        </is>
      </c>
      <c r="AF634" t="inlineStr">
        <is>
          <t>monter25@hotmail.com</t>
        </is>
      </c>
      <c r="AG634" t="inlineStr">
        <is>
          <t>JAEN</t>
        </is>
      </c>
      <c r="AH634" t="inlineStr">
        <is>
          <t>JAEN</t>
        </is>
      </c>
      <c r="AI634" s="116" t="n">
        <v>46295</v>
      </c>
      <c r="AJ634" s="116" t="n"/>
      <c r="AK634" t="inlineStr">
        <is>
          <t>AHORRO CASA</t>
        </is>
      </c>
      <c r="AL634" t="n">
        <v>3</v>
      </c>
      <c r="AM634" t="n">
        <v>24600</v>
      </c>
      <c r="AN634" t="n">
        <v>0</v>
      </c>
      <c r="AO634" t="n">
        <v>0</v>
      </c>
      <c r="AP634" s="39" t="n">
        <v>24600</v>
      </c>
      <c r="AQ634" s="39" t="n">
        <v>0</v>
      </c>
      <c r="AR634" s="39" t="n">
        <v>24600</v>
      </c>
      <c r="AT634" t="inlineStr">
        <is>
          <t>Ahorro</t>
        </is>
      </c>
      <c r="AZ634" t="inlineStr">
        <is>
          <t>No</t>
        </is>
      </c>
      <c r="BC634" t="inlineStr">
        <is>
          <t>VENCIDO</t>
        </is>
      </c>
      <c r="BN634" t="inlineStr">
        <is>
          <t>No</t>
        </is>
      </c>
      <c r="BO634" s="117" t="n">
        <v>45988.33333333334</v>
      </c>
      <c r="BP634" t="inlineStr">
        <is>
          <t>Magaly Guevara Perez</t>
        </is>
      </c>
      <c r="BR634" t="n">
        <v>3</v>
      </c>
      <c r="BT634" t="n">
        <v>0</v>
      </c>
      <c r="BX634" t="inlineStr">
        <is>
          <t>Cobranzas_2026.csv</t>
        </is>
      </c>
      <c r="BY634" t="n">
        <v>2026</v>
      </c>
      <c r="BZ634" t="inlineStr">
        <is>
          <t>01/01/2024</t>
        </is>
      </c>
      <c r="CA634" t="inlineStr">
        <is>
          <t>30/09/2031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104</t>
        </is>
      </c>
      <c r="G635" s="39" t="n">
        <v>553000</v>
      </c>
      <c r="H635" s="39" t="n">
        <v>497000</v>
      </c>
      <c r="M635" s="39" t="n"/>
      <c r="N635" s="39" t="n"/>
      <c r="S635" s="39" t="n"/>
      <c r="T635" s="39" t="n"/>
      <c r="Y635" s="39" t="n"/>
      <c r="Z635" s="39" t="n"/>
      <c r="AA635" t="inlineStr">
        <is>
          <t>Luis Miguel Montero Monteza</t>
        </is>
      </c>
      <c r="AB635" t="inlineStr">
        <is>
          <t>45611107</t>
        </is>
      </c>
      <c r="AC635" t="inlineStr">
        <is>
          <t>calle los rosales 128</t>
        </is>
      </c>
      <c r="AD635" t="n">
        <v>0</v>
      </c>
      <c r="AE635" t="inlineStr">
        <is>
          <t>970277190</t>
        </is>
      </c>
      <c r="AF635" t="inlineStr">
        <is>
          <t>monter25@hotmail.com</t>
        </is>
      </c>
      <c r="AG635" t="inlineStr">
        <is>
          <t>JAEN</t>
        </is>
      </c>
      <c r="AH635" t="inlineStr">
        <is>
          <t>JAEN</t>
        </is>
      </c>
      <c r="AI635" s="116" t="n">
        <v>46356</v>
      </c>
      <c r="AJ635" s="116" t="n"/>
      <c r="AK635" t="inlineStr">
        <is>
          <t>SALDO FINANCIAR</t>
        </is>
      </c>
      <c r="AL635" t="n">
        <v>1</v>
      </c>
      <c r="AM635" t="n">
        <v>447300</v>
      </c>
      <c r="AN635" t="n">
        <v>0</v>
      </c>
      <c r="AO635" t="n">
        <v>0</v>
      </c>
      <c r="AP635" s="39" t="n">
        <v>447300</v>
      </c>
      <c r="AQ635" s="39" t="n">
        <v>0</v>
      </c>
      <c r="AR635" s="39" t="n">
        <v>447300</v>
      </c>
      <c r="AT635" t="inlineStr">
        <is>
          <t>Ahorro</t>
        </is>
      </c>
      <c r="AZ635" t="inlineStr">
        <is>
          <t>No</t>
        </is>
      </c>
      <c r="BC635" t="inlineStr">
        <is>
          <t>PENDIENTE</t>
        </is>
      </c>
      <c r="BN635" t="inlineStr">
        <is>
          <t>No</t>
        </is>
      </c>
      <c r="BO635" s="117" t="n">
        <v>45988.33333333334</v>
      </c>
      <c r="BP635" t="inlineStr">
        <is>
          <t>Magaly Guevara Perez</t>
        </is>
      </c>
      <c r="BR635" t="n">
        <v>3</v>
      </c>
      <c r="BT635" t="n">
        <v>0</v>
      </c>
      <c r="BX635" t="inlineStr">
        <is>
          <t>Cobranzas_2026.csv</t>
        </is>
      </c>
      <c r="BY635" t="n">
        <v>2026</v>
      </c>
      <c r="BZ635" t="inlineStr">
        <is>
          <t>01/01/2024</t>
        </is>
      </c>
      <c r="CA635" t="inlineStr">
        <is>
          <t>30/09/2031</t>
        </is>
      </c>
    </row>
    <row r="636">
      <c r="A636" t="inlineStr">
        <is>
          <t>RESIDENCIAL BEYOND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602</t>
        </is>
      </c>
      <c r="G636" s="39" t="n">
        <v>430000</v>
      </c>
      <c r="H636" s="39" t="n">
        <v>400000</v>
      </c>
      <c r="M636" s="39" t="n"/>
      <c r="N636" s="39" t="n"/>
      <c r="S636" s="39" t="n"/>
      <c r="T636" s="39" t="n"/>
      <c r="Y636" s="39" t="n"/>
      <c r="Z636" s="39" t="n"/>
      <c r="AA636" t="inlineStr">
        <is>
          <t>Luisa Liliana Esther Erazo Medina</t>
        </is>
      </c>
      <c r="AB636" t="inlineStr">
        <is>
          <t>74477120</t>
        </is>
      </c>
      <c r="AC636" t="inlineStr">
        <is>
          <t>Jr. Lastenia Larriva Se Llona 526 Urb. Esmeralda</t>
        </is>
      </c>
      <c r="AD636" t="n">
        <v>0</v>
      </c>
      <c r="AE636" t="inlineStr">
        <is>
          <t>922975710</t>
        </is>
      </c>
      <c r="AF636" t="inlineStr">
        <is>
          <t>lulleem95@gmail.com</t>
        </is>
      </c>
      <c r="AG636" t="inlineStr">
        <is>
          <t>LIMA</t>
        </is>
      </c>
      <c r="AH636" t="inlineStr">
        <is>
          <t>BREÑA</t>
        </is>
      </c>
      <c r="AI636" s="116" t="n">
        <v>46101</v>
      </c>
      <c r="AJ636" s="116" t="n">
        <v>46104</v>
      </c>
      <c r="AK636" t="inlineStr">
        <is>
          <t>SEPARACION</t>
        </is>
      </c>
      <c r="AL636" t="n">
        <v>1</v>
      </c>
      <c r="AM636" t="n">
        <v>3000</v>
      </c>
      <c r="AN636" t="n">
        <v>0</v>
      </c>
      <c r="AO636" t="n">
        <v>0</v>
      </c>
      <c r="AP636" s="39" t="n">
        <v>3000</v>
      </c>
      <c r="AQ636" s="39" t="n">
        <v>3000</v>
      </c>
      <c r="AR636" s="39" t="n">
        <v>0</v>
      </c>
      <c r="AS636" t="n">
        <v>0</v>
      </c>
      <c r="AT636" t="inlineStr">
        <is>
          <t>Ahorro</t>
        </is>
      </c>
      <c r="AU636" t="inlineStr">
        <is>
          <t>Banco de Credito del Perú</t>
        </is>
      </c>
      <c r="AV636" t="inlineStr">
        <is>
          <t>194-7325779-0-65</t>
        </is>
      </c>
      <c r="AW636" t="inlineStr">
        <is>
          <t>TRANSFERENCIA BANCARIA</t>
        </is>
      </c>
      <c r="AY636" t="inlineStr">
        <is>
          <t>4280825</t>
        </is>
      </c>
      <c r="AZ636" t="inlineStr">
        <is>
          <t>Si</t>
        </is>
      </c>
      <c r="BB636" t="n">
        <v>4</v>
      </c>
      <c r="BC636" t="inlineStr">
        <is>
          <t>CANCELADO</t>
        </is>
      </c>
      <c r="BN636" t="inlineStr">
        <is>
          <t>Si</t>
        </is>
      </c>
      <c r="BO636" s="117" t="n">
        <v>46122.40486111111</v>
      </c>
      <c r="BP636" t="inlineStr">
        <is>
          <t>Magaly Guevara Perez</t>
        </is>
      </c>
      <c r="BR636" t="n">
        <v>24</v>
      </c>
      <c r="BS636" t="inlineStr">
        <is>
          <t>01/05/2026 20:15</t>
        </is>
      </c>
      <c r="BT636" t="n">
        <v>0</v>
      </c>
      <c r="BX636" t="inlineStr">
        <is>
          <t>Cobranzas_2026.csv</t>
        </is>
      </c>
      <c r="BY636" t="n">
        <v>2026</v>
      </c>
      <c r="BZ636" t="inlineStr">
        <is>
          <t>01/01/2024</t>
        </is>
      </c>
      <c r="CA636" t="inlineStr">
        <is>
          <t>30/09/2031</t>
        </is>
      </c>
    </row>
    <row r="637">
      <c r="A637" t="inlineStr">
        <is>
          <t>RESIDENCIAL BEYOND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602</t>
        </is>
      </c>
      <c r="G637" s="39" t="n">
        <v>430000</v>
      </c>
      <c r="H637" s="39" t="n">
        <v>400000</v>
      </c>
      <c r="M637" s="39" t="n"/>
      <c r="N637" s="39" t="n"/>
      <c r="S637" s="39" t="n"/>
      <c r="T637" s="39" t="n"/>
      <c r="Y637" s="39" t="n"/>
      <c r="Z637" s="39" t="n"/>
      <c r="AA637" t="inlineStr">
        <is>
          <t>Luisa Liliana Esther Erazo Medina</t>
        </is>
      </c>
      <c r="AB637" t="inlineStr">
        <is>
          <t>74477120</t>
        </is>
      </c>
      <c r="AC637" t="inlineStr">
        <is>
          <t>Jr. Lastenia Larriva Se Llona 526 Urb. Esmeralda</t>
        </is>
      </c>
      <c r="AD637" t="n">
        <v>0</v>
      </c>
      <c r="AE637" t="inlineStr">
        <is>
          <t>922975710</t>
        </is>
      </c>
      <c r="AF637" t="inlineStr">
        <is>
          <t>lulleem95@gmail.com</t>
        </is>
      </c>
      <c r="AG637" t="inlineStr">
        <is>
          <t>LIMA</t>
        </is>
      </c>
      <c r="AH637" t="inlineStr">
        <is>
          <t>BREÑA</t>
        </is>
      </c>
      <c r="AI637" s="116" t="n">
        <v>46122</v>
      </c>
      <c r="AJ637" s="116" t="n">
        <v>46122</v>
      </c>
      <c r="AK637" t="inlineStr">
        <is>
          <t>CUOTA INICIAL</t>
        </is>
      </c>
      <c r="AL637" t="n">
        <v>1</v>
      </c>
      <c r="AM637" t="n">
        <v>20000</v>
      </c>
      <c r="AN637" t="n">
        <v>0</v>
      </c>
      <c r="AO637" t="n">
        <v>0</v>
      </c>
      <c r="AP637" s="39" t="n">
        <v>20000</v>
      </c>
      <c r="AQ637" s="39" t="n">
        <v>20000</v>
      </c>
      <c r="AR637" s="39" t="n">
        <v>0</v>
      </c>
      <c r="AS637" t="n">
        <v>0</v>
      </c>
      <c r="AT637" t="inlineStr">
        <is>
          <t>Ahorro</t>
        </is>
      </c>
      <c r="AU637" t="inlineStr">
        <is>
          <t>Banco de Credito del Perú</t>
        </is>
      </c>
      <c r="AV637" t="inlineStr">
        <is>
          <t>194-7325779-0-65</t>
        </is>
      </c>
      <c r="AW637" t="inlineStr">
        <is>
          <t>TRANSFERENCIA BANCARIA</t>
        </is>
      </c>
      <c r="AY637" t="inlineStr">
        <is>
          <t>03954028</t>
        </is>
      </c>
      <c r="AZ637" t="inlineStr">
        <is>
          <t>No</t>
        </is>
      </c>
      <c r="BB637" t="n">
        <v>4</v>
      </c>
      <c r="BC637" t="inlineStr">
        <is>
          <t>CANCELADO</t>
        </is>
      </c>
      <c r="BN637" t="inlineStr">
        <is>
          <t>Si</t>
        </is>
      </c>
      <c r="BO637" s="117" t="n">
        <v>46122.40486111111</v>
      </c>
      <c r="BP637" t="inlineStr">
        <is>
          <t>Magaly Guevara Perez</t>
        </is>
      </c>
      <c r="BR637" t="n">
        <v>24</v>
      </c>
      <c r="BS637" t="inlineStr">
        <is>
          <t>24/05/2026 14:32</t>
        </is>
      </c>
      <c r="BT637" t="n">
        <v>0</v>
      </c>
      <c r="BX637" t="inlineStr">
        <is>
          <t>Cobranzas_2026.csv</t>
        </is>
      </c>
      <c r="BY637" t="n">
        <v>2026</v>
      </c>
      <c r="BZ637" t="inlineStr">
        <is>
          <t>01/01/2024</t>
        </is>
      </c>
      <c r="CA637" t="inlineStr">
        <is>
          <t>30/09/2031</t>
        </is>
      </c>
    </row>
    <row r="638">
      <c r="A638" t="inlineStr">
        <is>
          <t>RESIDENCIAL BEYOND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602</t>
        </is>
      </c>
      <c r="G638" s="39" t="n">
        <v>430000</v>
      </c>
      <c r="H638" s="39" t="n">
        <v>400000</v>
      </c>
      <c r="M638" s="39" t="n"/>
      <c r="N638" s="39" t="n"/>
      <c r="S638" s="39" t="n"/>
      <c r="T638" s="39" t="n"/>
      <c r="Y638" s="39" t="n"/>
      <c r="Z638" s="39" t="n"/>
      <c r="AA638" t="inlineStr">
        <is>
          <t>Luisa Liliana Esther Erazo Medina</t>
        </is>
      </c>
      <c r="AB638" t="inlineStr">
        <is>
          <t>74477120</t>
        </is>
      </c>
      <c r="AC638" t="inlineStr">
        <is>
          <t>Jr. Lastenia Larriva Se Llona 526 Urb. Esmeralda</t>
        </is>
      </c>
      <c r="AD638" t="n">
        <v>0</v>
      </c>
      <c r="AE638" t="inlineStr">
        <is>
          <t>922975710</t>
        </is>
      </c>
      <c r="AF638" t="inlineStr">
        <is>
          <t>lulleem95@gmail.com</t>
        </is>
      </c>
      <c r="AG638" t="inlineStr">
        <is>
          <t>LIMA</t>
        </is>
      </c>
      <c r="AH638" t="inlineStr">
        <is>
          <t>BREÑA</t>
        </is>
      </c>
      <c r="AI638" s="116" t="n">
        <v>46234</v>
      </c>
      <c r="AJ638" s="116" t="n"/>
      <c r="AK638" t="inlineStr">
        <is>
          <t>CUOTA INICIAL</t>
        </is>
      </c>
      <c r="AL638" t="n">
        <v>2</v>
      </c>
      <c r="AM638" t="n">
        <v>30000</v>
      </c>
      <c r="AN638" t="n">
        <v>0</v>
      </c>
      <c r="AO638" t="n">
        <v>0</v>
      </c>
      <c r="AP638" s="39" t="n">
        <v>30000</v>
      </c>
      <c r="AQ638" s="39" t="n">
        <v>0</v>
      </c>
      <c r="AR638" s="39" t="n">
        <v>30000</v>
      </c>
      <c r="AT638" t="inlineStr">
        <is>
          <t>Ahorro</t>
        </is>
      </c>
      <c r="AZ638" t="inlineStr">
        <is>
          <t>No</t>
        </is>
      </c>
      <c r="BC638" t="inlineStr">
        <is>
          <t>VENCIDO</t>
        </is>
      </c>
      <c r="BN638" t="inlineStr">
        <is>
          <t>No</t>
        </is>
      </c>
      <c r="BO638" s="117" t="n">
        <v>46122.40486111111</v>
      </c>
      <c r="BP638" t="inlineStr">
        <is>
          <t>Magaly Guevara Perez</t>
        </is>
      </c>
      <c r="BR638" t="n">
        <v>24</v>
      </c>
      <c r="BT638" t="n">
        <v>0</v>
      </c>
      <c r="BX638" t="inlineStr">
        <is>
          <t>Cobranzas_2026.csv</t>
        </is>
      </c>
      <c r="BY638" t="n">
        <v>2026</v>
      </c>
      <c r="BZ638" t="inlineStr">
        <is>
          <t>01/01/2024</t>
        </is>
      </c>
      <c r="CA638" t="inlineStr">
        <is>
          <t>30/09/2031</t>
        </is>
      </c>
    </row>
    <row r="639">
      <c r="A639" t="inlineStr">
        <is>
          <t>RESIDENCIAL BEYOND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602</t>
        </is>
      </c>
      <c r="G639" s="39" t="n">
        <v>430000</v>
      </c>
      <c r="H639" s="39" t="n">
        <v>400000</v>
      </c>
      <c r="M639" s="39" t="n"/>
      <c r="N639" s="39" t="n"/>
      <c r="S639" s="39" t="n"/>
      <c r="T639" s="39" t="n"/>
      <c r="Y639" s="39" t="n"/>
      <c r="Z639" s="39" t="n"/>
      <c r="AA639" t="inlineStr">
        <is>
          <t>Luisa Liliana Esther Erazo Medina</t>
        </is>
      </c>
      <c r="AB639" t="inlineStr">
        <is>
          <t>74477120</t>
        </is>
      </c>
      <c r="AC639" t="inlineStr">
        <is>
          <t>Jr. Lastenia Larriva Se Llona 526 Urb. Esmeralda</t>
        </is>
      </c>
      <c r="AD639" t="n">
        <v>0</v>
      </c>
      <c r="AE639" t="inlineStr">
        <is>
          <t>922975710</t>
        </is>
      </c>
      <c r="AF639" t="inlineStr">
        <is>
          <t>lulleem95@gmail.com</t>
        </is>
      </c>
      <c r="AG639" t="inlineStr">
        <is>
          <t>LIMA</t>
        </is>
      </c>
      <c r="AH639" t="inlineStr">
        <is>
          <t>BREÑA</t>
        </is>
      </c>
      <c r="AI639" s="116" t="n">
        <v>46295</v>
      </c>
      <c r="AJ639" s="116" t="n"/>
      <c r="AK639" t="inlineStr">
        <is>
          <t>SALDO FINANCIAR</t>
        </is>
      </c>
      <c r="AL639" t="n">
        <v>1</v>
      </c>
      <c r="AM639" t="n">
        <v>347000</v>
      </c>
      <c r="AN639" t="n">
        <v>0</v>
      </c>
      <c r="AO639" t="n">
        <v>0</v>
      </c>
      <c r="AP639" s="39" t="n">
        <v>347000</v>
      </c>
      <c r="AQ639" s="39" t="n">
        <v>0</v>
      </c>
      <c r="AR639" s="39" t="n">
        <v>347000</v>
      </c>
      <c r="AT639" t="inlineStr">
        <is>
          <t>Ahorro</t>
        </is>
      </c>
      <c r="AZ639" t="inlineStr">
        <is>
          <t>No</t>
        </is>
      </c>
      <c r="BC639" t="inlineStr">
        <is>
          <t>VENCIDO</t>
        </is>
      </c>
      <c r="BN639" t="inlineStr">
        <is>
          <t>No</t>
        </is>
      </c>
      <c r="BO639" s="117" t="n">
        <v>46122.40486111111</v>
      </c>
      <c r="BP639" t="inlineStr">
        <is>
          <t>Magaly Guevara Perez</t>
        </is>
      </c>
      <c r="BR639" t="n">
        <v>24</v>
      </c>
      <c r="BT639" t="n">
        <v>0</v>
      </c>
      <c r="BX639" t="inlineStr">
        <is>
          <t>Cobranzas_2026.csv</t>
        </is>
      </c>
      <c r="BY639" t="n">
        <v>2026</v>
      </c>
      <c r="BZ639" t="inlineStr">
        <is>
          <t>01/01/2024</t>
        </is>
      </c>
      <c r="CA639" t="inlineStr">
        <is>
          <t>30/09/2031</t>
        </is>
      </c>
    </row>
    <row r="640">
      <c r="A640" t="inlineStr">
        <is>
          <t>RESIDENCIAL BEYOND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201</t>
        </is>
      </c>
      <c r="G640" s="39" t="n">
        <v>518500</v>
      </c>
      <c r="H640" s="39" t="n">
        <v>469500</v>
      </c>
      <c r="I640" t="inlineStr">
        <is>
          <t>Edificio</t>
        </is>
      </c>
      <c r="J640" t="inlineStr">
        <is>
          <t>A</t>
        </is>
      </c>
      <c r="K640" t="inlineStr">
        <is>
          <t>Estacionamiento</t>
        </is>
      </c>
      <c r="L640" t="inlineStr">
        <is>
          <t>E 16</t>
        </is>
      </c>
      <c r="M640" s="39" t="n">
        <v>50400</v>
      </c>
      <c r="N640" s="39" t="n">
        <v>50400</v>
      </c>
      <c r="S640" s="39" t="n"/>
      <c r="T640" s="39" t="n"/>
      <c r="Y640" s="39" t="n"/>
      <c r="Z640" s="39" t="n"/>
      <c r="AA640" t="inlineStr">
        <is>
          <t>Marco Antonio Cordova Oropeza</t>
        </is>
      </c>
      <c r="AB640" t="inlineStr">
        <is>
          <t>22079563</t>
        </is>
      </c>
      <c r="AC640" t="inlineStr">
        <is>
          <t>Av.Cayetano Heredia 435 Int.1 Urb Fundo Oyague</t>
        </is>
      </c>
      <c r="AD640" t="n">
        <v>0</v>
      </c>
      <c r="AE640" t="inlineStr">
        <is>
          <t>1513-257-6062</t>
        </is>
      </c>
      <c r="AF640" t="inlineStr">
        <is>
          <t>maancoor@gmail.com</t>
        </is>
      </c>
      <c r="AG640" t="inlineStr">
        <is>
          <t>LIMA</t>
        </is>
      </c>
      <c r="AH640" t="inlineStr">
        <is>
          <t>JESUS MARIA</t>
        </is>
      </c>
      <c r="AI640" s="116" t="n">
        <v>46134</v>
      </c>
      <c r="AJ640" s="116" t="n">
        <v>46134</v>
      </c>
      <c r="AK640" t="inlineStr">
        <is>
          <t>CUOTA INICIAL</t>
        </is>
      </c>
      <c r="AL640" t="n">
        <v>1</v>
      </c>
      <c r="AM640" t="n">
        <v>89920</v>
      </c>
      <c r="AN640" t="n">
        <v>0</v>
      </c>
      <c r="AO640" t="n">
        <v>0</v>
      </c>
      <c r="AP640" s="39" t="n">
        <v>89920</v>
      </c>
      <c r="AQ640" s="39" t="n">
        <v>89920</v>
      </c>
      <c r="AR640" s="39" t="n">
        <v>0</v>
      </c>
      <c r="AS640" t="n">
        <v>0</v>
      </c>
      <c r="AT640" t="inlineStr">
        <is>
          <t>Crédito Directo</t>
        </is>
      </c>
      <c r="AU640" t="inlineStr">
        <is>
          <t>Banco de Credito del Perú</t>
        </is>
      </c>
      <c r="AV640" t="inlineStr">
        <is>
          <t>194-7325779-0-65</t>
        </is>
      </c>
      <c r="AW640" t="inlineStr">
        <is>
          <t>TRANSFERENCIA BANCARIA</t>
        </is>
      </c>
      <c r="AX640" t="inlineStr">
        <is>
          <t>22079563</t>
        </is>
      </c>
      <c r="AY640" t="inlineStr">
        <is>
          <t>0697429</t>
        </is>
      </c>
      <c r="AZ640" t="inlineStr">
        <is>
          <t>No</t>
        </is>
      </c>
      <c r="BA640" t="inlineStr">
        <is>
          <t>AHORROS PERSONALES</t>
        </is>
      </c>
      <c r="BB640" t="n">
        <v>4</v>
      </c>
      <c r="BC640" t="inlineStr">
        <is>
          <t>CANCELADO</t>
        </is>
      </c>
      <c r="BH640" t="inlineStr">
        <is>
          <t>18/05/2026 00:00</t>
        </is>
      </c>
      <c r="BI640" t="n">
        <v>89920</v>
      </c>
      <c r="BJ640" t="n">
        <v>100</v>
      </c>
      <c r="BL640" t="inlineStr">
        <is>
          <t>18/05/2026 03:48</t>
        </is>
      </c>
      <c r="BM640" t="inlineStr">
        <is>
          <t>Magaly Guevara Perez</t>
        </is>
      </c>
      <c r="BN640" t="inlineStr">
        <is>
          <t>Si</t>
        </is>
      </c>
      <c r="BO640" s="117" t="n">
        <v>45986.54513888889</v>
      </c>
      <c r="BP640" t="inlineStr">
        <is>
          <t>Magaly Guevara Perez</t>
        </is>
      </c>
      <c r="BR640" t="n">
        <v>1</v>
      </c>
      <c r="BS640" t="inlineStr">
        <is>
          <t>18/05/2026 03:51</t>
        </is>
      </c>
      <c r="BT640" t="n">
        <v>0</v>
      </c>
      <c r="BX640" t="inlineStr">
        <is>
          <t>Cobranzas_2026.csv</t>
        </is>
      </c>
      <c r="BY640" t="n">
        <v>2026</v>
      </c>
      <c r="BZ640" t="inlineStr">
        <is>
          <t>01/01/2024</t>
        </is>
      </c>
      <c r="CA640" t="inlineStr">
        <is>
          <t>30/09/2031</t>
        </is>
      </c>
    </row>
    <row r="641">
      <c r="A641" t="inlineStr">
        <is>
          <t>RESIDENCIAL BEYOND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201</t>
        </is>
      </c>
      <c r="G641" s="39" t="n">
        <v>518500</v>
      </c>
      <c r="H641" s="39" t="n">
        <v>469500</v>
      </c>
      <c r="I641" t="inlineStr">
        <is>
          <t>Edificio</t>
        </is>
      </c>
      <c r="J641" t="inlineStr">
        <is>
          <t>A</t>
        </is>
      </c>
      <c r="K641" t="inlineStr">
        <is>
          <t>Estacionamiento</t>
        </is>
      </c>
      <c r="L641" t="inlineStr">
        <is>
          <t>E 16</t>
        </is>
      </c>
      <c r="M641" s="39" t="n">
        <v>50400</v>
      </c>
      <c r="N641" s="39" t="n">
        <v>50400</v>
      </c>
      <c r="S641" s="39" t="n"/>
      <c r="T641" s="39" t="n"/>
      <c r="Y641" s="39" t="n"/>
      <c r="Z641" s="39" t="n"/>
      <c r="AA641" t="inlineStr">
        <is>
          <t>Marco Antonio Cordova Oropeza</t>
        </is>
      </c>
      <c r="AB641" t="inlineStr">
        <is>
          <t>22079563</t>
        </is>
      </c>
      <c r="AC641" t="inlineStr">
        <is>
          <t>Av.Cayetano Heredia 435 Int.1 Urb Fundo Oyague</t>
        </is>
      </c>
      <c r="AD641" t="n">
        <v>0</v>
      </c>
      <c r="AE641" t="inlineStr">
        <is>
          <t>1513-257-6062</t>
        </is>
      </c>
      <c r="AF641" t="inlineStr">
        <is>
          <t>maancoor@gmail.com</t>
        </is>
      </c>
      <c r="AG641" t="inlineStr">
        <is>
          <t>LIMA</t>
        </is>
      </c>
      <c r="AH641" t="inlineStr">
        <is>
          <t>JESUS MARIA</t>
        </is>
      </c>
      <c r="AI641" s="116" t="n">
        <v>46231</v>
      </c>
      <c r="AJ641" s="116" t="n">
        <v>46224</v>
      </c>
      <c r="AK641" t="inlineStr">
        <is>
          <t>SALDO FINANCIAR</t>
        </is>
      </c>
      <c r="AL641" t="n">
        <v>1</v>
      </c>
      <c r="AM641" t="n">
        <v>37270.91</v>
      </c>
      <c r="AN641" t="n">
        <v>0</v>
      </c>
      <c r="AO641" t="n">
        <v>0</v>
      </c>
      <c r="AP641" s="39" t="n">
        <v>37270.91</v>
      </c>
      <c r="AQ641" s="39" t="n">
        <v>37270.91</v>
      </c>
      <c r="AR641" s="39" t="n">
        <v>0</v>
      </c>
      <c r="AS641" t="n">
        <v>0</v>
      </c>
      <c r="AT641" t="inlineStr">
        <is>
          <t>Crédito Directo</t>
        </is>
      </c>
      <c r="AU641" t="inlineStr">
        <is>
          <t>Banco de Credito del Perú</t>
        </is>
      </c>
      <c r="AV641" t="inlineStr">
        <is>
          <t>194-7325779-0-65</t>
        </is>
      </c>
      <c r="AW641" t="inlineStr">
        <is>
          <t>TRANSFERENCIA BANCARIA</t>
        </is>
      </c>
      <c r="AY641" t="inlineStr">
        <is>
          <t>0683287</t>
        </is>
      </c>
      <c r="AZ641" t="inlineStr">
        <is>
          <t>No</t>
        </is>
      </c>
      <c r="BA641" t="inlineStr">
        <is>
          <t>AHORROS PERSONALES</t>
        </is>
      </c>
      <c r="BB641" t="n">
        <v>4</v>
      </c>
      <c r="BC641" t="inlineStr">
        <is>
          <t>CANCELADO</t>
        </is>
      </c>
      <c r="BN641" t="inlineStr">
        <is>
          <t>Si</t>
        </is>
      </c>
      <c r="BO641" s="117" t="n">
        <v>45986.54513888889</v>
      </c>
      <c r="BP641" t="inlineStr">
        <is>
          <t>Magaly Guevara Perez</t>
        </is>
      </c>
      <c r="BR641" t="n">
        <v>1</v>
      </c>
      <c r="BS641" t="inlineStr">
        <is>
          <t>12/08/2026 15:09</t>
        </is>
      </c>
      <c r="BT641" t="n">
        <v>0</v>
      </c>
      <c r="BX641" t="inlineStr">
        <is>
          <t>Cobranzas_2026.csv</t>
        </is>
      </c>
      <c r="BY641" t="n">
        <v>2026</v>
      </c>
      <c r="BZ641" t="inlineStr">
        <is>
          <t>01/01/2024</t>
        </is>
      </c>
      <c r="CA641" t="inlineStr">
        <is>
          <t>30/09/2031</t>
        </is>
      </c>
    </row>
    <row r="642">
      <c r="A642" t="inlineStr">
        <is>
          <t>RESIDENCIAL BEYOND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201</t>
        </is>
      </c>
      <c r="G642" s="39" t="n">
        <v>518500</v>
      </c>
      <c r="H642" s="39" t="n">
        <v>469500</v>
      </c>
      <c r="I642" t="inlineStr">
        <is>
          <t>Edificio</t>
        </is>
      </c>
      <c r="J642" t="inlineStr">
        <is>
          <t>A</t>
        </is>
      </c>
      <c r="K642" t="inlineStr">
        <is>
          <t>Estacionamiento</t>
        </is>
      </c>
      <c r="L642" t="inlineStr">
        <is>
          <t>E 16</t>
        </is>
      </c>
      <c r="M642" s="39" t="n">
        <v>50400</v>
      </c>
      <c r="N642" s="39" t="n">
        <v>50400</v>
      </c>
      <c r="S642" s="39" t="n"/>
      <c r="T642" s="39" t="n"/>
      <c r="Y642" s="39" t="n"/>
      <c r="Z642" s="39" t="n"/>
      <c r="AA642" t="inlineStr">
        <is>
          <t>Marco Antonio Cordova Oropeza</t>
        </is>
      </c>
      <c r="AB642" t="inlineStr">
        <is>
          <t>22079563</t>
        </is>
      </c>
      <c r="AC642" t="inlineStr">
        <is>
          <t>Av.Cayetano Heredia 435 Int.1 Urb Fundo Oyague</t>
        </is>
      </c>
      <c r="AD642" t="n">
        <v>0</v>
      </c>
      <c r="AE642" t="inlineStr">
        <is>
          <t>1513-257-6062</t>
        </is>
      </c>
      <c r="AF642" t="inlineStr">
        <is>
          <t>maancoor@gmail.com</t>
        </is>
      </c>
      <c r="AG642" t="inlineStr">
        <is>
          <t>LIMA</t>
        </is>
      </c>
      <c r="AH642" t="inlineStr">
        <is>
          <t>JESUS MARIA</t>
        </is>
      </c>
      <c r="AI642" s="116" t="n">
        <v>46262</v>
      </c>
      <c r="AJ642" s="116" t="n">
        <v>46258</v>
      </c>
      <c r="AK642" t="inlineStr">
        <is>
          <t>SALDO FINANCIAR</t>
        </is>
      </c>
      <c r="AL642" t="n">
        <v>2</v>
      </c>
      <c r="AM642" t="n">
        <v>37270.91</v>
      </c>
      <c r="AN642" t="n">
        <v>0</v>
      </c>
      <c r="AO642" t="n">
        <v>0</v>
      </c>
      <c r="AP642" s="39" t="n">
        <v>37270.91</v>
      </c>
      <c r="AQ642" s="39" t="n">
        <v>37270.91</v>
      </c>
      <c r="AR642" s="39" t="n">
        <v>0</v>
      </c>
      <c r="AS642" t="n">
        <v>0</v>
      </c>
      <c r="AT642" t="inlineStr">
        <is>
          <t>Crédito Directo</t>
        </is>
      </c>
      <c r="AU642" t="inlineStr">
        <is>
          <t>Banco de Credito del Perú</t>
        </is>
      </c>
      <c r="AV642" t="inlineStr">
        <is>
          <t>194-7325779-0-65</t>
        </is>
      </c>
      <c r="AW642" t="inlineStr">
        <is>
          <t>DEPOSITO EN CUENTA</t>
        </is>
      </c>
      <c r="AY642" t="inlineStr">
        <is>
          <t>1930178170153624</t>
        </is>
      </c>
      <c r="AZ642" t="inlineStr">
        <is>
          <t>No</t>
        </is>
      </c>
      <c r="BA642" t="inlineStr">
        <is>
          <t>AHORROS PERSONALES</t>
        </is>
      </c>
      <c r="BB642" t="n">
        <v>4</v>
      </c>
      <c r="BC642" t="inlineStr">
        <is>
          <t>CANCELADO</t>
        </is>
      </c>
      <c r="BN642" t="inlineStr">
        <is>
          <t>Si</t>
        </is>
      </c>
      <c r="BO642" s="117" t="n">
        <v>45986.54513888889</v>
      </c>
      <c r="BP642" t="inlineStr">
        <is>
          <t>Magaly Guevara Perez</t>
        </is>
      </c>
      <c r="BR642" t="n">
        <v>1</v>
      </c>
      <c r="BS642" t="inlineStr">
        <is>
          <t>24/08/2026 15:27</t>
        </is>
      </c>
      <c r="BT642" t="n">
        <v>0</v>
      </c>
      <c r="BX642" t="inlineStr">
        <is>
          <t>Cobranzas_2026.csv</t>
        </is>
      </c>
      <c r="BY642" t="n">
        <v>2026</v>
      </c>
      <c r="BZ642" t="inlineStr">
        <is>
          <t>01/01/2024</t>
        </is>
      </c>
      <c r="CA642" t="inlineStr">
        <is>
          <t>30/09/2031</t>
        </is>
      </c>
    </row>
    <row r="643">
      <c r="A643" t="inlineStr">
        <is>
          <t>RESIDENCIAL BEYOND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201</t>
        </is>
      </c>
      <c r="G643" s="39" t="n">
        <v>518500</v>
      </c>
      <c r="H643" s="39" t="n">
        <v>469500</v>
      </c>
      <c r="I643" t="inlineStr">
        <is>
          <t>Edificio</t>
        </is>
      </c>
      <c r="J643" t="inlineStr">
        <is>
          <t>A</t>
        </is>
      </c>
      <c r="K643" t="inlineStr">
        <is>
          <t>Estacionamiento</t>
        </is>
      </c>
      <c r="L643" t="inlineStr">
        <is>
          <t>E 16</t>
        </is>
      </c>
      <c r="M643" s="39" t="n">
        <v>50400</v>
      </c>
      <c r="N643" s="39" t="n">
        <v>50400</v>
      </c>
      <c r="S643" s="39" t="n"/>
      <c r="T643" s="39" t="n"/>
      <c r="Y643" s="39" t="n"/>
      <c r="Z643" s="39" t="n"/>
      <c r="AA643" t="inlineStr">
        <is>
          <t>Marco Antonio Cordova Oropeza</t>
        </is>
      </c>
      <c r="AB643" t="inlineStr">
        <is>
          <t>22079563</t>
        </is>
      </c>
      <c r="AC643" t="inlineStr">
        <is>
          <t>Av.Cayetano Heredia 435 Int.1 Urb Fundo Oyague</t>
        </is>
      </c>
      <c r="AD643" t="n">
        <v>0</v>
      </c>
      <c r="AE643" t="inlineStr">
        <is>
          <t>1513-257-6062</t>
        </is>
      </c>
      <c r="AF643" t="inlineStr">
        <is>
          <t>maancoor@gmail.com</t>
        </is>
      </c>
      <c r="AG643" t="inlineStr">
        <is>
          <t>LIMA</t>
        </is>
      </c>
      <c r="AH643" t="inlineStr">
        <is>
          <t>JESUS MARIA</t>
        </is>
      </c>
      <c r="AI643" s="116" t="n">
        <v>46293</v>
      </c>
      <c r="AJ643" s="116" t="n"/>
      <c r="AK643" t="inlineStr">
        <is>
          <t>SALDO FINANCIAR</t>
        </is>
      </c>
      <c r="AL643" t="n">
        <v>3</v>
      </c>
      <c r="AM643" t="n">
        <v>37270.91</v>
      </c>
      <c r="AN643" t="n">
        <v>0</v>
      </c>
      <c r="AO643" t="n">
        <v>0</v>
      </c>
      <c r="AP643" s="39" t="n">
        <v>37270.91</v>
      </c>
      <c r="AQ643" s="39" t="n">
        <v>0</v>
      </c>
      <c r="AR643" s="39" t="n">
        <v>37270.91</v>
      </c>
      <c r="AT643" t="inlineStr">
        <is>
          <t>Crédito Directo</t>
        </is>
      </c>
      <c r="AZ643" t="inlineStr">
        <is>
          <t>No</t>
        </is>
      </c>
      <c r="BC643" t="inlineStr">
        <is>
          <t>VENCIDO</t>
        </is>
      </c>
      <c r="BN643" t="inlineStr">
        <is>
          <t>No</t>
        </is>
      </c>
      <c r="BO643" s="117" t="n">
        <v>45986.54513888889</v>
      </c>
      <c r="BP643" t="inlineStr">
        <is>
          <t>Magaly Guevara Perez</t>
        </is>
      </c>
      <c r="BR643" t="n">
        <v>1</v>
      </c>
      <c r="BT643" t="n">
        <v>0</v>
      </c>
      <c r="BX643" t="inlineStr">
        <is>
          <t>Cobranzas_2026.csv</t>
        </is>
      </c>
      <c r="BY643" t="n">
        <v>2026</v>
      </c>
      <c r="BZ643" t="inlineStr">
        <is>
          <t>01/01/2024</t>
        </is>
      </c>
      <c r="CA643" t="inlineStr">
        <is>
          <t>30/09/2031</t>
        </is>
      </c>
    </row>
    <row r="644">
      <c r="A644" t="inlineStr">
        <is>
          <t>RESIDENCIAL BEYOND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201</t>
        </is>
      </c>
      <c r="G644" s="39" t="n">
        <v>518500</v>
      </c>
      <c r="H644" s="39" t="n">
        <v>469500</v>
      </c>
      <c r="I644" t="inlineStr">
        <is>
          <t>Edificio</t>
        </is>
      </c>
      <c r="J644" t="inlineStr">
        <is>
          <t>A</t>
        </is>
      </c>
      <c r="K644" t="inlineStr">
        <is>
          <t>Estacionamiento</t>
        </is>
      </c>
      <c r="L644" t="inlineStr">
        <is>
          <t>E 16</t>
        </is>
      </c>
      <c r="M644" s="39" t="n">
        <v>50400</v>
      </c>
      <c r="N644" s="39" t="n">
        <v>50400</v>
      </c>
      <c r="S644" s="39" t="n"/>
      <c r="T644" s="39" t="n"/>
      <c r="Y644" s="39" t="n"/>
      <c r="Z644" s="39" t="n"/>
      <c r="AA644" t="inlineStr">
        <is>
          <t>Marco Antonio Cordova Oropeza</t>
        </is>
      </c>
      <c r="AB644" t="inlineStr">
        <is>
          <t>22079563</t>
        </is>
      </c>
      <c r="AC644" t="inlineStr">
        <is>
          <t>Av.Cayetano Heredia 435 Int.1 Urb Fundo Oyague</t>
        </is>
      </c>
      <c r="AD644" t="n">
        <v>0</v>
      </c>
      <c r="AE644" t="inlineStr">
        <is>
          <t>1513-257-6062</t>
        </is>
      </c>
      <c r="AF644" t="inlineStr">
        <is>
          <t>maancoor@gmail.com</t>
        </is>
      </c>
      <c r="AG644" t="inlineStr">
        <is>
          <t>LIMA</t>
        </is>
      </c>
      <c r="AH644" t="inlineStr">
        <is>
          <t>JESUS MARIA</t>
        </is>
      </c>
      <c r="AI644" s="116" t="n">
        <v>46323</v>
      </c>
      <c r="AJ644" s="116" t="n"/>
      <c r="AK644" t="inlineStr">
        <is>
          <t>SALDO FINANCIAR</t>
        </is>
      </c>
      <c r="AL644" t="n">
        <v>4</v>
      </c>
      <c r="AM644" t="n">
        <v>37270.91</v>
      </c>
      <c r="AN644" t="n">
        <v>0</v>
      </c>
      <c r="AO644" t="n">
        <v>0</v>
      </c>
      <c r="AP644" s="39" t="n">
        <v>37270.91</v>
      </c>
      <c r="AQ644" s="39" t="n">
        <v>0</v>
      </c>
      <c r="AR644" s="39" t="n">
        <v>37270.91</v>
      </c>
      <c r="AT644" t="inlineStr">
        <is>
          <t>Crédito Directo</t>
        </is>
      </c>
      <c r="AZ644" t="inlineStr">
        <is>
          <t>No</t>
        </is>
      </c>
      <c r="BC644" t="inlineStr">
        <is>
          <t>PENDIENTE</t>
        </is>
      </c>
      <c r="BN644" t="inlineStr">
        <is>
          <t>No</t>
        </is>
      </c>
      <c r="BO644" s="117" t="n">
        <v>45986.54513888889</v>
      </c>
      <c r="BP644" t="inlineStr">
        <is>
          <t>Magaly Guevara Perez</t>
        </is>
      </c>
      <c r="BR644" t="n">
        <v>1</v>
      </c>
      <c r="BT644" t="n">
        <v>0</v>
      </c>
      <c r="BX644" t="inlineStr">
        <is>
          <t>Cobranzas_2026.csv</t>
        </is>
      </c>
      <c r="BY644" t="n">
        <v>2026</v>
      </c>
      <c r="BZ644" t="inlineStr">
        <is>
          <t>01/01/2024</t>
        </is>
      </c>
      <c r="CA644" t="inlineStr">
        <is>
          <t>30/09/2031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201</t>
        </is>
      </c>
      <c r="G645" s="39" t="n">
        <v>518500</v>
      </c>
      <c r="H645" s="39" t="n">
        <v>469500</v>
      </c>
      <c r="I645" t="inlineStr">
        <is>
          <t>Edificio</t>
        </is>
      </c>
      <c r="J645" t="inlineStr">
        <is>
          <t>A</t>
        </is>
      </c>
      <c r="K645" t="inlineStr">
        <is>
          <t>Estacionamiento</t>
        </is>
      </c>
      <c r="L645" t="inlineStr">
        <is>
          <t>E 16</t>
        </is>
      </c>
      <c r="M645" s="39" t="n">
        <v>50400</v>
      </c>
      <c r="N645" s="39" t="n">
        <v>50400</v>
      </c>
      <c r="S645" s="39" t="n"/>
      <c r="T645" s="39" t="n"/>
      <c r="Y645" s="39" t="n"/>
      <c r="Z645" s="39" t="n"/>
      <c r="AA645" t="inlineStr">
        <is>
          <t>Marco Antonio Cordova Oropeza</t>
        </is>
      </c>
      <c r="AB645" t="inlineStr">
        <is>
          <t>22079563</t>
        </is>
      </c>
      <c r="AC645" t="inlineStr">
        <is>
          <t>Av.Cayetano Heredia 435 Int.1 Urb Fundo Oyague</t>
        </is>
      </c>
      <c r="AD645" t="n">
        <v>0</v>
      </c>
      <c r="AE645" t="inlineStr">
        <is>
          <t>1513-257-6062</t>
        </is>
      </c>
      <c r="AF645" t="inlineStr">
        <is>
          <t>maancoor@gmail.com</t>
        </is>
      </c>
      <c r="AG645" t="inlineStr">
        <is>
          <t>LIMA</t>
        </is>
      </c>
      <c r="AH645" t="inlineStr">
        <is>
          <t>JESUS MARIA</t>
        </is>
      </c>
      <c r="AI645" s="116" t="n">
        <v>46354</v>
      </c>
      <c r="AJ645" s="116" t="n"/>
      <c r="AK645" t="inlineStr">
        <is>
          <t>SALDO FINANCIAR</t>
        </is>
      </c>
      <c r="AL645" t="n">
        <v>5</v>
      </c>
      <c r="AM645" t="n">
        <v>37270.91</v>
      </c>
      <c r="AN645" t="n">
        <v>0</v>
      </c>
      <c r="AO645" t="n">
        <v>0</v>
      </c>
      <c r="AP645" s="39" t="n">
        <v>37270.91</v>
      </c>
      <c r="AQ645" s="39" t="n">
        <v>0</v>
      </c>
      <c r="AR645" s="39" t="n">
        <v>37270.91</v>
      </c>
      <c r="AT645" t="inlineStr">
        <is>
          <t>Crédito Directo</t>
        </is>
      </c>
      <c r="AZ645" t="inlineStr">
        <is>
          <t>No</t>
        </is>
      </c>
      <c r="BC645" t="inlineStr">
        <is>
          <t>PENDIENTE</t>
        </is>
      </c>
      <c r="BN645" t="inlineStr">
        <is>
          <t>No</t>
        </is>
      </c>
      <c r="BO645" s="117" t="n">
        <v>45986.54513888889</v>
      </c>
      <c r="BP645" t="inlineStr">
        <is>
          <t>Magaly Guevara Perez</t>
        </is>
      </c>
      <c r="BR645" t="n">
        <v>1</v>
      </c>
      <c r="BT645" t="n">
        <v>0</v>
      </c>
      <c r="BX645" t="inlineStr">
        <is>
          <t>Cobranzas_2026.csv</t>
        </is>
      </c>
      <c r="BY645" t="n">
        <v>2026</v>
      </c>
      <c r="BZ645" t="inlineStr">
        <is>
          <t>01/01/2024</t>
        </is>
      </c>
      <c r="CA645" t="inlineStr">
        <is>
          <t>30/09/2031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201</t>
        </is>
      </c>
      <c r="G646" s="39" t="n">
        <v>518500</v>
      </c>
      <c r="H646" s="39" t="n">
        <v>469500</v>
      </c>
      <c r="I646" t="inlineStr">
        <is>
          <t>Edificio</t>
        </is>
      </c>
      <c r="J646" t="inlineStr">
        <is>
          <t>A</t>
        </is>
      </c>
      <c r="K646" t="inlineStr">
        <is>
          <t>Estacionamiento</t>
        </is>
      </c>
      <c r="L646" t="inlineStr">
        <is>
          <t>E 16</t>
        </is>
      </c>
      <c r="M646" s="39" t="n">
        <v>50400</v>
      </c>
      <c r="N646" s="39" t="n">
        <v>50400</v>
      </c>
      <c r="S646" s="39" t="n"/>
      <c r="T646" s="39" t="n"/>
      <c r="Y646" s="39" t="n"/>
      <c r="Z646" s="39" t="n"/>
      <c r="AA646" t="inlineStr">
        <is>
          <t>Marco Antonio Cordova Oropeza</t>
        </is>
      </c>
      <c r="AB646" t="inlineStr">
        <is>
          <t>22079563</t>
        </is>
      </c>
      <c r="AC646" t="inlineStr">
        <is>
          <t>Av.Cayetano Heredia 435 Int.1 Urb Fundo Oyague</t>
        </is>
      </c>
      <c r="AD646" t="n">
        <v>0</v>
      </c>
      <c r="AE646" t="inlineStr">
        <is>
          <t>1513-257-6062</t>
        </is>
      </c>
      <c r="AF646" t="inlineStr">
        <is>
          <t>maancoor@gmail.com</t>
        </is>
      </c>
      <c r="AG646" t="inlineStr">
        <is>
          <t>LIMA</t>
        </is>
      </c>
      <c r="AH646" t="inlineStr">
        <is>
          <t>JESUS MARIA</t>
        </is>
      </c>
      <c r="AI646" s="116" t="n">
        <v>46384</v>
      </c>
      <c r="AJ646" s="116" t="n"/>
      <c r="AK646" t="inlineStr">
        <is>
          <t>SALDO FINANCIAR</t>
        </is>
      </c>
      <c r="AL646" t="n">
        <v>6</v>
      </c>
      <c r="AM646" t="n">
        <v>37270.91</v>
      </c>
      <c r="AN646" t="n">
        <v>0</v>
      </c>
      <c r="AO646" t="n">
        <v>0</v>
      </c>
      <c r="AP646" s="39" t="n">
        <v>37270.91</v>
      </c>
      <c r="AQ646" s="39" t="n">
        <v>0</v>
      </c>
      <c r="AR646" s="39" t="n">
        <v>37270.91</v>
      </c>
      <c r="AT646" t="inlineStr">
        <is>
          <t>Crédito Directo</t>
        </is>
      </c>
      <c r="AZ646" t="inlineStr">
        <is>
          <t>No</t>
        </is>
      </c>
      <c r="BC646" t="inlineStr">
        <is>
          <t>PENDIENTE</t>
        </is>
      </c>
      <c r="BN646" t="inlineStr">
        <is>
          <t>No</t>
        </is>
      </c>
      <c r="BO646" s="117" t="n">
        <v>45986.54513888889</v>
      </c>
      <c r="BP646" t="inlineStr">
        <is>
          <t>Magaly Guevara Perez</t>
        </is>
      </c>
      <c r="BR646" t="n">
        <v>1</v>
      </c>
      <c r="BT646" t="n">
        <v>0</v>
      </c>
      <c r="BX646" t="inlineStr">
        <is>
          <t>Cobranzas_2026.csv</t>
        </is>
      </c>
      <c r="BY646" t="n">
        <v>2026</v>
      </c>
      <c r="BZ646" t="inlineStr">
        <is>
          <t>01/01/2024</t>
        </is>
      </c>
      <c r="CA646" t="inlineStr">
        <is>
          <t>30/09/2031</t>
        </is>
      </c>
    </row>
    <row r="647">
      <c r="A647" t="inlineStr">
        <is>
          <t>RESIDENCIAL PRADA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803</t>
        </is>
      </c>
      <c r="G647" s="39" t="n">
        <v>654000</v>
      </c>
      <c r="H647" s="39" t="n">
        <v>654000</v>
      </c>
      <c r="I647" t="inlineStr">
        <is>
          <t>Edificio</t>
        </is>
      </c>
      <c r="J647" t="inlineStr">
        <is>
          <t>A</t>
        </is>
      </c>
      <c r="K647" t="inlineStr">
        <is>
          <t>Estacionamiento</t>
        </is>
      </c>
      <c r="L647" t="inlineStr">
        <is>
          <t>E 33 - D 25</t>
        </is>
      </c>
      <c r="M647" s="39" t="n">
        <v>60000</v>
      </c>
      <c r="N647" s="39" t="n">
        <v>60000</v>
      </c>
      <c r="O647" t="inlineStr">
        <is>
          <t>Edificio</t>
        </is>
      </c>
      <c r="P647" t="inlineStr">
        <is>
          <t>A</t>
        </is>
      </c>
      <c r="Q647" t="inlineStr">
        <is>
          <t>Estacionamiento</t>
        </is>
      </c>
      <c r="R647" t="inlineStr">
        <is>
          <t>E 32 - D 24</t>
        </is>
      </c>
      <c r="S647" s="39" t="n">
        <v>55800</v>
      </c>
      <c r="T647" s="39" t="n">
        <v>55800</v>
      </c>
      <c r="Y647" s="39" t="n"/>
      <c r="Z647" s="39" t="n"/>
      <c r="AA647" t="inlineStr">
        <is>
          <t>Marco Antonio Cordova Oropeza</t>
        </is>
      </c>
      <c r="AB647" t="inlineStr">
        <is>
          <t>22079563</t>
        </is>
      </c>
      <c r="AC647" t="inlineStr">
        <is>
          <t>Av.Cayetano Heredia 435 Int.1 Urb Fundo Oyague</t>
        </is>
      </c>
      <c r="AD647" t="n">
        <v>0</v>
      </c>
      <c r="AE647" t="inlineStr">
        <is>
          <t>1513-257-6062</t>
        </is>
      </c>
      <c r="AF647" t="inlineStr">
        <is>
          <t>maancoor@gmail.com</t>
        </is>
      </c>
      <c r="AG647" t="inlineStr">
        <is>
          <t>LIMA</t>
        </is>
      </c>
      <c r="AH647" t="inlineStr">
        <is>
          <t>JESUS MARIA</t>
        </is>
      </c>
      <c r="AI647" s="116" t="n">
        <v>46037</v>
      </c>
      <c r="AJ647" s="116" t="n">
        <v>45964</v>
      </c>
      <c r="AK647" t="inlineStr">
        <is>
          <t>SALDO FINANCIAR</t>
        </is>
      </c>
      <c r="AL647" t="n">
        <v>5</v>
      </c>
      <c r="AM647" t="n">
        <v>65982.86</v>
      </c>
      <c r="AN647" t="n">
        <v>0</v>
      </c>
      <c r="AO647" t="n">
        <v>0</v>
      </c>
      <c r="AP647" s="39" t="n">
        <v>65982.86</v>
      </c>
      <c r="AQ647" s="39" t="n">
        <v>65982.86</v>
      </c>
      <c r="AR647" s="39" t="n">
        <v>0</v>
      </c>
      <c r="AS647" t="n">
        <v>0</v>
      </c>
      <c r="AT647" t="inlineStr">
        <is>
          <t>Crédito Directo</t>
        </is>
      </c>
      <c r="AU647" t="inlineStr">
        <is>
          <t>Scotiabank Perú</t>
        </is>
      </c>
      <c r="AV647" t="inlineStr">
        <is>
          <t>000-2768484</t>
        </is>
      </c>
      <c r="AW647" t="inlineStr">
        <is>
          <t>TRANSFERENCIA BANCARIA</t>
        </is>
      </c>
      <c r="AY647" t="inlineStr">
        <is>
          <t>0210772</t>
        </is>
      </c>
      <c r="AZ647" t="inlineStr">
        <is>
          <t>No</t>
        </is>
      </c>
      <c r="BB647" t="n">
        <v>4</v>
      </c>
      <c r="BC647" t="inlineStr">
        <is>
          <t>CANCELADO</t>
        </is>
      </c>
      <c r="BN647" t="inlineStr">
        <is>
          <t>Si</t>
        </is>
      </c>
      <c r="BO647" s="117" t="n">
        <v>45863.7375</v>
      </c>
      <c r="BP647" t="inlineStr">
        <is>
          <t>Magaly Guevara Perez</t>
        </is>
      </c>
      <c r="BR647" t="n">
        <v>40</v>
      </c>
      <c r="BS647" t="inlineStr">
        <is>
          <t>03/07/2026 17:38</t>
        </is>
      </c>
      <c r="BT647" t="n">
        <v>0</v>
      </c>
      <c r="BX647" t="inlineStr">
        <is>
          <t>Cobranzas_2026.csv</t>
        </is>
      </c>
      <c r="BY647" t="n">
        <v>2026</v>
      </c>
      <c r="BZ647" t="inlineStr">
        <is>
          <t>01/01/2024</t>
        </is>
      </c>
      <c r="CA647" t="inlineStr">
        <is>
          <t>30/09/2031</t>
        </is>
      </c>
    </row>
    <row r="648">
      <c r="A648" t="inlineStr">
        <is>
          <t>RESIDENCIAL PRADA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803</t>
        </is>
      </c>
      <c r="G648" s="39" t="n">
        <v>654000</v>
      </c>
      <c r="H648" s="39" t="n">
        <v>654000</v>
      </c>
      <c r="I648" t="inlineStr">
        <is>
          <t>Edificio</t>
        </is>
      </c>
      <c r="J648" t="inlineStr">
        <is>
          <t>A</t>
        </is>
      </c>
      <c r="K648" t="inlineStr">
        <is>
          <t>Estacionamiento</t>
        </is>
      </c>
      <c r="L648" t="inlineStr">
        <is>
          <t>E 33 - D 25</t>
        </is>
      </c>
      <c r="M648" s="39" t="n">
        <v>60000</v>
      </c>
      <c r="N648" s="39" t="n">
        <v>60000</v>
      </c>
      <c r="O648" t="inlineStr">
        <is>
          <t>Edificio</t>
        </is>
      </c>
      <c r="P648" t="inlineStr">
        <is>
          <t>A</t>
        </is>
      </c>
      <c r="Q648" t="inlineStr">
        <is>
          <t>Estacionamiento</t>
        </is>
      </c>
      <c r="R648" t="inlineStr">
        <is>
          <t>E 32 - D 24</t>
        </is>
      </c>
      <c r="S648" s="39" t="n">
        <v>55800</v>
      </c>
      <c r="T648" s="39" t="n">
        <v>55800</v>
      </c>
      <c r="Y648" s="39" t="n"/>
      <c r="Z648" s="39" t="n"/>
      <c r="AA648" t="inlineStr">
        <is>
          <t>Marco Antonio Cordova Oropeza</t>
        </is>
      </c>
      <c r="AB648" t="inlineStr">
        <is>
          <t>22079563</t>
        </is>
      </c>
      <c r="AC648" t="inlineStr">
        <is>
          <t>Av.Cayetano Heredia 435 Int.1 Urb Fundo Oyague</t>
        </is>
      </c>
      <c r="AD648" t="n">
        <v>0</v>
      </c>
      <c r="AE648" t="inlineStr">
        <is>
          <t>1513-257-6062</t>
        </is>
      </c>
      <c r="AF648" t="inlineStr">
        <is>
          <t>maancoor@gmail.com</t>
        </is>
      </c>
      <c r="AG648" t="inlineStr">
        <is>
          <t>LIMA</t>
        </is>
      </c>
      <c r="AH648" t="inlineStr">
        <is>
          <t>JESUS MARIA</t>
        </is>
      </c>
      <c r="AI648" s="116" t="n">
        <v>46068</v>
      </c>
      <c r="AJ648" s="116" t="n">
        <v>46059</v>
      </c>
      <c r="AK648" t="inlineStr">
        <is>
          <t>SALDO FINANCIAR</t>
        </is>
      </c>
      <c r="AL648" t="n">
        <v>6</v>
      </c>
      <c r="AM648" t="n">
        <v>65982.86</v>
      </c>
      <c r="AN648" t="n">
        <v>0</v>
      </c>
      <c r="AO648" t="n">
        <v>0</v>
      </c>
      <c r="AP648" s="39" t="n">
        <v>65982.86</v>
      </c>
      <c r="AQ648" s="39" t="n">
        <v>65982.86</v>
      </c>
      <c r="AR648" s="39" t="n">
        <v>0</v>
      </c>
      <c r="AS648" t="n">
        <v>0</v>
      </c>
      <c r="AT648" t="inlineStr">
        <is>
          <t>Crédito Directo</t>
        </is>
      </c>
      <c r="AU648" t="inlineStr">
        <is>
          <t>Scotiabank Perú</t>
        </is>
      </c>
      <c r="AV648" t="inlineStr">
        <is>
          <t>000-2768484</t>
        </is>
      </c>
      <c r="AW648" t="inlineStr">
        <is>
          <t>TRANSFERENCIA BANCARIA</t>
        </is>
      </c>
      <c r="AY648" t="inlineStr">
        <is>
          <t>0914981</t>
        </is>
      </c>
      <c r="AZ648" t="inlineStr">
        <is>
          <t>No</t>
        </is>
      </c>
      <c r="BB648" t="n">
        <v>4</v>
      </c>
      <c r="BC648" t="inlineStr">
        <is>
          <t>CANCELADO</t>
        </is>
      </c>
      <c r="BN648" t="inlineStr">
        <is>
          <t>Si</t>
        </is>
      </c>
      <c r="BO648" s="117" t="n">
        <v>45863.7375</v>
      </c>
      <c r="BP648" t="inlineStr">
        <is>
          <t>Magaly Guevara Perez</t>
        </is>
      </c>
      <c r="BR648" t="n">
        <v>40</v>
      </c>
      <c r="BS648" t="inlineStr">
        <is>
          <t>03/07/2026 17:41</t>
        </is>
      </c>
      <c r="BT648" t="n">
        <v>0</v>
      </c>
      <c r="BX648" t="inlineStr">
        <is>
          <t>Cobranzas_2026.csv</t>
        </is>
      </c>
      <c r="BY648" t="n">
        <v>2026</v>
      </c>
      <c r="BZ648" t="inlineStr">
        <is>
          <t>01/01/2024</t>
        </is>
      </c>
      <c r="CA648" t="inlineStr">
        <is>
          <t>30/09/2031</t>
        </is>
      </c>
    </row>
    <row r="649">
      <c r="A649" t="inlineStr">
        <is>
          <t>RESIDENCIAL PRADA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803</t>
        </is>
      </c>
      <c r="G649" s="39" t="n">
        <v>654000</v>
      </c>
      <c r="H649" s="39" t="n">
        <v>654000</v>
      </c>
      <c r="I649" t="inlineStr">
        <is>
          <t>Edificio</t>
        </is>
      </c>
      <c r="J649" t="inlineStr">
        <is>
          <t>A</t>
        </is>
      </c>
      <c r="K649" t="inlineStr">
        <is>
          <t>Estacionamiento</t>
        </is>
      </c>
      <c r="L649" t="inlineStr">
        <is>
          <t>E 33 - D 25</t>
        </is>
      </c>
      <c r="M649" s="39" t="n">
        <v>60000</v>
      </c>
      <c r="N649" s="39" t="n">
        <v>60000</v>
      </c>
      <c r="O649" t="inlineStr">
        <is>
          <t>Edificio</t>
        </is>
      </c>
      <c r="P649" t="inlineStr">
        <is>
          <t>A</t>
        </is>
      </c>
      <c r="Q649" t="inlineStr">
        <is>
          <t>Estacionamiento</t>
        </is>
      </c>
      <c r="R649" t="inlineStr">
        <is>
          <t>E 32 - D 24</t>
        </is>
      </c>
      <c r="S649" s="39" t="n">
        <v>55800</v>
      </c>
      <c r="T649" s="39" t="n">
        <v>55800</v>
      </c>
      <c r="Y649" s="39" t="n"/>
      <c r="Z649" s="39" t="n"/>
      <c r="AA649" t="inlineStr">
        <is>
          <t>Marco Antonio Cordova Oropeza</t>
        </is>
      </c>
      <c r="AB649" t="inlineStr">
        <is>
          <t>22079563</t>
        </is>
      </c>
      <c r="AC649" t="inlineStr">
        <is>
          <t>Av.Cayetano Heredia 435 Int.1 Urb Fundo Oyague</t>
        </is>
      </c>
      <c r="AD649" t="n">
        <v>0</v>
      </c>
      <c r="AE649" t="inlineStr">
        <is>
          <t>1513-257-6062</t>
        </is>
      </c>
      <c r="AF649" t="inlineStr">
        <is>
          <t>maancoor@gmail.com</t>
        </is>
      </c>
      <c r="AG649" t="inlineStr">
        <is>
          <t>LIMA</t>
        </is>
      </c>
      <c r="AH649" t="inlineStr">
        <is>
          <t>JESUS MARIA</t>
        </is>
      </c>
      <c r="AI649" s="116" t="n">
        <v>46096</v>
      </c>
      <c r="AJ649" s="116" t="n">
        <v>46059</v>
      </c>
      <c r="AK649" t="inlineStr">
        <is>
          <t>SALDO FINANCIAR</t>
        </is>
      </c>
      <c r="AL649" t="n">
        <v>7</v>
      </c>
      <c r="AM649" t="n">
        <v>65982.84</v>
      </c>
      <c r="AN649" t="n">
        <v>0</v>
      </c>
      <c r="AO649" t="n">
        <v>0</v>
      </c>
      <c r="AP649" s="39" t="n">
        <v>65982.84</v>
      </c>
      <c r="AQ649" s="39" t="n">
        <v>65982.84</v>
      </c>
      <c r="AR649" s="39" t="n">
        <v>0</v>
      </c>
      <c r="AS649" t="n">
        <v>0</v>
      </c>
      <c r="AT649" t="inlineStr">
        <is>
          <t>Crédito Directo</t>
        </is>
      </c>
      <c r="AU649" t="inlineStr">
        <is>
          <t>Scotiabank Perú</t>
        </is>
      </c>
      <c r="AV649" t="inlineStr">
        <is>
          <t>000-2768484</t>
        </is>
      </c>
      <c r="AW649" t="inlineStr">
        <is>
          <t>TRANSFERENCIA BANCARIA</t>
        </is>
      </c>
      <c r="AY649" t="inlineStr">
        <is>
          <t>0914981</t>
        </is>
      </c>
      <c r="AZ649" t="inlineStr">
        <is>
          <t>No</t>
        </is>
      </c>
      <c r="BB649" t="n">
        <v>4</v>
      </c>
      <c r="BC649" t="inlineStr">
        <is>
          <t>CANCELADO</t>
        </is>
      </c>
      <c r="BN649" t="inlineStr">
        <is>
          <t>Si</t>
        </is>
      </c>
      <c r="BO649" s="117" t="n">
        <v>45863.7375</v>
      </c>
      <c r="BP649" t="inlineStr">
        <is>
          <t>Magaly Guevara Perez</t>
        </is>
      </c>
      <c r="BR649" t="n">
        <v>40</v>
      </c>
      <c r="BS649" t="inlineStr">
        <is>
          <t>03/07/2026 17:41</t>
        </is>
      </c>
      <c r="BT649" t="n">
        <v>0</v>
      </c>
      <c r="BX649" t="inlineStr">
        <is>
          <t>Cobranzas_2026.csv</t>
        </is>
      </c>
      <c r="BY649" t="n">
        <v>2026</v>
      </c>
      <c r="BZ649" t="inlineStr">
        <is>
          <t>01/01/2024</t>
        </is>
      </c>
      <c r="CA649" t="inlineStr">
        <is>
          <t>30/09/2031</t>
        </is>
      </c>
    </row>
    <row r="650">
      <c r="A650" t="inlineStr">
        <is>
          <t>RESIDENCIAL PRADA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Estacionamiento</t>
        </is>
      </c>
      <c r="F650" t="inlineStr">
        <is>
          <t>E 03 - D 01</t>
        </is>
      </c>
      <c r="G650" s="39" t="n">
        <v>52500</v>
      </c>
      <c r="H650" s="39" t="n">
        <v>52500</v>
      </c>
      <c r="M650" s="39" t="n"/>
      <c r="N650" s="39" t="n"/>
      <c r="S650" s="39" t="n"/>
      <c r="T650" s="39" t="n"/>
      <c r="Y650" s="39" t="n"/>
      <c r="Z650" s="39" t="n"/>
      <c r="AA650" t="inlineStr">
        <is>
          <t>Marco Antonio Cordova Oropeza</t>
        </is>
      </c>
      <c r="AB650" t="inlineStr">
        <is>
          <t>22079563</t>
        </is>
      </c>
      <c r="AC650" t="inlineStr">
        <is>
          <t>Av.Cayetano Heredia 435 Int.1 Urb Fundo Oyague</t>
        </is>
      </c>
      <c r="AD650" t="n">
        <v>0</v>
      </c>
      <c r="AE650" t="inlineStr">
        <is>
          <t>1513-257-6062</t>
        </is>
      </c>
      <c r="AF650" t="inlineStr">
        <is>
          <t>maancoor@gmail.com</t>
        </is>
      </c>
      <c r="AG650" t="inlineStr">
        <is>
          <t>LIMA</t>
        </is>
      </c>
      <c r="AH650" t="inlineStr">
        <is>
          <t>JESUS MARIA</t>
        </is>
      </c>
      <c r="AI650" s="116" t="n">
        <v>46192</v>
      </c>
      <c r="AJ650" s="116" t="n">
        <v>46192</v>
      </c>
      <c r="AK650" t="inlineStr">
        <is>
          <t>SEPARACION</t>
        </is>
      </c>
      <c r="AL650" t="n">
        <v>1</v>
      </c>
      <c r="AM650" t="n">
        <v>1</v>
      </c>
      <c r="AN650" t="n">
        <v>0</v>
      </c>
      <c r="AO650" t="n">
        <v>0</v>
      </c>
      <c r="AP650" s="39" t="n">
        <v>1</v>
      </c>
      <c r="AQ650" s="39" t="n">
        <v>1</v>
      </c>
      <c r="AR650" s="39" t="n">
        <v>0</v>
      </c>
      <c r="AS650" t="n">
        <v>0</v>
      </c>
      <c r="AT650" t="inlineStr">
        <is>
          <t>Crédito Directo</t>
        </is>
      </c>
      <c r="AU650" t="inlineStr">
        <is>
          <t>Scotiabank Perú</t>
        </is>
      </c>
      <c r="AV650" t="inlineStr">
        <is>
          <t>000-2768484</t>
        </is>
      </c>
      <c r="AW650" t="inlineStr">
        <is>
          <t>TRANSFERENCIA BANCARIA</t>
        </is>
      </c>
      <c r="AY650" t="inlineStr">
        <is>
          <t>05225356</t>
        </is>
      </c>
      <c r="AZ650" t="inlineStr">
        <is>
          <t>No</t>
        </is>
      </c>
      <c r="BB650" t="n">
        <v>4</v>
      </c>
      <c r="BC650" t="inlineStr">
        <is>
          <t>CANCELADO</t>
        </is>
      </c>
      <c r="BN650" t="inlineStr">
        <is>
          <t>Si</t>
        </is>
      </c>
      <c r="BO650" s="117" t="n">
        <v>45989.74652777778</v>
      </c>
      <c r="BP650" t="inlineStr">
        <is>
          <t>Magaly Guevara Perez</t>
        </is>
      </c>
      <c r="BR650" t="n">
        <v>39</v>
      </c>
      <c r="BS650" t="inlineStr">
        <is>
          <t>24/06/2026 17:40</t>
        </is>
      </c>
      <c r="BT650" t="n">
        <v>0</v>
      </c>
      <c r="BX650" t="inlineStr">
        <is>
          <t>Cobranzas_2026.csv</t>
        </is>
      </c>
      <c r="BY650" t="n">
        <v>2026</v>
      </c>
      <c r="BZ650" t="inlineStr">
        <is>
          <t>01/01/2024</t>
        </is>
      </c>
      <c r="CA650" t="inlineStr">
        <is>
          <t>30/09/2031</t>
        </is>
      </c>
    </row>
    <row r="651">
      <c r="A651" t="inlineStr">
        <is>
          <t>RESIDENCIAL PRADA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Estacionamiento</t>
        </is>
      </c>
      <c r="F651" t="inlineStr">
        <is>
          <t>E 03 - D 01</t>
        </is>
      </c>
      <c r="G651" s="39" t="n">
        <v>52500</v>
      </c>
      <c r="H651" s="39" t="n">
        <v>52500</v>
      </c>
      <c r="M651" s="39" t="n"/>
      <c r="N651" s="39" t="n"/>
      <c r="S651" s="39" t="n"/>
      <c r="T651" s="39" t="n"/>
      <c r="Y651" s="39" t="n"/>
      <c r="Z651" s="39" t="n"/>
      <c r="AA651" t="inlineStr">
        <is>
          <t>Marco Antonio Cordova Oropeza</t>
        </is>
      </c>
      <c r="AB651" t="inlineStr">
        <is>
          <t>22079563</t>
        </is>
      </c>
      <c r="AC651" t="inlineStr">
        <is>
          <t>Av.Cayetano Heredia 435 Int.1 Urb Fundo Oyague</t>
        </is>
      </c>
      <c r="AD651" t="n">
        <v>0</v>
      </c>
      <c r="AE651" t="inlineStr">
        <is>
          <t>1513-257-6062</t>
        </is>
      </c>
      <c r="AF651" t="inlineStr">
        <is>
          <t>maancoor@gmail.com</t>
        </is>
      </c>
      <c r="AG651" t="inlineStr">
        <is>
          <t>LIMA</t>
        </is>
      </c>
      <c r="AH651" t="inlineStr">
        <is>
          <t>JESUS MARIA</t>
        </is>
      </c>
      <c r="AI651" s="116" t="n">
        <v>46197</v>
      </c>
      <c r="AJ651" s="116" t="n">
        <v>46197</v>
      </c>
      <c r="AK651" t="inlineStr">
        <is>
          <t>CUOTA INICIAL</t>
        </is>
      </c>
      <c r="AL651" t="n">
        <v>1</v>
      </c>
      <c r="AM651" t="n">
        <v>29000</v>
      </c>
      <c r="AN651" t="n">
        <v>0</v>
      </c>
      <c r="AO651" t="n">
        <v>0</v>
      </c>
      <c r="AP651" s="39" t="n">
        <v>29000</v>
      </c>
      <c r="AQ651" s="39" t="n">
        <v>29000</v>
      </c>
      <c r="AR651" s="39" t="n">
        <v>0</v>
      </c>
      <c r="AS651" t="n">
        <v>0</v>
      </c>
      <c r="AT651" t="inlineStr">
        <is>
          <t>Crédito Directo</t>
        </is>
      </c>
      <c r="AU651" t="inlineStr">
        <is>
          <t>Scotiabank Perú</t>
        </is>
      </c>
      <c r="AV651" t="inlineStr">
        <is>
          <t>000-2768484</t>
        </is>
      </c>
      <c r="AW651" t="inlineStr">
        <is>
          <t>TRANSFERENCIA BANCARIA</t>
        </is>
      </c>
      <c r="AY651" t="inlineStr">
        <is>
          <t>01886785</t>
        </is>
      </c>
      <c r="AZ651" t="inlineStr">
        <is>
          <t>Si</t>
        </is>
      </c>
      <c r="BB651" t="n">
        <v>4</v>
      </c>
      <c r="BC651" t="inlineStr">
        <is>
          <t>CANCELADO</t>
        </is>
      </c>
      <c r="BN651" t="inlineStr">
        <is>
          <t>Si</t>
        </is>
      </c>
      <c r="BO651" s="117" t="n">
        <v>45989.74652777778</v>
      </c>
      <c r="BP651" t="inlineStr">
        <is>
          <t>Magaly Guevara Perez</t>
        </is>
      </c>
      <c r="BR651" t="n">
        <v>39</v>
      </c>
      <c r="BS651" t="inlineStr">
        <is>
          <t>24/06/2026 17:47</t>
        </is>
      </c>
      <c r="BT651" t="n">
        <v>0</v>
      </c>
      <c r="BX651" t="inlineStr">
        <is>
          <t>Cobranzas_2026.csv</t>
        </is>
      </c>
      <c r="BY651" t="n">
        <v>2026</v>
      </c>
      <c r="BZ651" t="inlineStr">
        <is>
          <t>01/01/2024</t>
        </is>
      </c>
      <c r="CA651" t="inlineStr">
        <is>
          <t>30/09/2031</t>
        </is>
      </c>
    </row>
    <row r="652">
      <c r="A652" t="inlineStr">
        <is>
          <t>RESIDENCIAL PRADA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Estacionamiento</t>
        </is>
      </c>
      <c r="F652" t="inlineStr">
        <is>
          <t>E 03 - D 01</t>
        </is>
      </c>
      <c r="G652" s="39" t="n">
        <v>52500</v>
      </c>
      <c r="H652" s="39" t="n">
        <v>52500</v>
      </c>
      <c r="M652" s="39" t="n"/>
      <c r="N652" s="39" t="n"/>
      <c r="S652" s="39" t="n"/>
      <c r="T652" s="39" t="n"/>
      <c r="Y652" s="39" t="n"/>
      <c r="Z652" s="39" t="n"/>
      <c r="AA652" t="inlineStr">
        <is>
          <t>Marco Antonio Cordova Oropeza</t>
        </is>
      </c>
      <c r="AB652" t="inlineStr">
        <is>
          <t>22079563</t>
        </is>
      </c>
      <c r="AC652" t="inlineStr">
        <is>
          <t>Av.Cayetano Heredia 435 Int.1 Urb Fundo Oyague</t>
        </is>
      </c>
      <c r="AD652" t="n">
        <v>0</v>
      </c>
      <c r="AE652" t="inlineStr">
        <is>
          <t>1513-257-6062</t>
        </is>
      </c>
      <c r="AF652" t="inlineStr">
        <is>
          <t>maancoor@gmail.com</t>
        </is>
      </c>
      <c r="AG652" t="inlineStr">
        <is>
          <t>LIMA</t>
        </is>
      </c>
      <c r="AH652" t="inlineStr">
        <is>
          <t>JESUS MARIA</t>
        </is>
      </c>
      <c r="AI652" s="116" t="n">
        <v>46203</v>
      </c>
      <c r="AJ652" s="116" t="n">
        <v>46198</v>
      </c>
      <c r="AK652" t="inlineStr">
        <is>
          <t>SALDO FINANCIAR</t>
        </is>
      </c>
      <c r="AL652" t="n">
        <v>1</v>
      </c>
      <c r="AM652" t="n">
        <v>23499</v>
      </c>
      <c r="AN652" t="n">
        <v>0</v>
      </c>
      <c r="AO652" t="n">
        <v>0</v>
      </c>
      <c r="AP652" s="39" t="n">
        <v>23499</v>
      </c>
      <c r="AQ652" s="39" t="n">
        <v>23499</v>
      </c>
      <c r="AR652" s="39" t="n">
        <v>0</v>
      </c>
      <c r="AS652" t="n">
        <v>0</v>
      </c>
      <c r="AT652" t="inlineStr">
        <is>
          <t>Crédito Directo</t>
        </is>
      </c>
      <c r="AU652" t="inlineStr">
        <is>
          <t>Scotiabank Perú</t>
        </is>
      </c>
      <c r="AV652" t="inlineStr">
        <is>
          <t>000-2768484</t>
        </is>
      </c>
      <c r="AW652" t="inlineStr">
        <is>
          <t>TRANSFERENCIA BANCARIA</t>
        </is>
      </c>
      <c r="AY652" t="inlineStr">
        <is>
          <t>02381234</t>
        </is>
      </c>
      <c r="AZ652" t="inlineStr">
        <is>
          <t>No</t>
        </is>
      </c>
      <c r="BB652" t="n">
        <v>4</v>
      </c>
      <c r="BC652" t="inlineStr">
        <is>
          <t>CANCELADO</t>
        </is>
      </c>
      <c r="BN652" t="inlineStr">
        <is>
          <t>Si</t>
        </is>
      </c>
      <c r="BO652" s="117" t="n">
        <v>45989.74652777778</v>
      </c>
      <c r="BP652" t="inlineStr">
        <is>
          <t>Magaly Guevara Perez</t>
        </is>
      </c>
      <c r="BR652" t="n">
        <v>39</v>
      </c>
      <c r="BS652" t="inlineStr">
        <is>
          <t>26/06/2026 11:33</t>
        </is>
      </c>
      <c r="BT652" t="n">
        <v>0</v>
      </c>
      <c r="BX652" t="inlineStr">
        <is>
          <t>Cobranzas_2026.csv</t>
        </is>
      </c>
      <c r="BY652" t="n">
        <v>2026</v>
      </c>
      <c r="BZ652" t="inlineStr">
        <is>
          <t>01/01/2024</t>
        </is>
      </c>
      <c r="CA652" t="inlineStr">
        <is>
          <t>30/09/2031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202</t>
        </is>
      </c>
      <c r="G653" s="39" t="n">
        <v>430000</v>
      </c>
      <c r="H653" s="39" t="n">
        <v>430000</v>
      </c>
      <c r="M653" s="39" t="n"/>
      <c r="N653" s="39" t="n"/>
      <c r="S653" s="39" t="n"/>
      <c r="T653" s="39" t="n"/>
      <c r="Y653" s="39" t="n"/>
      <c r="Z653" s="39" t="n"/>
      <c r="AA653" t="inlineStr">
        <is>
          <t>Margarita Mercedes Lujas Paredes</t>
        </is>
      </c>
      <c r="AB653" t="inlineStr">
        <is>
          <t>06772294</t>
        </is>
      </c>
      <c r="AC653" t="inlineStr">
        <is>
          <t>Jr. Aguarico 1412 Dpto. 202</t>
        </is>
      </c>
      <c r="AD653" t="n">
        <v>0</v>
      </c>
      <c r="AE653" t="inlineStr">
        <is>
          <t>949196249</t>
        </is>
      </c>
      <c r="AF653" t="inlineStr">
        <is>
          <t>maggilujan@hotmail.com</t>
        </is>
      </c>
      <c r="AG653" t="inlineStr">
        <is>
          <t>LIMA</t>
        </is>
      </c>
      <c r="AH653" t="inlineStr">
        <is>
          <t>BREÑA</t>
        </is>
      </c>
      <c r="AI653" s="116" t="n">
        <v>46081</v>
      </c>
      <c r="AJ653" s="116" t="n">
        <v>46122</v>
      </c>
      <c r="AK653" t="inlineStr">
        <is>
          <t>CUOTA INICIAL</t>
        </is>
      </c>
      <c r="AL653" t="n">
        <v>2</v>
      </c>
      <c r="AM653" t="n">
        <v>20000</v>
      </c>
      <c r="AN653" t="n">
        <v>0</v>
      </c>
      <c r="AO653" t="n">
        <v>0</v>
      </c>
      <c r="AP653" s="39" t="n">
        <v>20000</v>
      </c>
      <c r="AQ653" s="39" t="n">
        <v>20000</v>
      </c>
      <c r="AR653" s="39" t="n">
        <v>0</v>
      </c>
      <c r="AS653" t="n">
        <v>0</v>
      </c>
      <c r="AT653" t="inlineStr">
        <is>
          <t>Ahorro</t>
        </is>
      </c>
      <c r="AU653" t="inlineStr">
        <is>
          <t>Banco de Credito del Perú</t>
        </is>
      </c>
      <c r="AV653" t="inlineStr">
        <is>
          <t>194-7325779-0-65</t>
        </is>
      </c>
      <c r="AW653" t="inlineStr">
        <is>
          <t>TRANSFERENCIA BANCARIA</t>
        </is>
      </c>
      <c r="AX653" t="inlineStr">
        <is>
          <t>06772294</t>
        </is>
      </c>
      <c r="AY653" t="inlineStr">
        <is>
          <t>01282313</t>
        </is>
      </c>
      <c r="AZ653" t="inlineStr">
        <is>
          <t>No</t>
        </is>
      </c>
      <c r="BA653" t="inlineStr">
        <is>
          <t>NO PRECISA</t>
        </is>
      </c>
      <c r="BB653" t="n">
        <v>4</v>
      </c>
      <c r="BC653" t="inlineStr">
        <is>
          <t>CANCELADO</t>
        </is>
      </c>
      <c r="BN653" t="inlineStr">
        <is>
          <t>Si</t>
        </is>
      </c>
      <c r="BO653" s="117" t="n">
        <v>45917.17222222222</v>
      </c>
      <c r="BP653" t="inlineStr">
        <is>
          <t>Carla Michue M</t>
        </is>
      </c>
      <c r="BR653" t="n">
        <v>2</v>
      </c>
      <c r="BS653" t="inlineStr">
        <is>
          <t>18/05/2026 04:20</t>
        </is>
      </c>
      <c r="BT653" t="n">
        <v>0</v>
      </c>
      <c r="BX653" t="inlineStr">
        <is>
          <t>Cobranzas_2026.csv</t>
        </is>
      </c>
      <c r="BY653" t="n">
        <v>2026</v>
      </c>
      <c r="BZ653" t="inlineStr">
        <is>
          <t>01/01/2024</t>
        </is>
      </c>
      <c r="CA653" t="inlineStr">
        <is>
          <t>30/09/2031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202</t>
        </is>
      </c>
      <c r="G654" s="39" t="n">
        <v>430000</v>
      </c>
      <c r="H654" s="39" t="n">
        <v>430000</v>
      </c>
      <c r="M654" s="39" t="n"/>
      <c r="N654" s="39" t="n"/>
      <c r="S654" s="39" t="n"/>
      <c r="T654" s="39" t="n"/>
      <c r="Y654" s="39" t="n"/>
      <c r="Z654" s="39" t="n"/>
      <c r="AA654" t="inlineStr">
        <is>
          <t>Margarita Mercedes Lujas Paredes</t>
        </is>
      </c>
      <c r="AB654" t="inlineStr">
        <is>
          <t>06772294</t>
        </is>
      </c>
      <c r="AC654" t="inlineStr">
        <is>
          <t>Jr. Aguarico 1412 Dpto. 202</t>
        </is>
      </c>
      <c r="AD654" t="n">
        <v>0</v>
      </c>
      <c r="AE654" t="inlineStr">
        <is>
          <t>949196249</t>
        </is>
      </c>
      <c r="AF654" t="inlineStr">
        <is>
          <t>maggilujan@hotmail.com</t>
        </is>
      </c>
      <c r="AG654" t="inlineStr">
        <is>
          <t>LIMA</t>
        </is>
      </c>
      <c r="AH654" t="inlineStr">
        <is>
          <t>BREÑA</t>
        </is>
      </c>
      <c r="AI654" s="116" t="n">
        <v>46234</v>
      </c>
      <c r="AJ654" s="116" t="n"/>
      <c r="AK654" t="inlineStr">
        <is>
          <t>SALDO FINANCIAR</t>
        </is>
      </c>
      <c r="AL654" t="n">
        <v>1</v>
      </c>
      <c r="AM654" t="n">
        <v>387000</v>
      </c>
      <c r="AN654" t="n">
        <v>0</v>
      </c>
      <c r="AO654" t="n">
        <v>0</v>
      </c>
      <c r="AP654" s="39" t="n">
        <v>387000</v>
      </c>
      <c r="AQ654" s="39" t="n">
        <v>0</v>
      </c>
      <c r="AR654" s="39" t="n">
        <v>387000</v>
      </c>
      <c r="AT654" t="inlineStr">
        <is>
          <t>Ahorro</t>
        </is>
      </c>
      <c r="AZ654" t="inlineStr">
        <is>
          <t>No</t>
        </is>
      </c>
      <c r="BC654" t="inlineStr">
        <is>
          <t>VENCIDO</t>
        </is>
      </c>
      <c r="BN654" t="inlineStr">
        <is>
          <t>No</t>
        </is>
      </c>
      <c r="BO654" s="117" t="n">
        <v>45917.17222222222</v>
      </c>
      <c r="BP654" t="inlineStr">
        <is>
          <t>Carla Michue M</t>
        </is>
      </c>
      <c r="BR654" t="n">
        <v>2</v>
      </c>
      <c r="BT654" t="n">
        <v>0</v>
      </c>
      <c r="BX654" t="inlineStr">
        <is>
          <t>Cobranzas_2026.csv</t>
        </is>
      </c>
      <c r="BY654" t="n">
        <v>2026</v>
      </c>
      <c r="BZ654" t="inlineStr">
        <is>
          <t>01/01/2024</t>
        </is>
      </c>
      <c r="CA654" t="inlineStr">
        <is>
          <t>30/09/2031</t>
        </is>
      </c>
    </row>
    <row r="655">
      <c r="A655" t="inlineStr">
        <is>
          <t>RESIDENCIAL PRADA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1002</t>
        </is>
      </c>
      <c r="G655" s="39" t="n">
        <v>415000</v>
      </c>
      <c r="H655" s="39" t="n">
        <v>415000</v>
      </c>
      <c r="M655" s="39" t="n"/>
      <c r="N655" s="39" t="n"/>
      <c r="S655" s="39" t="n"/>
      <c r="T655" s="39" t="n"/>
      <c r="Y655" s="39" t="n"/>
      <c r="Z655" s="39" t="n"/>
      <c r="AA655" t="inlineStr">
        <is>
          <t>Maria de los Angeles Ibañez Mogrovejo</t>
        </is>
      </c>
      <c r="AB655" t="inlineStr">
        <is>
          <t>72190258</t>
        </is>
      </c>
      <c r="AC655" t="inlineStr">
        <is>
          <t xml:space="preserve">Coop.Colegio de Abogados Mz.ELT.1 </t>
        </is>
      </c>
      <c r="AE655" t="inlineStr">
        <is>
          <t>982570759</t>
        </is>
      </c>
      <c r="AF655" t="inlineStr">
        <is>
          <t>maria.benezmogrovejo@gmail.com</t>
        </is>
      </c>
      <c r="AG655" t="inlineStr">
        <is>
          <t>AREQUIPA</t>
        </is>
      </c>
      <c r="AH655" t="inlineStr">
        <is>
          <t>YANAHUARA</t>
        </is>
      </c>
      <c r="AI655" s="116" t="n">
        <v>46081</v>
      </c>
      <c r="AJ655" s="116" t="n">
        <v>46133</v>
      </c>
      <c r="AK655" t="inlineStr">
        <is>
          <t>CUOTA INICIAL</t>
        </is>
      </c>
      <c r="AL655" t="n">
        <v>2</v>
      </c>
      <c r="AM655" t="n">
        <v>129500</v>
      </c>
      <c r="AN655" t="n">
        <v>0</v>
      </c>
      <c r="AO655" t="n">
        <v>0</v>
      </c>
      <c r="AP655" s="39" t="n">
        <v>129500</v>
      </c>
      <c r="AQ655" s="39" t="n">
        <v>129500</v>
      </c>
      <c r="AR655" s="39" t="n">
        <v>0</v>
      </c>
      <c r="AS655" t="n">
        <v>0</v>
      </c>
      <c r="AT655" t="inlineStr">
        <is>
          <t>Ahorro</t>
        </is>
      </c>
      <c r="AU655" t="inlineStr">
        <is>
          <t>Scotiabank Perú</t>
        </is>
      </c>
      <c r="AV655" t="inlineStr">
        <is>
          <t>000-2768484</t>
        </is>
      </c>
      <c r="AW655" t="inlineStr">
        <is>
          <t>TRANSFERENCIA BANCARIA</t>
        </is>
      </c>
      <c r="AY655" t="inlineStr">
        <is>
          <t>004006999</t>
        </is>
      </c>
      <c r="AZ655" t="inlineStr">
        <is>
          <t>No</t>
        </is>
      </c>
      <c r="BB655" t="n">
        <v>4</v>
      </c>
      <c r="BC655" t="inlineStr">
        <is>
          <t>CANCELADO</t>
        </is>
      </c>
      <c r="BN655" t="inlineStr">
        <is>
          <t>Si</t>
        </is>
      </c>
      <c r="BO655" s="117" t="n">
        <v>45993.73611111111</v>
      </c>
      <c r="BP655" t="inlineStr">
        <is>
          <t>Carla Michue M</t>
        </is>
      </c>
      <c r="BR655" t="n">
        <v>16</v>
      </c>
      <c r="BS655" t="inlineStr">
        <is>
          <t>03/07/2026 19:11</t>
        </is>
      </c>
      <c r="BT655" t="n">
        <v>0</v>
      </c>
      <c r="BX655" t="inlineStr">
        <is>
          <t>Cobranzas_2026.csv</t>
        </is>
      </c>
      <c r="BY655" t="n">
        <v>2026</v>
      </c>
      <c r="BZ655" t="inlineStr">
        <is>
          <t>01/01/2024</t>
        </is>
      </c>
      <c r="CA655" t="inlineStr">
        <is>
          <t>30/09/2031</t>
        </is>
      </c>
    </row>
    <row r="656">
      <c r="A656" t="inlineStr">
        <is>
          <t>RESIDENCIAL VENECIA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205</t>
        </is>
      </c>
      <c r="G656" s="39" t="n">
        <v>386000</v>
      </c>
      <c r="H656" s="39" t="n">
        <v>386000</v>
      </c>
      <c r="I656" t="inlineStr">
        <is>
          <t>Edificio</t>
        </is>
      </c>
      <c r="J656" t="inlineStr">
        <is>
          <t>A</t>
        </is>
      </c>
      <c r="K656" t="inlineStr">
        <is>
          <t>Estacionamiento</t>
        </is>
      </c>
      <c r="L656" t="inlineStr">
        <is>
          <t>E 20</t>
        </is>
      </c>
      <c r="M656" s="39" t="n">
        <v>46800</v>
      </c>
      <c r="N656" s="39" t="n">
        <v>46800</v>
      </c>
      <c r="S656" s="39" t="n"/>
      <c r="T656" s="39" t="n"/>
      <c r="Y656" s="39" t="n"/>
      <c r="Z656" s="39" t="n"/>
      <c r="AA656" t="inlineStr">
        <is>
          <t>Mariela Gabriela Zapata Santivañez</t>
        </is>
      </c>
      <c r="AB656" t="inlineStr">
        <is>
          <t>47172559</t>
        </is>
      </c>
      <c r="AC656" t="inlineStr">
        <is>
          <t>Calle Manuel de Falla 233 - 237 Dpto. 102</t>
        </is>
      </c>
      <c r="AD656" t="n">
        <v>0</v>
      </c>
      <c r="AE656" t="inlineStr">
        <is>
          <t>998346460</t>
        </is>
      </c>
      <c r="AF656" t="inlineStr">
        <is>
          <t>g.zapata.santivanez@gmail.com</t>
        </is>
      </c>
      <c r="AG656" t="inlineStr">
        <is>
          <t>LIMA</t>
        </is>
      </c>
      <c r="AH656" t="inlineStr">
        <is>
          <t>SAN BORJA</t>
        </is>
      </c>
      <c r="AI656" s="116" t="n">
        <v>46031</v>
      </c>
      <c r="AJ656" s="116" t="n">
        <v>46031</v>
      </c>
      <c r="AK656" t="inlineStr">
        <is>
          <t>CUOTA INICIAL</t>
        </is>
      </c>
      <c r="AL656" t="n">
        <v>1</v>
      </c>
      <c r="AM656" t="n">
        <v>18640</v>
      </c>
      <c r="AN656" t="n">
        <v>0</v>
      </c>
      <c r="AO656" t="n">
        <v>0</v>
      </c>
      <c r="AP656" s="39" t="n">
        <v>18640</v>
      </c>
      <c r="AQ656" s="39" t="n">
        <v>18640</v>
      </c>
      <c r="AR656" s="39" t="n">
        <v>0</v>
      </c>
      <c r="AS656" t="n">
        <v>0</v>
      </c>
      <c r="AT656" t="inlineStr">
        <is>
          <t>Crédito Hipotecario</t>
        </is>
      </c>
      <c r="AU656" t="inlineStr">
        <is>
          <t>Scotiabank Perú</t>
        </is>
      </c>
      <c r="AV656" t="inlineStr">
        <is>
          <t>0004071419</t>
        </is>
      </c>
      <c r="AW656" t="inlineStr">
        <is>
          <t>TRANSFERENCIA BANCARIA</t>
        </is>
      </c>
      <c r="AY656" t="inlineStr">
        <is>
          <t>06084927</t>
        </is>
      </c>
      <c r="AZ656" t="inlineStr">
        <is>
          <t>No</t>
        </is>
      </c>
      <c r="BB656" t="n">
        <v>4</v>
      </c>
      <c r="BC656" t="inlineStr">
        <is>
          <t>CANCELADO</t>
        </is>
      </c>
      <c r="BN656" t="inlineStr">
        <is>
          <t>Si</t>
        </is>
      </c>
      <c r="BO656" s="117" t="n">
        <v>46032.38194444445</v>
      </c>
      <c r="BP656" t="inlineStr">
        <is>
          <t>Magaly Guevara Perez</t>
        </is>
      </c>
      <c r="BR656" t="n">
        <v>4</v>
      </c>
      <c r="BS656" t="inlineStr">
        <is>
          <t>14/07/2026 16:54</t>
        </is>
      </c>
      <c r="BT656" t="n">
        <v>0</v>
      </c>
      <c r="BX656" t="inlineStr">
        <is>
          <t>Cobranzas_2026.csv</t>
        </is>
      </c>
      <c r="BY656" t="n">
        <v>2026</v>
      </c>
      <c r="BZ656" t="inlineStr">
        <is>
          <t>01/01/2024</t>
        </is>
      </c>
      <c r="CA656" t="inlineStr">
        <is>
          <t>30/09/2031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205</t>
        </is>
      </c>
      <c r="G657" s="39" t="n">
        <v>386000</v>
      </c>
      <c r="H657" s="39" t="n">
        <v>386000</v>
      </c>
      <c r="I657" t="inlineStr">
        <is>
          <t>Edificio</t>
        </is>
      </c>
      <c r="J657" t="inlineStr">
        <is>
          <t>A</t>
        </is>
      </c>
      <c r="K657" t="inlineStr">
        <is>
          <t>Estacionamiento</t>
        </is>
      </c>
      <c r="L657" t="inlineStr">
        <is>
          <t>E 20</t>
        </is>
      </c>
      <c r="M657" s="39" t="n">
        <v>46800</v>
      </c>
      <c r="N657" s="39" t="n">
        <v>46800</v>
      </c>
      <c r="S657" s="39" t="n"/>
      <c r="T657" s="39" t="n"/>
      <c r="Y657" s="39" t="n"/>
      <c r="Z657" s="39" t="n"/>
      <c r="AA657" t="inlineStr">
        <is>
          <t>Mariela Gabriela Zapata Santivañez</t>
        </is>
      </c>
      <c r="AB657" t="inlineStr">
        <is>
          <t>47172559</t>
        </is>
      </c>
      <c r="AC657" t="inlineStr">
        <is>
          <t>Calle Manuel de Falla 233 - 237 Dpto. 102</t>
        </is>
      </c>
      <c r="AD657" t="n">
        <v>0</v>
      </c>
      <c r="AE657" t="inlineStr">
        <is>
          <t>998346460</t>
        </is>
      </c>
      <c r="AF657" t="inlineStr">
        <is>
          <t>g.zapata.santivanez@gmail.com</t>
        </is>
      </c>
      <c r="AG657" t="inlineStr">
        <is>
          <t>LIMA</t>
        </is>
      </c>
      <c r="AH657" t="inlineStr">
        <is>
          <t>SAN BORJA</t>
        </is>
      </c>
      <c r="AI657" s="116" t="n">
        <v>46172</v>
      </c>
      <c r="AJ657" s="116" t="n">
        <v>46210</v>
      </c>
      <c r="AK657" t="inlineStr">
        <is>
          <t>CUOTA INICIAL</t>
        </is>
      </c>
      <c r="AL657" t="n">
        <v>2</v>
      </c>
      <c r="AM657" t="n">
        <v>21640</v>
      </c>
      <c r="AN657" t="n">
        <v>0</v>
      </c>
      <c r="AO657" t="n">
        <v>0</v>
      </c>
      <c r="AP657" s="39" t="n">
        <v>21640</v>
      </c>
      <c r="AQ657" s="39" t="n">
        <v>21640</v>
      </c>
      <c r="AR657" s="39" t="n">
        <v>0</v>
      </c>
      <c r="AS657" t="n">
        <v>0</v>
      </c>
      <c r="AT657" t="inlineStr">
        <is>
          <t>Crédito Hipotecario</t>
        </is>
      </c>
      <c r="AU657" t="inlineStr">
        <is>
          <t>Scotiabank Perú</t>
        </is>
      </c>
      <c r="AV657" t="inlineStr">
        <is>
          <t>0004071419</t>
        </is>
      </c>
      <c r="AW657" t="inlineStr">
        <is>
          <t>TRANSFERENCIA BANCARIA</t>
        </is>
      </c>
      <c r="AY657" t="inlineStr">
        <is>
          <t>06101897</t>
        </is>
      </c>
      <c r="AZ657" t="inlineStr">
        <is>
          <t>No</t>
        </is>
      </c>
      <c r="BB657" t="n">
        <v>4</v>
      </c>
      <c r="BC657" t="inlineStr">
        <is>
          <t>CANCELADO</t>
        </is>
      </c>
      <c r="BN657" t="inlineStr">
        <is>
          <t>Si</t>
        </is>
      </c>
      <c r="BO657" s="117" t="n">
        <v>46032.38194444445</v>
      </c>
      <c r="BP657" t="inlineStr">
        <is>
          <t>Magaly Guevara Perez</t>
        </is>
      </c>
      <c r="BR657" t="n">
        <v>4</v>
      </c>
      <c r="BS657" t="inlineStr">
        <is>
          <t>14/07/2026 16:55</t>
        </is>
      </c>
      <c r="BT657" t="n">
        <v>0</v>
      </c>
      <c r="BX657" t="inlineStr">
        <is>
          <t>Cobranzas_2026.csv</t>
        </is>
      </c>
      <c r="BY657" t="n">
        <v>2026</v>
      </c>
      <c r="BZ657" t="inlineStr">
        <is>
          <t>01/01/2024</t>
        </is>
      </c>
      <c r="CA657" t="inlineStr">
        <is>
          <t>30/09/2031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205</t>
        </is>
      </c>
      <c r="G658" s="39" t="n">
        <v>386000</v>
      </c>
      <c r="H658" s="39" t="n">
        <v>386000</v>
      </c>
      <c r="I658" t="inlineStr">
        <is>
          <t>Edificio</t>
        </is>
      </c>
      <c r="J658" t="inlineStr">
        <is>
          <t>A</t>
        </is>
      </c>
      <c r="K658" t="inlineStr">
        <is>
          <t>Estacionamiento</t>
        </is>
      </c>
      <c r="L658" t="inlineStr">
        <is>
          <t>E 20</t>
        </is>
      </c>
      <c r="M658" s="39" t="n">
        <v>46800</v>
      </c>
      <c r="N658" s="39" t="n">
        <v>46800</v>
      </c>
      <c r="S658" s="39" t="n"/>
      <c r="T658" s="39" t="n"/>
      <c r="Y658" s="39" t="n"/>
      <c r="Z658" s="39" t="n"/>
      <c r="AA658" t="inlineStr">
        <is>
          <t>Mariela Gabriela Zapata Santivañez</t>
        </is>
      </c>
      <c r="AB658" t="inlineStr">
        <is>
          <t>47172559</t>
        </is>
      </c>
      <c r="AC658" t="inlineStr">
        <is>
          <t>Calle Manuel de Falla 233 - 237 Dpto. 102</t>
        </is>
      </c>
      <c r="AD658" t="n">
        <v>0</v>
      </c>
      <c r="AE658" t="inlineStr">
        <is>
          <t>998346460</t>
        </is>
      </c>
      <c r="AF658" t="inlineStr">
        <is>
          <t>g.zapata.santivanez@gmail.com</t>
        </is>
      </c>
      <c r="AG658" t="inlineStr">
        <is>
          <t>LIMA</t>
        </is>
      </c>
      <c r="AH658" t="inlineStr">
        <is>
          <t>SAN BORJA</t>
        </is>
      </c>
      <c r="AI658" s="116" t="n">
        <v>46217</v>
      </c>
      <c r="AJ658" s="116" t="n">
        <v>46217</v>
      </c>
      <c r="AK658" t="inlineStr">
        <is>
          <t>CUOTA INICIAL</t>
        </is>
      </c>
      <c r="AL658" t="n">
        <v>3</v>
      </c>
      <c r="AM658" t="n">
        <v>30000</v>
      </c>
      <c r="AN658" t="n">
        <v>0</v>
      </c>
      <c r="AO658" t="n">
        <v>0</v>
      </c>
      <c r="AP658" s="39" t="n">
        <v>30000</v>
      </c>
      <c r="AQ658" s="39" t="n">
        <v>30000</v>
      </c>
      <c r="AR658" s="39" t="n">
        <v>0</v>
      </c>
      <c r="AS658" t="n">
        <v>0</v>
      </c>
      <c r="AT658" t="inlineStr">
        <is>
          <t>Crédito Hipotecario</t>
        </is>
      </c>
      <c r="AU658" t="inlineStr">
        <is>
          <t>Scotiabank Perú</t>
        </is>
      </c>
      <c r="AV658" t="inlineStr">
        <is>
          <t>0004071419</t>
        </is>
      </c>
      <c r="AW658" t="inlineStr">
        <is>
          <t>TRANSFERENCIA BANCARIA</t>
        </is>
      </c>
      <c r="AY658" t="inlineStr">
        <is>
          <t>5529685</t>
        </is>
      </c>
      <c r="AZ658" t="inlineStr">
        <is>
          <t>No</t>
        </is>
      </c>
      <c r="BB658" t="n">
        <v>4</v>
      </c>
      <c r="BC658" t="inlineStr">
        <is>
          <t>CANCELADO</t>
        </is>
      </c>
      <c r="BN658" t="inlineStr">
        <is>
          <t>Si</t>
        </is>
      </c>
      <c r="BO658" s="117" t="n">
        <v>46032.38194444445</v>
      </c>
      <c r="BP658" t="inlineStr">
        <is>
          <t>Magaly Guevara Perez</t>
        </is>
      </c>
      <c r="BR658" t="n">
        <v>4</v>
      </c>
      <c r="BS658" t="inlineStr">
        <is>
          <t>18/08/2026 13:34</t>
        </is>
      </c>
      <c r="BT658" t="n">
        <v>0</v>
      </c>
      <c r="BX658" t="inlineStr">
        <is>
          <t>Cobranzas_2026.csv</t>
        </is>
      </c>
      <c r="BY658" t="n">
        <v>2026</v>
      </c>
      <c r="BZ658" t="inlineStr">
        <is>
          <t>01/01/2024</t>
        </is>
      </c>
      <c r="CA658" t="inlineStr">
        <is>
          <t>30/09/2031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205</t>
        </is>
      </c>
      <c r="G659" s="39" t="n">
        <v>386000</v>
      </c>
      <c r="H659" s="39" t="n">
        <v>386000</v>
      </c>
      <c r="I659" t="inlineStr">
        <is>
          <t>Edificio</t>
        </is>
      </c>
      <c r="J659" t="inlineStr">
        <is>
          <t>A</t>
        </is>
      </c>
      <c r="K659" t="inlineStr">
        <is>
          <t>Estacionamiento</t>
        </is>
      </c>
      <c r="L659" t="inlineStr">
        <is>
          <t>E 20</t>
        </is>
      </c>
      <c r="M659" s="39" t="n">
        <v>46800</v>
      </c>
      <c r="N659" s="39" t="n">
        <v>46800</v>
      </c>
      <c r="S659" s="39" t="n"/>
      <c r="T659" s="39" t="n"/>
      <c r="Y659" s="39" t="n"/>
      <c r="Z659" s="39" t="n"/>
      <c r="AA659" t="inlineStr">
        <is>
          <t>Mariela Gabriela Zapata Santivañez</t>
        </is>
      </c>
      <c r="AB659" t="inlineStr">
        <is>
          <t>47172559</t>
        </is>
      </c>
      <c r="AC659" t="inlineStr">
        <is>
          <t>Calle Manuel de Falla 233 - 237 Dpto. 102</t>
        </is>
      </c>
      <c r="AD659" t="n">
        <v>0</v>
      </c>
      <c r="AE659" t="inlineStr">
        <is>
          <t>998346460</t>
        </is>
      </c>
      <c r="AF659" t="inlineStr">
        <is>
          <t>g.zapata.santivanez@gmail.com</t>
        </is>
      </c>
      <c r="AG659" t="inlineStr">
        <is>
          <t>LIMA</t>
        </is>
      </c>
      <c r="AH659" t="inlineStr">
        <is>
          <t>SAN BORJA</t>
        </is>
      </c>
      <c r="AI659" s="116" t="n">
        <v>46224</v>
      </c>
      <c r="AJ659" s="116" t="n">
        <v>46224</v>
      </c>
      <c r="AK659" t="inlineStr">
        <is>
          <t>CUOTA INICIAL</t>
        </is>
      </c>
      <c r="AL659" t="n">
        <v>4</v>
      </c>
      <c r="AM659" t="n">
        <v>13280</v>
      </c>
      <c r="AN659" t="n">
        <v>0</v>
      </c>
      <c r="AO659" t="n">
        <v>0</v>
      </c>
      <c r="AP659" s="39" t="n">
        <v>13280</v>
      </c>
      <c r="AQ659" s="39" t="n">
        <v>13280</v>
      </c>
      <c r="AR659" s="39" t="n">
        <v>0</v>
      </c>
      <c r="AS659" t="n">
        <v>0</v>
      </c>
      <c r="AT659" t="inlineStr">
        <is>
          <t>Crédito Hipotecario</t>
        </is>
      </c>
      <c r="AU659" t="inlineStr">
        <is>
          <t>Scotiabank Perú</t>
        </is>
      </c>
      <c r="AV659" t="inlineStr">
        <is>
          <t>0004071419</t>
        </is>
      </c>
      <c r="AW659" t="inlineStr">
        <is>
          <t>TRANSFERENCIA BANCARIA</t>
        </is>
      </c>
      <c r="AY659" t="inlineStr">
        <is>
          <t>06093252</t>
        </is>
      </c>
      <c r="AZ659" t="inlineStr">
        <is>
          <t>No</t>
        </is>
      </c>
      <c r="BB659" t="n">
        <v>4</v>
      </c>
      <c r="BC659" t="inlineStr">
        <is>
          <t>CANCELADO</t>
        </is>
      </c>
      <c r="BN659" t="inlineStr">
        <is>
          <t>Si</t>
        </is>
      </c>
      <c r="BO659" s="117" t="n">
        <v>46032.38194444445</v>
      </c>
      <c r="BP659" t="inlineStr">
        <is>
          <t>Magaly Guevara Perez</t>
        </is>
      </c>
      <c r="BR659" t="n">
        <v>4</v>
      </c>
      <c r="BS659" t="inlineStr">
        <is>
          <t>20/08/2026 14:20</t>
        </is>
      </c>
      <c r="BT659" t="n">
        <v>0</v>
      </c>
      <c r="BX659" t="inlineStr">
        <is>
          <t>Cobranzas_2026.csv</t>
        </is>
      </c>
      <c r="BY659" t="n">
        <v>2026</v>
      </c>
      <c r="BZ659" t="inlineStr">
        <is>
          <t>01/01/2024</t>
        </is>
      </c>
      <c r="CA659" t="inlineStr">
        <is>
          <t>30/09/2031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205</t>
        </is>
      </c>
      <c r="G660" s="39" t="n">
        <v>386000</v>
      </c>
      <c r="H660" s="39" t="n">
        <v>386000</v>
      </c>
      <c r="I660" t="inlineStr">
        <is>
          <t>Edificio</t>
        </is>
      </c>
      <c r="J660" t="inlineStr">
        <is>
          <t>A</t>
        </is>
      </c>
      <c r="K660" t="inlineStr">
        <is>
          <t>Estacionamiento</t>
        </is>
      </c>
      <c r="L660" t="inlineStr">
        <is>
          <t>E 20</t>
        </is>
      </c>
      <c r="M660" s="39" t="n">
        <v>46800</v>
      </c>
      <c r="N660" s="39" t="n">
        <v>46800</v>
      </c>
      <c r="S660" s="39" t="n"/>
      <c r="T660" s="39" t="n"/>
      <c r="Y660" s="39" t="n"/>
      <c r="Z660" s="39" t="n"/>
      <c r="AA660" t="inlineStr">
        <is>
          <t>Mariela Gabriela Zapata Santivañez</t>
        </is>
      </c>
      <c r="AB660" t="inlineStr">
        <is>
          <t>47172559</t>
        </is>
      </c>
      <c r="AC660" t="inlineStr">
        <is>
          <t>Calle Manuel de Falla 233 - 237 Dpto. 102</t>
        </is>
      </c>
      <c r="AD660" t="n">
        <v>0</v>
      </c>
      <c r="AE660" t="inlineStr">
        <is>
          <t>998346460</t>
        </is>
      </c>
      <c r="AF660" t="inlineStr">
        <is>
          <t>g.zapata.santivanez@gmail.com</t>
        </is>
      </c>
      <c r="AG660" t="inlineStr">
        <is>
          <t>LIMA</t>
        </is>
      </c>
      <c r="AH660" t="inlineStr">
        <is>
          <t>SAN BORJA</t>
        </is>
      </c>
      <c r="AI660" s="116" t="n">
        <v>46264</v>
      </c>
      <c r="AJ660" s="116" t="n"/>
      <c r="AK660" t="inlineStr">
        <is>
          <t>SALDO FINANCIAR</t>
        </is>
      </c>
      <c r="AL660" t="n">
        <v>1</v>
      </c>
      <c r="AM660" t="n">
        <v>346240</v>
      </c>
      <c r="AN660" t="n">
        <v>0</v>
      </c>
      <c r="AO660" t="n">
        <v>0</v>
      </c>
      <c r="AP660" s="39" t="n">
        <v>346240</v>
      </c>
      <c r="AQ660" s="39" t="n">
        <v>0</v>
      </c>
      <c r="AR660" s="39" t="n">
        <v>346240</v>
      </c>
      <c r="AT660" t="inlineStr">
        <is>
          <t>Crédito Hipotecario</t>
        </is>
      </c>
      <c r="AZ660" t="inlineStr">
        <is>
          <t>No</t>
        </is>
      </c>
      <c r="BC660" t="inlineStr">
        <is>
          <t>VENCIDO</t>
        </is>
      </c>
      <c r="BN660" t="inlineStr">
        <is>
          <t>No</t>
        </is>
      </c>
      <c r="BO660" s="117" t="n">
        <v>46032.38194444445</v>
      </c>
      <c r="BP660" t="inlineStr">
        <is>
          <t>Magaly Guevara Perez</t>
        </is>
      </c>
      <c r="BR660" t="n">
        <v>4</v>
      </c>
      <c r="BT660" t="n">
        <v>0</v>
      </c>
      <c r="BX660" t="inlineStr">
        <is>
          <t>Cobranzas_2026.csv</t>
        </is>
      </c>
      <c r="BY660" t="n">
        <v>2026</v>
      </c>
      <c r="BZ660" t="inlineStr">
        <is>
          <t>01/01/2024</t>
        </is>
      </c>
      <c r="CA660" t="inlineStr">
        <is>
          <t>30/09/2031</t>
        </is>
      </c>
    </row>
    <row r="661">
      <c r="A661" t="inlineStr">
        <is>
          <t>RESIDENCIAL PRADA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1004</t>
        </is>
      </c>
      <c r="G661" s="39" t="n">
        <v>417700</v>
      </c>
      <c r="H661" s="39" t="n">
        <v>417700</v>
      </c>
      <c r="M661" s="39" t="n"/>
      <c r="N661" s="39" t="n"/>
      <c r="S661" s="39" t="n"/>
      <c r="T661" s="39" t="n"/>
      <c r="Y661" s="39" t="n"/>
      <c r="Z661" s="39" t="n"/>
      <c r="AA661" t="inlineStr">
        <is>
          <t>Marita Angeles Milla</t>
        </is>
      </c>
      <c r="AB661" t="inlineStr">
        <is>
          <t>09096071</t>
        </is>
      </c>
      <c r="AC661" t="inlineStr">
        <is>
          <t>Av. Olavegoya 1879 Dpto. 301</t>
        </is>
      </c>
      <c r="AE661" t="inlineStr">
        <is>
          <t>997627864</t>
        </is>
      </c>
      <c r="AF661" t="inlineStr">
        <is>
          <t>marita.angeles.milla@gmail.com</t>
        </is>
      </c>
      <c r="AG661" t="inlineStr">
        <is>
          <t>LIMA</t>
        </is>
      </c>
      <c r="AH661" t="inlineStr">
        <is>
          <t>JESUS MARIA</t>
        </is>
      </c>
      <c r="AI661" s="116" t="n">
        <v>46090</v>
      </c>
      <c r="AJ661" s="116" t="n">
        <v>46090</v>
      </c>
      <c r="AK661" t="inlineStr">
        <is>
          <t>SEPARACION</t>
        </is>
      </c>
      <c r="AL661" t="n">
        <v>1</v>
      </c>
      <c r="AM661" t="n">
        <v>3000</v>
      </c>
      <c r="AN661" t="n">
        <v>0</v>
      </c>
      <c r="AO661" t="n">
        <v>0</v>
      </c>
      <c r="AP661" s="39" t="n">
        <v>3000</v>
      </c>
      <c r="AQ661" s="39" t="n">
        <v>3000</v>
      </c>
      <c r="AR661" s="39" t="n">
        <v>0</v>
      </c>
      <c r="AS661" t="n">
        <v>0</v>
      </c>
      <c r="AT661" t="inlineStr">
        <is>
          <t>Ahorro</t>
        </is>
      </c>
      <c r="AU661" t="inlineStr">
        <is>
          <t>Scotiabank Perú</t>
        </is>
      </c>
      <c r="AV661" t="inlineStr">
        <is>
          <t>000-2768484</t>
        </is>
      </c>
      <c r="AW661" t="inlineStr">
        <is>
          <t>TRANSFERENCIA BANCARIA</t>
        </is>
      </c>
      <c r="AX661" t="inlineStr">
        <is>
          <t>09096071</t>
        </is>
      </c>
      <c r="AY661" t="inlineStr">
        <is>
          <t>002909488</t>
        </is>
      </c>
      <c r="AZ661" t="inlineStr">
        <is>
          <t>No</t>
        </is>
      </c>
      <c r="BA661" t="inlineStr">
        <is>
          <t>NO PRECISA</t>
        </is>
      </c>
      <c r="BB661" t="n">
        <v>1</v>
      </c>
      <c r="BC661" t="inlineStr">
        <is>
          <t>CANCELADO</t>
        </is>
      </c>
      <c r="BN661" t="inlineStr">
        <is>
          <t>Si</t>
        </is>
      </c>
      <c r="BO661" s="117" t="n">
        <v>46139.73958333334</v>
      </c>
      <c r="BP661" t="inlineStr">
        <is>
          <t>Carla Michue M</t>
        </is>
      </c>
      <c r="BR661" t="n">
        <v>20</v>
      </c>
      <c r="BS661" t="inlineStr">
        <is>
          <t>29/05/2026 12:21</t>
        </is>
      </c>
      <c r="BT661" t="n">
        <v>0</v>
      </c>
      <c r="BX661" t="inlineStr">
        <is>
          <t>Cobranzas_2026.csv</t>
        </is>
      </c>
      <c r="BY661" t="n">
        <v>2026</v>
      </c>
      <c r="BZ661" t="inlineStr">
        <is>
          <t>01/01/2024</t>
        </is>
      </c>
      <c r="CA661" t="inlineStr">
        <is>
          <t>30/09/2031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1004</t>
        </is>
      </c>
      <c r="G662" s="39" t="n">
        <v>417700</v>
      </c>
      <c r="H662" s="39" t="n">
        <v>417700</v>
      </c>
      <c r="M662" s="39" t="n"/>
      <c r="N662" s="39" t="n"/>
      <c r="S662" s="39" t="n"/>
      <c r="T662" s="39" t="n"/>
      <c r="Y662" s="39" t="n"/>
      <c r="Z662" s="39" t="n"/>
      <c r="AA662" t="inlineStr">
        <is>
          <t>Marita Angeles Milla</t>
        </is>
      </c>
      <c r="AB662" t="inlineStr">
        <is>
          <t>09096071</t>
        </is>
      </c>
      <c r="AC662" t="inlineStr">
        <is>
          <t>Av. Olavegoya 1879 Dpto. 301</t>
        </is>
      </c>
      <c r="AE662" t="inlineStr">
        <is>
          <t>997627864</t>
        </is>
      </c>
      <c r="AF662" t="inlineStr">
        <is>
          <t>marita.angeles.milla@gmail.com</t>
        </is>
      </c>
      <c r="AG662" t="inlineStr">
        <is>
          <t>LIMA</t>
        </is>
      </c>
      <c r="AH662" t="inlineStr">
        <is>
          <t>JESUS MARIA</t>
        </is>
      </c>
      <c r="AI662" s="116" t="n">
        <v>46139</v>
      </c>
      <c r="AJ662" s="116" t="n">
        <v>46139</v>
      </c>
      <c r="AK662" t="inlineStr">
        <is>
          <t>CUOTA INICIAL</t>
        </is>
      </c>
      <c r="AL662" t="n">
        <v>1</v>
      </c>
      <c r="AM662" t="n">
        <v>20770</v>
      </c>
      <c r="AN662" t="n">
        <v>0</v>
      </c>
      <c r="AO662" t="n">
        <v>0</v>
      </c>
      <c r="AP662" s="39" t="n">
        <v>20770</v>
      </c>
      <c r="AQ662" s="39" t="n">
        <v>20770</v>
      </c>
      <c r="AR662" s="39" t="n">
        <v>0</v>
      </c>
      <c r="AS662" t="n">
        <v>0</v>
      </c>
      <c r="AT662" t="inlineStr">
        <is>
          <t>Ahorro</t>
        </is>
      </c>
      <c r="AU662" t="inlineStr">
        <is>
          <t>Scotiabank Perú</t>
        </is>
      </c>
      <c r="AV662" t="inlineStr">
        <is>
          <t>000-2768484</t>
        </is>
      </c>
      <c r="AW662" t="inlineStr">
        <is>
          <t>TRANSFERENCIA BANCARIA</t>
        </is>
      </c>
      <c r="AY662" t="inlineStr">
        <is>
          <t>13374199</t>
        </is>
      </c>
      <c r="AZ662" t="inlineStr">
        <is>
          <t>No</t>
        </is>
      </c>
      <c r="BB662" t="n">
        <v>4</v>
      </c>
      <c r="BC662" t="inlineStr">
        <is>
          <t>CANCELADO</t>
        </is>
      </c>
      <c r="BN662" t="inlineStr">
        <is>
          <t>Si</t>
        </is>
      </c>
      <c r="BO662" s="117" t="n">
        <v>46139.73958333334</v>
      </c>
      <c r="BP662" t="inlineStr">
        <is>
          <t>Carla Michue M</t>
        </is>
      </c>
      <c r="BR662" t="n">
        <v>20</v>
      </c>
      <c r="BS662" t="inlineStr">
        <is>
          <t>03/09/2026 16:58</t>
        </is>
      </c>
      <c r="BT662" t="n">
        <v>0</v>
      </c>
      <c r="BX662" t="inlineStr">
        <is>
          <t>Cobranzas_2026.csv</t>
        </is>
      </c>
      <c r="BY662" t="n">
        <v>2026</v>
      </c>
      <c r="BZ662" t="inlineStr">
        <is>
          <t>01/01/2024</t>
        </is>
      </c>
      <c r="CA662" t="inlineStr">
        <is>
          <t>30/09/2031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1004</t>
        </is>
      </c>
      <c r="G663" s="39" t="n">
        <v>417700</v>
      </c>
      <c r="H663" s="39" t="n">
        <v>417700</v>
      </c>
      <c r="M663" s="39" t="n"/>
      <c r="N663" s="39" t="n"/>
      <c r="S663" s="39" t="n"/>
      <c r="T663" s="39" t="n"/>
      <c r="Y663" s="39" t="n"/>
      <c r="Z663" s="39" t="n"/>
      <c r="AA663" t="inlineStr">
        <is>
          <t>Marita Angeles Milla</t>
        </is>
      </c>
      <c r="AB663" t="inlineStr">
        <is>
          <t>09096071</t>
        </is>
      </c>
      <c r="AC663" t="inlineStr">
        <is>
          <t>Av. Olavegoya 1879 Dpto. 301</t>
        </is>
      </c>
      <c r="AE663" t="inlineStr">
        <is>
          <t>997627864</t>
        </is>
      </c>
      <c r="AF663" t="inlineStr">
        <is>
          <t>marita.angeles.milla@gmail.com</t>
        </is>
      </c>
      <c r="AG663" t="inlineStr">
        <is>
          <t>LIMA</t>
        </is>
      </c>
      <c r="AH663" t="inlineStr">
        <is>
          <t>JESUS MARIA</t>
        </is>
      </c>
      <c r="AI663" s="116" t="n">
        <v>46233</v>
      </c>
      <c r="AJ663" s="116" t="n"/>
      <c r="AK663" t="inlineStr">
        <is>
          <t>CUOTA INICIAL</t>
        </is>
      </c>
      <c r="AL663" t="n">
        <v>2</v>
      </c>
      <c r="AM663" t="n">
        <v>18000</v>
      </c>
      <c r="AN663" t="n">
        <v>0</v>
      </c>
      <c r="AO663" t="n">
        <v>0</v>
      </c>
      <c r="AP663" s="39" t="n">
        <v>18000</v>
      </c>
      <c r="AQ663" s="39" t="n">
        <v>0</v>
      </c>
      <c r="AR663" s="39" t="n">
        <v>18000</v>
      </c>
      <c r="AT663" t="inlineStr">
        <is>
          <t>Ahorro</t>
        </is>
      </c>
      <c r="AZ663" t="inlineStr">
        <is>
          <t>No</t>
        </is>
      </c>
      <c r="BC663" t="inlineStr">
        <is>
          <t>VENCIDO</t>
        </is>
      </c>
      <c r="BN663" t="inlineStr">
        <is>
          <t>No</t>
        </is>
      </c>
      <c r="BO663" s="117" t="n">
        <v>46139.73958333334</v>
      </c>
      <c r="BP663" t="inlineStr">
        <is>
          <t>Carla Michue M</t>
        </is>
      </c>
      <c r="BR663" t="n">
        <v>20</v>
      </c>
      <c r="BT663" t="n">
        <v>0</v>
      </c>
      <c r="BX663" t="inlineStr">
        <is>
          <t>Cobranzas_2026.csv</t>
        </is>
      </c>
      <c r="BY663" t="n">
        <v>2026</v>
      </c>
      <c r="BZ663" t="inlineStr">
        <is>
          <t>01/01/2024</t>
        </is>
      </c>
      <c r="CA663" t="inlineStr">
        <is>
          <t>30/09/2031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1004</t>
        </is>
      </c>
      <c r="G664" s="39" t="n">
        <v>417700</v>
      </c>
      <c r="H664" s="39" t="n">
        <v>417700</v>
      </c>
      <c r="M664" s="39" t="n"/>
      <c r="N664" s="39" t="n"/>
      <c r="S664" s="39" t="n"/>
      <c r="T664" s="39" t="n"/>
      <c r="Y664" s="39" t="n"/>
      <c r="Z664" s="39" t="n"/>
      <c r="AA664" t="inlineStr">
        <is>
          <t>Marita Angeles Milla</t>
        </is>
      </c>
      <c r="AB664" t="inlineStr">
        <is>
          <t>09096071</t>
        </is>
      </c>
      <c r="AC664" t="inlineStr">
        <is>
          <t>Av. Olavegoya 1879 Dpto. 301</t>
        </is>
      </c>
      <c r="AE664" t="inlineStr">
        <is>
          <t>997627864</t>
        </is>
      </c>
      <c r="AF664" t="inlineStr">
        <is>
          <t>marita.angeles.milla@gmail.com</t>
        </is>
      </c>
      <c r="AG664" t="inlineStr">
        <is>
          <t>LIMA</t>
        </is>
      </c>
      <c r="AH664" t="inlineStr">
        <is>
          <t>JESUS MARIA</t>
        </is>
      </c>
      <c r="AI664" s="116" t="n">
        <v>46265</v>
      </c>
      <c r="AJ664" s="116" t="n"/>
      <c r="AK664" t="inlineStr">
        <is>
          <t>SALDO FINANCIAR</t>
        </is>
      </c>
      <c r="AL664" t="n">
        <v>1</v>
      </c>
      <c r="AM664" t="n">
        <v>375930</v>
      </c>
      <c r="AN664" t="n">
        <v>0</v>
      </c>
      <c r="AO664" t="n">
        <v>0</v>
      </c>
      <c r="AP664" s="39" t="n">
        <v>375930</v>
      </c>
      <c r="AQ664" s="39" t="n">
        <v>0</v>
      </c>
      <c r="AR664" s="39" t="n">
        <v>375930</v>
      </c>
      <c r="AT664" t="inlineStr">
        <is>
          <t>Ahorro</t>
        </is>
      </c>
      <c r="AZ664" t="inlineStr">
        <is>
          <t>No</t>
        </is>
      </c>
      <c r="BC664" t="inlineStr">
        <is>
          <t>VENCIDO</t>
        </is>
      </c>
      <c r="BN664" t="inlineStr">
        <is>
          <t>No</t>
        </is>
      </c>
      <c r="BO664" s="117" t="n">
        <v>46139.73958333334</v>
      </c>
      <c r="BP664" t="inlineStr">
        <is>
          <t>Carla Michue M</t>
        </is>
      </c>
      <c r="BR664" t="n">
        <v>20</v>
      </c>
      <c r="BT664" t="n">
        <v>0</v>
      </c>
      <c r="BX664" t="inlineStr">
        <is>
          <t>Cobranzas_2026.csv</t>
        </is>
      </c>
      <c r="BY664" t="n">
        <v>2026</v>
      </c>
      <c r="BZ664" t="inlineStr">
        <is>
          <t>01/01/2024</t>
        </is>
      </c>
      <c r="CA664" t="inlineStr">
        <is>
          <t>30/09/2031</t>
        </is>
      </c>
    </row>
    <row r="665">
      <c r="A665" t="inlineStr">
        <is>
          <t>RESIDENCIAL BEYOND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605</t>
        </is>
      </c>
      <c r="G665" s="39" t="n">
        <v>532100</v>
      </c>
      <c r="H665" s="39" t="n">
        <v>495000</v>
      </c>
      <c r="M665" s="39" t="n"/>
      <c r="N665" s="39" t="n"/>
      <c r="S665" s="39" t="n"/>
      <c r="T665" s="39" t="n"/>
      <c r="Y665" s="39" t="n"/>
      <c r="Z665" s="39" t="n"/>
      <c r="AA665" t="inlineStr">
        <is>
          <t>Mayra Andrea Montenegro Gomez</t>
        </is>
      </c>
      <c r="AB665" t="inlineStr">
        <is>
          <t>73214647</t>
        </is>
      </c>
      <c r="AC665" t="inlineStr">
        <is>
          <t>Jr. Huiracocha 1740 Dpto. 202 Edif Maldonado</t>
        </is>
      </c>
      <c r="AD665" t="n">
        <v>0</v>
      </c>
      <c r="AE665" t="inlineStr">
        <is>
          <t>987505094</t>
        </is>
      </c>
      <c r="AF665" t="inlineStr">
        <is>
          <t>maya.monte18@hotmail.com</t>
        </is>
      </c>
      <c r="AG665" t="inlineStr">
        <is>
          <t>LIMA</t>
        </is>
      </c>
      <c r="AH665" t="inlineStr">
        <is>
          <t>JESUS MARIA</t>
        </is>
      </c>
      <c r="AI665" s="116" t="n">
        <v>46158</v>
      </c>
      <c r="AJ665" s="116" t="n">
        <v>45868</v>
      </c>
      <c r="AK665" t="inlineStr">
        <is>
          <t>CUOTA INICIAL</t>
        </is>
      </c>
      <c r="AL665" t="n">
        <v>1</v>
      </c>
      <c r="AM665" t="n">
        <v>50000</v>
      </c>
      <c r="AN665" t="n">
        <v>0</v>
      </c>
      <c r="AO665" t="n">
        <v>0</v>
      </c>
      <c r="AP665" s="39" t="n">
        <v>50000</v>
      </c>
      <c r="AQ665" s="39" t="n">
        <v>50000</v>
      </c>
      <c r="AR665" s="39" t="n">
        <v>0</v>
      </c>
      <c r="AS665" t="n">
        <v>0</v>
      </c>
      <c r="AT665" t="inlineStr">
        <is>
          <t>Crédito Hipotecario</t>
        </is>
      </c>
      <c r="AU665" t="inlineStr">
        <is>
          <t>Banco de Credito del Perú</t>
        </is>
      </c>
      <c r="AV665" t="inlineStr">
        <is>
          <t>194-7325779-0-65</t>
        </is>
      </c>
      <c r="AW665" t="inlineStr">
        <is>
          <t>TRANSFERENCIA BANCARIA</t>
        </is>
      </c>
      <c r="AY665" t="inlineStr">
        <is>
          <t>0857979</t>
        </is>
      </c>
      <c r="AZ665" t="inlineStr">
        <is>
          <t>No</t>
        </is>
      </c>
      <c r="BB665" t="n">
        <v>4</v>
      </c>
      <c r="BC665" t="inlineStr">
        <is>
          <t>CANCELADO</t>
        </is>
      </c>
      <c r="BN665" t="inlineStr">
        <is>
          <t>Si</t>
        </is>
      </c>
      <c r="BO665" s="117" t="n">
        <v>45868.40763888889</v>
      </c>
      <c r="BP665" t="inlineStr">
        <is>
          <t>Carla Michue M</t>
        </is>
      </c>
      <c r="BR665" t="n">
        <v>22</v>
      </c>
      <c r="BS665" t="inlineStr">
        <is>
          <t>24/05/2026 08:51</t>
        </is>
      </c>
      <c r="BT665" t="n">
        <v>0</v>
      </c>
      <c r="BX665" t="inlineStr">
        <is>
          <t>Cobranzas_2026.csv</t>
        </is>
      </c>
      <c r="BY665" t="n">
        <v>2026</v>
      </c>
      <c r="BZ665" t="inlineStr">
        <is>
          <t>01/01/2024</t>
        </is>
      </c>
      <c r="CA665" t="inlineStr">
        <is>
          <t>30/09/2031</t>
        </is>
      </c>
    </row>
    <row r="666">
      <c r="A666" t="inlineStr">
        <is>
          <t>RESIDENCIAL BEYOND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605</t>
        </is>
      </c>
      <c r="G666" s="39" t="n">
        <v>532100</v>
      </c>
      <c r="H666" s="39" t="n">
        <v>495000</v>
      </c>
      <c r="M666" s="39" t="n"/>
      <c r="N666" s="39" t="n"/>
      <c r="S666" s="39" t="n"/>
      <c r="T666" s="39" t="n"/>
      <c r="Y666" s="39" t="n"/>
      <c r="Z666" s="39" t="n"/>
      <c r="AA666" t="inlineStr">
        <is>
          <t>Mayra Andrea Montenegro Gomez</t>
        </is>
      </c>
      <c r="AB666" t="inlineStr">
        <is>
          <t>73214647</t>
        </is>
      </c>
      <c r="AC666" t="inlineStr">
        <is>
          <t>Jr. Huiracocha 1740 Dpto. 202 Edif Maldonado</t>
        </is>
      </c>
      <c r="AD666" t="n">
        <v>0</v>
      </c>
      <c r="AE666" t="inlineStr">
        <is>
          <t>987505094</t>
        </is>
      </c>
      <c r="AF666" t="inlineStr">
        <is>
          <t>maya.monte18@hotmail.com</t>
        </is>
      </c>
      <c r="AG666" t="inlineStr">
        <is>
          <t>LIMA</t>
        </is>
      </c>
      <c r="AH666" t="inlineStr">
        <is>
          <t>JESUS MARIA</t>
        </is>
      </c>
      <c r="AI666" s="116" t="n">
        <v>46253</v>
      </c>
      <c r="AJ666" s="116" t="n">
        <v>46253</v>
      </c>
      <c r="AK666" t="inlineStr">
        <is>
          <t>CUOTA INICIAL</t>
        </is>
      </c>
      <c r="AL666" t="n">
        <v>2</v>
      </c>
      <c r="AM666" t="n">
        <v>37000</v>
      </c>
      <c r="AN666" t="n">
        <v>0</v>
      </c>
      <c r="AO666" t="n">
        <v>0</v>
      </c>
      <c r="AP666" s="39" t="n">
        <v>37000</v>
      </c>
      <c r="AQ666" s="39" t="n">
        <v>37000</v>
      </c>
      <c r="AR666" s="39" t="n">
        <v>0</v>
      </c>
      <c r="AS666" t="n">
        <v>0</v>
      </c>
      <c r="AT666" t="inlineStr">
        <is>
          <t>Crédito Hipotecario</t>
        </is>
      </c>
      <c r="AU666" t="inlineStr">
        <is>
          <t>Banco de Credito del Perú</t>
        </is>
      </c>
      <c r="AV666" t="inlineStr">
        <is>
          <t>194-7325779-0-65</t>
        </is>
      </c>
      <c r="AW666" t="inlineStr">
        <is>
          <t>TRANSFERENCIA BANCARIA</t>
        </is>
      </c>
      <c r="AY666" t="inlineStr">
        <is>
          <t>09718908</t>
        </is>
      </c>
      <c r="AZ666" t="inlineStr">
        <is>
          <t>No</t>
        </is>
      </c>
      <c r="BA666" t="inlineStr">
        <is>
          <t>AHORROS PERSONALES</t>
        </is>
      </c>
      <c r="BB666" t="n">
        <v>4</v>
      </c>
      <c r="BC666" t="inlineStr">
        <is>
          <t>CANCELADO</t>
        </is>
      </c>
      <c r="BN666" t="inlineStr">
        <is>
          <t>Si</t>
        </is>
      </c>
      <c r="BO666" s="117" t="n">
        <v>45868.40763888889</v>
      </c>
      <c r="BP666" t="inlineStr">
        <is>
          <t>Carla Michue M</t>
        </is>
      </c>
      <c r="BR666" t="n">
        <v>22</v>
      </c>
      <c r="BS666" t="inlineStr">
        <is>
          <t>20/08/2026 11:49</t>
        </is>
      </c>
      <c r="BT666" t="n">
        <v>0</v>
      </c>
      <c r="BX666" t="inlineStr">
        <is>
          <t>Cobranzas_2026.csv</t>
        </is>
      </c>
      <c r="BY666" t="n">
        <v>2026</v>
      </c>
      <c r="BZ666" t="inlineStr">
        <is>
          <t>01/01/2024</t>
        </is>
      </c>
      <c r="CA666" t="inlineStr">
        <is>
          <t>30/09/2031</t>
        </is>
      </c>
    </row>
    <row r="667">
      <c r="A667" t="inlineStr">
        <is>
          <t>RESIDENCIAL BEYOND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605</t>
        </is>
      </c>
      <c r="G667" s="39" t="n">
        <v>532100</v>
      </c>
      <c r="H667" s="39" t="n">
        <v>495000</v>
      </c>
      <c r="M667" s="39" t="n"/>
      <c r="N667" s="39" t="n"/>
      <c r="S667" s="39" t="n"/>
      <c r="T667" s="39" t="n"/>
      <c r="Y667" s="39" t="n"/>
      <c r="Z667" s="39" t="n"/>
      <c r="AA667" t="inlineStr">
        <is>
          <t>Mayra Andrea Montenegro Gomez</t>
        </is>
      </c>
      <c r="AB667" t="inlineStr">
        <is>
          <t>73214647</t>
        </is>
      </c>
      <c r="AC667" t="inlineStr">
        <is>
          <t>Jr. Huiracocha 1740 Dpto. 202 Edif Maldonado</t>
        </is>
      </c>
      <c r="AD667" t="n">
        <v>0</v>
      </c>
      <c r="AE667" t="inlineStr">
        <is>
          <t>987505094</t>
        </is>
      </c>
      <c r="AF667" t="inlineStr">
        <is>
          <t>maya.monte18@hotmail.com</t>
        </is>
      </c>
      <c r="AG667" t="inlineStr">
        <is>
          <t>LIMA</t>
        </is>
      </c>
      <c r="AH667" t="inlineStr">
        <is>
          <t>JESUS MARIA</t>
        </is>
      </c>
      <c r="AI667" s="116" t="n">
        <v>46253</v>
      </c>
      <c r="AJ667" s="116" t="n">
        <v>46253</v>
      </c>
      <c r="AK667" t="inlineStr">
        <is>
          <t>CUOTA INICIAL</t>
        </is>
      </c>
      <c r="AL667" t="n">
        <v>3</v>
      </c>
      <c r="AM667" t="n">
        <v>9000</v>
      </c>
      <c r="AN667" t="n">
        <v>0</v>
      </c>
      <c r="AO667" t="n">
        <v>0</v>
      </c>
      <c r="AP667" s="39" t="n">
        <v>9000</v>
      </c>
      <c r="AQ667" s="39" t="n">
        <v>9000</v>
      </c>
      <c r="AR667" s="39" t="n">
        <v>0</v>
      </c>
      <c r="AS667" t="n">
        <v>0</v>
      </c>
      <c r="AT667" t="inlineStr">
        <is>
          <t>Crédito Hipotecario</t>
        </is>
      </c>
      <c r="AU667" t="inlineStr">
        <is>
          <t>Banco de Credito del Perú</t>
        </is>
      </c>
      <c r="AV667" t="inlineStr">
        <is>
          <t>194-7325779-0-65</t>
        </is>
      </c>
      <c r="AW667" t="inlineStr">
        <is>
          <t>TRANSFERENCIA BANCARIA</t>
        </is>
      </c>
      <c r="AY667" t="inlineStr">
        <is>
          <t>09750977</t>
        </is>
      </c>
      <c r="AZ667" t="inlineStr">
        <is>
          <t>No</t>
        </is>
      </c>
      <c r="BB667" t="n">
        <v>4</v>
      </c>
      <c r="BC667" t="inlineStr">
        <is>
          <t>CANCELADO</t>
        </is>
      </c>
      <c r="BN667" t="inlineStr">
        <is>
          <t>Si</t>
        </is>
      </c>
      <c r="BO667" s="117" t="n">
        <v>45868.40763888889</v>
      </c>
      <c r="BP667" t="inlineStr">
        <is>
          <t>Carla Michue M</t>
        </is>
      </c>
      <c r="BR667" t="n">
        <v>22</v>
      </c>
      <c r="BS667" t="inlineStr">
        <is>
          <t>19/08/2026 12:07</t>
        </is>
      </c>
      <c r="BT667" t="n">
        <v>0</v>
      </c>
      <c r="BX667" t="inlineStr">
        <is>
          <t>Cobranzas_2026.csv</t>
        </is>
      </c>
      <c r="BY667" t="n">
        <v>2026</v>
      </c>
      <c r="BZ667" t="inlineStr">
        <is>
          <t>01/01/2024</t>
        </is>
      </c>
      <c r="CA667" t="inlineStr">
        <is>
          <t>30/09/2031</t>
        </is>
      </c>
    </row>
    <row r="668">
      <c r="A668" t="inlineStr">
        <is>
          <t>RESIDENCIAL BEYOND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605</t>
        </is>
      </c>
      <c r="G668" s="39" t="n">
        <v>532100</v>
      </c>
      <c r="H668" s="39" t="n">
        <v>495000</v>
      </c>
      <c r="M668" s="39" t="n"/>
      <c r="N668" s="39" t="n"/>
      <c r="S668" s="39" t="n"/>
      <c r="T668" s="39" t="n"/>
      <c r="Y668" s="39" t="n"/>
      <c r="Z668" s="39" t="n"/>
      <c r="AA668" t="inlineStr">
        <is>
          <t>Mayra Andrea Montenegro Gomez</t>
        </is>
      </c>
      <c r="AB668" t="inlineStr">
        <is>
          <t>73214647</t>
        </is>
      </c>
      <c r="AC668" t="inlineStr">
        <is>
          <t>Jr. Huiracocha 1740 Dpto. 202 Edif Maldonado</t>
        </is>
      </c>
      <c r="AD668" t="n">
        <v>0</v>
      </c>
      <c r="AE668" t="inlineStr">
        <is>
          <t>987505094</t>
        </is>
      </c>
      <c r="AF668" t="inlineStr">
        <is>
          <t>maya.monte18@hotmail.com</t>
        </is>
      </c>
      <c r="AG668" t="inlineStr">
        <is>
          <t>LIMA</t>
        </is>
      </c>
      <c r="AH668" t="inlineStr">
        <is>
          <t>JESUS MARIA</t>
        </is>
      </c>
      <c r="AI668" s="116" t="n">
        <v>46234</v>
      </c>
      <c r="AJ668" s="116" t="n"/>
      <c r="AK668" t="inlineStr">
        <is>
          <t>SALDO FINANCIAR</t>
        </is>
      </c>
      <c r="AL668" t="n">
        <v>1</v>
      </c>
      <c r="AM668" t="n">
        <v>396000</v>
      </c>
      <c r="AN668" t="n">
        <v>0</v>
      </c>
      <c r="AO668" t="n">
        <v>0</v>
      </c>
      <c r="AP668" s="39" t="n">
        <v>396000</v>
      </c>
      <c r="AQ668" s="39" t="n">
        <v>0</v>
      </c>
      <c r="AR668" s="39" t="n">
        <v>396000</v>
      </c>
      <c r="AT668" t="inlineStr">
        <is>
          <t>Crédito Hipotecario</t>
        </is>
      </c>
      <c r="AZ668" t="inlineStr">
        <is>
          <t>No</t>
        </is>
      </c>
      <c r="BC668" t="inlineStr">
        <is>
          <t>VENCIDO</t>
        </is>
      </c>
      <c r="BN668" t="inlineStr">
        <is>
          <t>No</t>
        </is>
      </c>
      <c r="BO668" s="117" t="n">
        <v>45868.40763888889</v>
      </c>
      <c r="BP668" t="inlineStr">
        <is>
          <t>Carla Michue M</t>
        </is>
      </c>
      <c r="BR668" t="n">
        <v>22</v>
      </c>
      <c r="BT668" t="n">
        <v>0</v>
      </c>
      <c r="BX668" t="inlineStr">
        <is>
          <t>Cobranzas_2026.csv</t>
        </is>
      </c>
      <c r="BY668" t="n">
        <v>2026</v>
      </c>
      <c r="BZ668" t="inlineStr">
        <is>
          <t>01/01/2024</t>
        </is>
      </c>
      <c r="CA668" t="inlineStr">
        <is>
          <t>30/09/2031</t>
        </is>
      </c>
    </row>
    <row r="669">
      <c r="A669" t="inlineStr">
        <is>
          <t>RESIDENCIAL BEYOND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902</t>
        </is>
      </c>
      <c r="G669" s="39" t="n">
        <v>469000</v>
      </c>
      <c r="H669" s="39" t="n">
        <v>429000</v>
      </c>
      <c r="M669" s="39" t="n"/>
      <c r="N669" s="39" t="n"/>
      <c r="S669" s="39" t="n"/>
      <c r="T669" s="39" t="n"/>
      <c r="Y669" s="39" t="n"/>
      <c r="Z669" s="39" t="n"/>
      <c r="AA669" t="inlineStr">
        <is>
          <t>Medaly Mendoza .</t>
        </is>
      </c>
      <c r="AB669" t="inlineStr">
        <is>
          <t>75197073</t>
        </is>
      </c>
      <c r="AC669" t="inlineStr">
        <is>
          <t>.</t>
        </is>
      </c>
      <c r="AD669" t="n">
        <v>0</v>
      </c>
      <c r="AE669" t="inlineStr">
        <is>
          <t>979218897</t>
        </is>
      </c>
      <c r="AF669" t="inlineStr">
        <is>
          <t>medalymendoza223@gmail.com</t>
        </is>
      </c>
      <c r="AG669" t="inlineStr">
        <is>
          <t>LIMA</t>
        </is>
      </c>
      <c r="AH669" t="inlineStr">
        <is>
          <t>JESUS MARIA</t>
        </is>
      </c>
      <c r="AI669" s="116" t="n">
        <v>46174</v>
      </c>
      <c r="AJ669" s="116" t="n">
        <v>46174</v>
      </c>
      <c r="AK669" t="inlineStr">
        <is>
          <t>SEPARACION</t>
        </is>
      </c>
      <c r="AL669" t="n">
        <v>1</v>
      </c>
      <c r="AM669" t="n">
        <v>3000</v>
      </c>
      <c r="AN669" t="n">
        <v>0</v>
      </c>
      <c r="AO669" t="n">
        <v>0</v>
      </c>
      <c r="AP669" s="39" t="n">
        <v>3000</v>
      </c>
      <c r="AQ669" s="39" t="n">
        <v>3000</v>
      </c>
      <c r="AR669" s="39" t="n">
        <v>0</v>
      </c>
      <c r="AS669" t="n">
        <v>0</v>
      </c>
      <c r="AT669" t="inlineStr">
        <is>
          <t>Ahorro</t>
        </is>
      </c>
      <c r="AU669" t="inlineStr">
        <is>
          <t>Banco de Credito del Perú</t>
        </is>
      </c>
      <c r="AV669" t="inlineStr">
        <is>
          <t>194-7325779-0-65</t>
        </is>
      </c>
      <c r="AW669" t="inlineStr">
        <is>
          <t>TRANSFERENCIA BANCARIA</t>
        </is>
      </c>
      <c r="AY669" t="inlineStr">
        <is>
          <t>05001718</t>
        </is>
      </c>
      <c r="AZ669" t="inlineStr">
        <is>
          <t>No</t>
        </is>
      </c>
      <c r="BB669" t="n">
        <v>4</v>
      </c>
      <c r="BC669" t="inlineStr">
        <is>
          <t>CANCELADO</t>
        </is>
      </c>
      <c r="BN669" t="inlineStr">
        <is>
          <t>Si</t>
        </is>
      </c>
      <c r="BO669" s="117" t="n">
        <v>46191.39652777778</v>
      </c>
      <c r="BP669" t="inlineStr">
        <is>
          <t>Kenny Salazar S</t>
        </is>
      </c>
      <c r="BR669" t="n">
        <v>45</v>
      </c>
      <c r="BS669" t="inlineStr">
        <is>
          <t>11/07/2026 08:51</t>
        </is>
      </c>
      <c r="BT669" t="n">
        <v>0</v>
      </c>
      <c r="BX669" t="inlineStr">
        <is>
          <t>Cobranzas_2026.csv</t>
        </is>
      </c>
      <c r="BY669" t="n">
        <v>2026</v>
      </c>
      <c r="BZ669" t="inlineStr">
        <is>
          <t>01/01/2024</t>
        </is>
      </c>
      <c r="CA669" t="inlineStr">
        <is>
          <t>30/09/2031</t>
        </is>
      </c>
    </row>
    <row r="670">
      <c r="A670" t="inlineStr">
        <is>
          <t>RESIDENCIAL BEYOND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902</t>
        </is>
      </c>
      <c r="G670" s="39" t="n">
        <v>469000</v>
      </c>
      <c r="H670" s="39" t="n">
        <v>429000</v>
      </c>
      <c r="M670" s="39" t="n"/>
      <c r="N670" s="39" t="n"/>
      <c r="S670" s="39" t="n"/>
      <c r="T670" s="39" t="n"/>
      <c r="Y670" s="39" t="n"/>
      <c r="Z670" s="39" t="n"/>
      <c r="AA670" t="inlineStr">
        <is>
          <t>Medaly Mendoza .</t>
        </is>
      </c>
      <c r="AB670" t="inlineStr">
        <is>
          <t>75197073</t>
        </is>
      </c>
      <c r="AC670" t="inlineStr">
        <is>
          <t>.</t>
        </is>
      </c>
      <c r="AD670" t="n">
        <v>0</v>
      </c>
      <c r="AE670" t="inlineStr">
        <is>
          <t>979218897</t>
        </is>
      </c>
      <c r="AF670" t="inlineStr">
        <is>
          <t>medalymendoza223@gmail.com</t>
        </is>
      </c>
      <c r="AG670" t="inlineStr">
        <is>
          <t>LIMA</t>
        </is>
      </c>
      <c r="AH670" t="inlineStr">
        <is>
          <t>JESUS MARIA</t>
        </is>
      </c>
      <c r="AI670" s="116" t="n">
        <v>46181</v>
      </c>
      <c r="AJ670" s="116" t="n">
        <v>46181</v>
      </c>
      <c r="AK670" t="inlineStr">
        <is>
          <t>CUOTA INICIAL</t>
        </is>
      </c>
      <c r="AL670" t="n">
        <v>1</v>
      </c>
      <c r="AM670" t="n">
        <v>18450</v>
      </c>
      <c r="AN670" t="n">
        <v>0</v>
      </c>
      <c r="AO670" t="n">
        <v>0</v>
      </c>
      <c r="AP670" s="39" t="n">
        <v>18450</v>
      </c>
      <c r="AQ670" s="39" t="n">
        <v>18450</v>
      </c>
      <c r="AR670" s="39" t="n">
        <v>0</v>
      </c>
      <c r="AS670" t="n">
        <v>0</v>
      </c>
      <c r="AT670" t="inlineStr">
        <is>
          <t>Ahorro</t>
        </is>
      </c>
      <c r="AU670" t="inlineStr">
        <is>
          <t>Banco de Credito del Perú</t>
        </is>
      </c>
      <c r="AV670" t="inlineStr">
        <is>
          <t>194-7325779-0-65</t>
        </is>
      </c>
      <c r="AW670" t="inlineStr">
        <is>
          <t>TRANSFERENCIA BANCARIA</t>
        </is>
      </c>
      <c r="AY670" t="inlineStr">
        <is>
          <t>04992682</t>
        </is>
      </c>
      <c r="AZ670" t="inlineStr">
        <is>
          <t>No</t>
        </is>
      </c>
      <c r="BB670" t="n">
        <v>4</v>
      </c>
      <c r="BC670" t="inlineStr">
        <is>
          <t>CANCELADO</t>
        </is>
      </c>
      <c r="BN670" t="inlineStr">
        <is>
          <t>Si</t>
        </is>
      </c>
      <c r="BO670" s="117" t="n">
        <v>46191.39652777778</v>
      </c>
      <c r="BP670" t="inlineStr">
        <is>
          <t>Kenny Salazar S</t>
        </is>
      </c>
      <c r="BR670" t="n">
        <v>45</v>
      </c>
      <c r="BS670" t="inlineStr">
        <is>
          <t>11/07/2026 09:30</t>
        </is>
      </c>
      <c r="BT670" t="n">
        <v>0</v>
      </c>
      <c r="BX670" t="inlineStr">
        <is>
          <t>Cobranzas_2026.csv</t>
        </is>
      </c>
      <c r="BY670" t="n">
        <v>2026</v>
      </c>
      <c r="BZ670" t="inlineStr">
        <is>
          <t>01/01/2024</t>
        </is>
      </c>
      <c r="CA670" t="inlineStr">
        <is>
          <t>30/09/2031</t>
        </is>
      </c>
    </row>
    <row r="671">
      <c r="A671" t="inlineStr">
        <is>
          <t>RESIDENCIAL BEYOND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902</t>
        </is>
      </c>
      <c r="G671" s="39" t="n">
        <v>469000</v>
      </c>
      <c r="H671" s="39" t="n">
        <v>429000</v>
      </c>
      <c r="M671" s="39" t="n"/>
      <c r="N671" s="39" t="n"/>
      <c r="S671" s="39" t="n"/>
      <c r="T671" s="39" t="n"/>
      <c r="Y671" s="39" t="n"/>
      <c r="Z671" s="39" t="n"/>
      <c r="AA671" t="inlineStr">
        <is>
          <t>Medaly Mendoza .</t>
        </is>
      </c>
      <c r="AB671" t="inlineStr">
        <is>
          <t>75197073</t>
        </is>
      </c>
      <c r="AC671" t="inlineStr">
        <is>
          <t>.</t>
        </is>
      </c>
      <c r="AD671" t="n">
        <v>0</v>
      </c>
      <c r="AE671" t="inlineStr">
        <is>
          <t>979218897</t>
        </is>
      </c>
      <c r="AF671" t="inlineStr">
        <is>
          <t>medalymendoza223@gmail.com</t>
        </is>
      </c>
      <c r="AG671" t="inlineStr">
        <is>
          <t>LIMA</t>
        </is>
      </c>
      <c r="AH671" t="inlineStr">
        <is>
          <t>JESUS MARIA</t>
        </is>
      </c>
      <c r="AI671" s="116" t="n">
        <v>46356</v>
      </c>
      <c r="AJ671" s="116" t="n"/>
      <c r="AK671" t="inlineStr">
        <is>
          <t>CUOTA INICIAL</t>
        </is>
      </c>
      <c r="AL671" t="n">
        <v>2</v>
      </c>
      <c r="AM671" t="n">
        <v>21450</v>
      </c>
      <c r="AN671" t="n">
        <v>0</v>
      </c>
      <c r="AO671" t="n">
        <v>0</v>
      </c>
      <c r="AP671" s="39" t="n">
        <v>21450</v>
      </c>
      <c r="AQ671" s="39" t="n">
        <v>0</v>
      </c>
      <c r="AR671" s="39" t="n">
        <v>21450</v>
      </c>
      <c r="AT671" t="inlineStr">
        <is>
          <t>Ahorro</t>
        </is>
      </c>
      <c r="AZ671" t="inlineStr">
        <is>
          <t>No</t>
        </is>
      </c>
      <c r="BC671" t="inlineStr">
        <is>
          <t>PENDIENTE</t>
        </is>
      </c>
      <c r="BN671" t="inlineStr">
        <is>
          <t>No</t>
        </is>
      </c>
      <c r="BO671" s="117" t="n">
        <v>46191.39652777778</v>
      </c>
      <c r="BP671" t="inlineStr">
        <is>
          <t>Kenny Salazar S</t>
        </is>
      </c>
      <c r="BR671" t="n">
        <v>45</v>
      </c>
      <c r="BT671" t="n">
        <v>0</v>
      </c>
      <c r="BX671" t="inlineStr">
        <is>
          <t>Cobranzas_2026.csv</t>
        </is>
      </c>
      <c r="BY671" t="n">
        <v>2026</v>
      </c>
      <c r="BZ671" t="inlineStr">
        <is>
          <t>01/01/2024</t>
        </is>
      </c>
      <c r="CA671" t="inlineStr">
        <is>
          <t>30/09/2031</t>
        </is>
      </c>
    </row>
    <row r="672">
      <c r="A672" t="inlineStr">
        <is>
          <t>RESIDENCIAL BEYOND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1603</t>
        </is>
      </c>
      <c r="G672" s="39" t="n">
        <v>493700</v>
      </c>
      <c r="H672" s="39" t="n">
        <v>436200</v>
      </c>
      <c r="I672" t="inlineStr">
        <is>
          <t>Edificio</t>
        </is>
      </c>
      <c r="J672" t="inlineStr">
        <is>
          <t>A</t>
        </is>
      </c>
      <c r="K672" t="inlineStr">
        <is>
          <t>Estacionamiento</t>
        </is>
      </c>
      <c r="L672" t="inlineStr">
        <is>
          <t>E 08 - D 08</t>
        </is>
      </c>
      <c r="M672" s="39" t="n">
        <v>53800</v>
      </c>
      <c r="N672" s="39" t="n">
        <v>53800</v>
      </c>
      <c r="S672" s="39" t="n"/>
      <c r="T672" s="39" t="n"/>
      <c r="Y672" s="39" t="n"/>
      <c r="Z672" s="39" t="n"/>
      <c r="AA672" t="inlineStr">
        <is>
          <t>Mohammed Belhaj b</t>
        </is>
      </c>
      <c r="AB672" t="inlineStr">
        <is>
          <t>NUoF6KHK3</t>
        </is>
      </c>
      <c r="AC672" t="inlineStr">
        <is>
          <t>Jr. Los Aromos Coop. Las Flores Mz 21LT. 31</t>
        </is>
      </c>
      <c r="AD672" t="n">
        <v>0</v>
      </c>
      <c r="AE672" t="inlineStr">
        <is>
          <t>922412765</t>
        </is>
      </c>
      <c r="AF672" t="inlineStr">
        <is>
          <t>mo.belhaj@outlook.com</t>
        </is>
      </c>
      <c r="AG672" t="inlineStr">
        <is>
          <t>LIMA</t>
        </is>
      </c>
      <c r="AH672" t="inlineStr">
        <is>
          <t>SAN JUAN DE LURIGANCHO</t>
        </is>
      </c>
      <c r="AI672" s="116" t="n">
        <v>46132</v>
      </c>
      <c r="AJ672" s="116" t="n">
        <v>46132</v>
      </c>
      <c r="AK672" t="inlineStr">
        <is>
          <t>SEPARACION</t>
        </is>
      </c>
      <c r="AL672" t="n">
        <v>1</v>
      </c>
      <c r="AM672" t="n">
        <v>3000</v>
      </c>
      <c r="AN672" t="n">
        <v>0</v>
      </c>
      <c r="AO672" t="n">
        <v>0</v>
      </c>
      <c r="AP672" s="39" t="n">
        <v>3000</v>
      </c>
      <c r="AQ672" s="39" t="n">
        <v>3000</v>
      </c>
      <c r="AR672" s="39" t="n">
        <v>0</v>
      </c>
      <c r="AS672" t="n">
        <v>0</v>
      </c>
      <c r="AT672" t="inlineStr">
        <is>
          <t>Crédito Directo</t>
        </is>
      </c>
      <c r="AU672" t="inlineStr">
        <is>
          <t>Banco de Credito del Perú</t>
        </is>
      </c>
      <c r="AV672" t="inlineStr">
        <is>
          <t>194-7325779-0-65</t>
        </is>
      </c>
      <c r="AW672" t="inlineStr">
        <is>
          <t>POS VISA</t>
        </is>
      </c>
      <c r="AY672" t="inlineStr">
        <is>
          <t>559275</t>
        </is>
      </c>
      <c r="AZ672" t="inlineStr">
        <is>
          <t>No</t>
        </is>
      </c>
      <c r="BB672" t="n">
        <v>4</v>
      </c>
      <c r="BC672" t="inlineStr">
        <is>
          <t>CANCELADO</t>
        </is>
      </c>
      <c r="BN672" t="inlineStr">
        <is>
          <t>Si</t>
        </is>
      </c>
      <c r="BO672" s="117" t="n">
        <v>46181.47777777778</v>
      </c>
      <c r="BP672" t="inlineStr">
        <is>
          <t>Carla Michue M</t>
        </is>
      </c>
      <c r="BR672" t="n">
        <v>9</v>
      </c>
      <c r="BS672" t="inlineStr">
        <is>
          <t>23/05/2026 17:54</t>
        </is>
      </c>
      <c r="BT672" t="n">
        <v>0</v>
      </c>
      <c r="BX672" t="inlineStr">
        <is>
          <t>Cobranzas_2026.csv</t>
        </is>
      </c>
      <c r="BY672" t="n">
        <v>2026</v>
      </c>
      <c r="BZ672" t="inlineStr">
        <is>
          <t>01/01/2024</t>
        </is>
      </c>
      <c r="CA672" t="inlineStr">
        <is>
          <t>30/09/2031</t>
        </is>
      </c>
    </row>
    <row r="673">
      <c r="A673" t="inlineStr">
        <is>
          <t>RESIDENCIAL BEYOND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1603</t>
        </is>
      </c>
      <c r="G673" s="39" t="n">
        <v>493700</v>
      </c>
      <c r="H673" s="39" t="n">
        <v>436200</v>
      </c>
      <c r="I673" t="inlineStr">
        <is>
          <t>Edificio</t>
        </is>
      </c>
      <c r="J673" t="inlineStr">
        <is>
          <t>A</t>
        </is>
      </c>
      <c r="K673" t="inlineStr">
        <is>
          <t>Estacionamiento</t>
        </is>
      </c>
      <c r="L673" t="inlineStr">
        <is>
          <t>E 08 - D 08</t>
        </is>
      </c>
      <c r="M673" s="39" t="n">
        <v>53800</v>
      </c>
      <c r="N673" s="39" t="n">
        <v>53800</v>
      </c>
      <c r="S673" s="39" t="n"/>
      <c r="T673" s="39" t="n"/>
      <c r="Y673" s="39" t="n"/>
      <c r="Z673" s="39" t="n"/>
      <c r="AA673" t="inlineStr">
        <is>
          <t>Mohammed Belhaj b</t>
        </is>
      </c>
      <c r="AB673" t="inlineStr">
        <is>
          <t>NUoF6KHK3</t>
        </is>
      </c>
      <c r="AC673" t="inlineStr">
        <is>
          <t>Jr. Los Aromos Coop. Las Flores Mz 21LT. 31</t>
        </is>
      </c>
      <c r="AD673" t="n">
        <v>0</v>
      </c>
      <c r="AE673" t="inlineStr">
        <is>
          <t>922412765</t>
        </is>
      </c>
      <c r="AF673" t="inlineStr">
        <is>
          <t>mo.belhaj@outlook.com</t>
        </is>
      </c>
      <c r="AG673" t="inlineStr">
        <is>
          <t>LIMA</t>
        </is>
      </c>
      <c r="AH673" t="inlineStr">
        <is>
          <t>SAN JUAN DE LURIGANCHO</t>
        </is>
      </c>
      <c r="AI673" s="116" t="n">
        <v>46135</v>
      </c>
      <c r="AJ673" s="116" t="n">
        <v>46135</v>
      </c>
      <c r="AK673" t="inlineStr">
        <is>
          <t>CUOTA INICIAL</t>
        </is>
      </c>
      <c r="AL673" t="n">
        <v>1</v>
      </c>
      <c r="AM673" t="n">
        <v>175.5</v>
      </c>
      <c r="AN673" t="n">
        <v>0</v>
      </c>
      <c r="AO673" t="n">
        <v>0</v>
      </c>
      <c r="AP673" s="39" t="n">
        <v>175.5</v>
      </c>
      <c r="AQ673" s="39" t="n">
        <v>175.5</v>
      </c>
      <c r="AR673" s="39" t="n">
        <v>0</v>
      </c>
      <c r="AS673" t="n">
        <v>0</v>
      </c>
      <c r="AT673" t="inlineStr">
        <is>
          <t>Crédito Directo</t>
        </is>
      </c>
      <c r="AU673" t="inlineStr">
        <is>
          <t>Banco de Credito del Perú</t>
        </is>
      </c>
      <c r="AV673" t="inlineStr">
        <is>
          <t>194-7325779-0-65</t>
        </is>
      </c>
      <c r="AW673" t="inlineStr">
        <is>
          <t>TRANSFERENCIA BANCARIA</t>
        </is>
      </c>
      <c r="AY673" t="inlineStr">
        <is>
          <t>9872572</t>
        </is>
      </c>
      <c r="AZ673" t="inlineStr">
        <is>
          <t>No</t>
        </is>
      </c>
      <c r="BB673" t="n">
        <v>3.51</v>
      </c>
      <c r="BC673" t="inlineStr">
        <is>
          <t>CANCELADO</t>
        </is>
      </c>
      <c r="BN673" t="inlineStr">
        <is>
          <t>Si</t>
        </is>
      </c>
      <c r="BO673" s="117" t="n">
        <v>46181.47777777778</v>
      </c>
      <c r="BP673" t="inlineStr">
        <is>
          <t>Carla Michue M</t>
        </is>
      </c>
      <c r="BR673" t="n">
        <v>9</v>
      </c>
      <c r="BS673" t="inlineStr">
        <is>
          <t>18/08/2026 09:05</t>
        </is>
      </c>
      <c r="BT673" t="n">
        <v>0</v>
      </c>
      <c r="BX673" t="inlineStr">
        <is>
          <t>Cobranzas_2026.csv</t>
        </is>
      </c>
      <c r="BY673" t="n">
        <v>2026</v>
      </c>
      <c r="BZ673" t="inlineStr">
        <is>
          <t>01/01/2024</t>
        </is>
      </c>
      <c r="CA673" t="inlineStr">
        <is>
          <t>30/09/2031</t>
        </is>
      </c>
    </row>
    <row r="674">
      <c r="A674" t="inlineStr">
        <is>
          <t>RESIDENCIAL BEYOND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1603</t>
        </is>
      </c>
      <c r="G674" s="39" t="n">
        <v>493700</v>
      </c>
      <c r="H674" s="39" t="n">
        <v>436200</v>
      </c>
      <c r="I674" t="inlineStr">
        <is>
          <t>Edificio</t>
        </is>
      </c>
      <c r="J674" t="inlineStr">
        <is>
          <t>A</t>
        </is>
      </c>
      <c r="K674" t="inlineStr">
        <is>
          <t>Estacionamiento</t>
        </is>
      </c>
      <c r="L674" t="inlineStr">
        <is>
          <t>E 08 - D 08</t>
        </is>
      </c>
      <c r="M674" s="39" t="n">
        <v>53800</v>
      </c>
      <c r="N674" s="39" t="n">
        <v>53800</v>
      </c>
      <c r="S674" s="39" t="n"/>
      <c r="T674" s="39" t="n"/>
      <c r="Y674" s="39" t="n"/>
      <c r="Z674" s="39" t="n"/>
      <c r="AA674" t="inlineStr">
        <is>
          <t>Mohammed Belhaj b</t>
        </is>
      </c>
      <c r="AB674" t="inlineStr">
        <is>
          <t>NUoF6KHK3</t>
        </is>
      </c>
      <c r="AC674" t="inlineStr">
        <is>
          <t>Jr. Los Aromos Coop. Las Flores Mz 21LT. 31</t>
        </is>
      </c>
      <c r="AD674" t="n">
        <v>0</v>
      </c>
      <c r="AE674" t="inlineStr">
        <is>
          <t>922412765</t>
        </is>
      </c>
      <c r="AF674" t="inlineStr">
        <is>
          <t>mo.belhaj@outlook.com</t>
        </is>
      </c>
      <c r="AG674" t="inlineStr">
        <is>
          <t>LIMA</t>
        </is>
      </c>
      <c r="AH674" t="inlineStr">
        <is>
          <t>SAN JUAN DE LURIGANCHO</t>
        </is>
      </c>
      <c r="AI674" s="116" t="n">
        <v>46172</v>
      </c>
      <c r="AJ674" s="116" t="n">
        <v>46142</v>
      </c>
      <c r="AK674" t="inlineStr">
        <is>
          <t>CUOTA INICIAL</t>
        </is>
      </c>
      <c r="AL674" t="n">
        <v>2</v>
      </c>
      <c r="AM674" t="n">
        <v>306745.71</v>
      </c>
      <c r="AN674" t="n">
        <v>0</v>
      </c>
      <c r="AO674" t="n">
        <v>0</v>
      </c>
      <c r="AP674" s="39" t="n">
        <v>306745.71</v>
      </c>
      <c r="AQ674" s="39" t="n">
        <v>306745.71</v>
      </c>
      <c r="AR674" s="39" t="n">
        <v>0</v>
      </c>
      <c r="AS674" t="n">
        <v>0</v>
      </c>
      <c r="AT674" t="inlineStr">
        <is>
          <t>Crédito Directo</t>
        </is>
      </c>
      <c r="AU674" t="inlineStr">
        <is>
          <t>Banco de Credito del Perú</t>
        </is>
      </c>
      <c r="AV674" t="inlineStr">
        <is>
          <t>194-7325779-0-65</t>
        </is>
      </c>
      <c r="AW674" t="inlineStr">
        <is>
          <t>TRANSFERENCIA BANCARIA</t>
        </is>
      </c>
      <c r="AY674" t="inlineStr">
        <is>
          <t>9899803</t>
        </is>
      </c>
      <c r="AZ674" t="inlineStr">
        <is>
          <t>No</t>
        </is>
      </c>
      <c r="BB674" t="n">
        <v>3.51</v>
      </c>
      <c r="BC674" t="inlineStr">
        <is>
          <t>CANCELADO</t>
        </is>
      </c>
      <c r="BN674" t="inlineStr">
        <is>
          <t>Si</t>
        </is>
      </c>
      <c r="BO674" s="117" t="n">
        <v>46181.47777777778</v>
      </c>
      <c r="BP674" t="inlineStr">
        <is>
          <t>Carla Michue M</t>
        </is>
      </c>
      <c r="BR674" t="n">
        <v>9</v>
      </c>
      <c r="BS674" t="inlineStr">
        <is>
          <t>18/08/2026 09:06</t>
        </is>
      </c>
      <c r="BT674" t="n">
        <v>0</v>
      </c>
      <c r="BX674" t="inlineStr">
        <is>
          <t>Cobranzas_2026.csv</t>
        </is>
      </c>
      <c r="BY674" t="n">
        <v>2026</v>
      </c>
      <c r="BZ674" t="inlineStr">
        <is>
          <t>01/01/2024</t>
        </is>
      </c>
      <c r="CA674" t="inlineStr">
        <is>
          <t>30/09/2031</t>
        </is>
      </c>
    </row>
    <row r="675">
      <c r="A675" t="inlineStr">
        <is>
          <t>RESIDENCIAL BEYOND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1603</t>
        </is>
      </c>
      <c r="G675" s="39" t="n">
        <v>493700</v>
      </c>
      <c r="H675" s="39" t="n">
        <v>436200</v>
      </c>
      <c r="I675" t="inlineStr">
        <is>
          <t>Edificio</t>
        </is>
      </c>
      <c r="J675" t="inlineStr">
        <is>
          <t>A</t>
        </is>
      </c>
      <c r="K675" t="inlineStr">
        <is>
          <t>Estacionamiento</t>
        </is>
      </c>
      <c r="L675" t="inlineStr">
        <is>
          <t>E 08 - D 08</t>
        </is>
      </c>
      <c r="M675" s="39" t="n">
        <v>53800</v>
      </c>
      <c r="N675" s="39" t="n">
        <v>53800</v>
      </c>
      <c r="S675" s="39" t="n"/>
      <c r="T675" s="39" t="n"/>
      <c r="Y675" s="39" t="n"/>
      <c r="Z675" s="39" t="n"/>
      <c r="AA675" t="inlineStr">
        <is>
          <t>Mohammed Belhaj b</t>
        </is>
      </c>
      <c r="AB675" t="inlineStr">
        <is>
          <t>NUoF6KHK3</t>
        </is>
      </c>
      <c r="AC675" t="inlineStr">
        <is>
          <t>Jr. Los Aromos Coop. Las Flores Mz 21LT. 31</t>
        </is>
      </c>
      <c r="AD675" t="n">
        <v>0</v>
      </c>
      <c r="AE675" t="inlineStr">
        <is>
          <t>922412765</t>
        </is>
      </c>
      <c r="AF675" t="inlineStr">
        <is>
          <t>mo.belhaj@outlook.com</t>
        </is>
      </c>
      <c r="AG675" t="inlineStr">
        <is>
          <t>LIMA</t>
        </is>
      </c>
      <c r="AH675" t="inlineStr">
        <is>
          <t>SAN JUAN DE LURIGANCHO</t>
        </is>
      </c>
      <c r="AI675" s="116" t="n">
        <v>46265</v>
      </c>
      <c r="AJ675" s="116" t="n">
        <v>46244</v>
      </c>
      <c r="AK675" t="inlineStr">
        <is>
          <t>SALDO FINANCIAR</t>
        </is>
      </c>
      <c r="AL675" t="n">
        <v>1</v>
      </c>
      <c r="AM675" t="n">
        <v>20008.75</v>
      </c>
      <c r="AN675" t="n">
        <v>0</v>
      </c>
      <c r="AO675" t="n">
        <v>0</v>
      </c>
      <c r="AP675" s="39" t="n">
        <v>20008.75</v>
      </c>
      <c r="AQ675" s="39" t="n">
        <v>20008.75</v>
      </c>
      <c r="AR675" s="39" t="n">
        <v>0</v>
      </c>
      <c r="AS675" t="n">
        <v>0</v>
      </c>
      <c r="AT675" t="inlineStr">
        <is>
          <t>Crédito Directo</t>
        </is>
      </c>
      <c r="AU675" t="inlineStr">
        <is>
          <t>Banco de Credito del Perú</t>
        </is>
      </c>
      <c r="AV675" t="inlineStr">
        <is>
          <t>194-7325779-0-65</t>
        </is>
      </c>
      <c r="AW675" t="inlineStr">
        <is>
          <t>TRANSFERENCIA BANCARIA</t>
        </is>
      </c>
      <c r="AZ675" t="inlineStr">
        <is>
          <t>No</t>
        </is>
      </c>
      <c r="BB675" t="n">
        <v>3.51</v>
      </c>
      <c r="BC675" t="inlineStr">
        <is>
          <t>CANCELADO</t>
        </is>
      </c>
      <c r="BN675" t="inlineStr">
        <is>
          <t>Si</t>
        </is>
      </c>
      <c r="BO675" s="117" t="n">
        <v>46181.47777777778</v>
      </c>
      <c r="BP675" t="inlineStr">
        <is>
          <t>Carla Michue M</t>
        </is>
      </c>
      <c r="BR675" t="n">
        <v>9</v>
      </c>
      <c r="BS675" t="inlineStr">
        <is>
          <t>18/08/2026 09:19</t>
        </is>
      </c>
      <c r="BT675" t="n">
        <v>0</v>
      </c>
      <c r="BX675" t="inlineStr">
        <is>
          <t>Cobranzas_2026.csv</t>
        </is>
      </c>
      <c r="BY675" t="n">
        <v>2026</v>
      </c>
      <c r="BZ675" t="inlineStr">
        <is>
          <t>01/01/2024</t>
        </is>
      </c>
      <c r="CA675" t="inlineStr">
        <is>
          <t>30/09/2031</t>
        </is>
      </c>
    </row>
    <row r="676">
      <c r="A676" t="inlineStr">
        <is>
          <t>RESIDENCIAL BEYOND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1603</t>
        </is>
      </c>
      <c r="G676" s="39" t="n">
        <v>493700</v>
      </c>
      <c r="H676" s="39" t="n">
        <v>436200</v>
      </c>
      <c r="I676" t="inlineStr">
        <is>
          <t>Edificio</t>
        </is>
      </c>
      <c r="J676" t="inlineStr">
        <is>
          <t>A</t>
        </is>
      </c>
      <c r="K676" t="inlineStr">
        <is>
          <t>Estacionamiento</t>
        </is>
      </c>
      <c r="L676" t="inlineStr">
        <is>
          <t>E 08 - D 08</t>
        </is>
      </c>
      <c r="M676" s="39" t="n">
        <v>53800</v>
      </c>
      <c r="N676" s="39" t="n">
        <v>53800</v>
      </c>
      <c r="S676" s="39" t="n"/>
      <c r="T676" s="39" t="n"/>
      <c r="Y676" s="39" t="n"/>
      <c r="Z676" s="39" t="n"/>
      <c r="AA676" t="inlineStr">
        <is>
          <t>Mohammed Belhaj b</t>
        </is>
      </c>
      <c r="AB676" t="inlineStr">
        <is>
          <t>NUoF6KHK3</t>
        </is>
      </c>
      <c r="AC676" t="inlineStr">
        <is>
          <t>Jr. Los Aromos Coop. Las Flores Mz 21LT. 31</t>
        </is>
      </c>
      <c r="AD676" t="n">
        <v>0</v>
      </c>
      <c r="AE676" t="inlineStr">
        <is>
          <t>922412765</t>
        </is>
      </c>
      <c r="AF676" t="inlineStr">
        <is>
          <t>mo.belhaj@outlook.com</t>
        </is>
      </c>
      <c r="AG676" t="inlineStr">
        <is>
          <t>LIMA</t>
        </is>
      </c>
      <c r="AH676" t="inlineStr">
        <is>
          <t>SAN JUAN DE LURIGANCHO</t>
        </is>
      </c>
      <c r="AI676" s="116" t="n">
        <v>46274</v>
      </c>
      <c r="AJ676" s="116" t="n">
        <v>46274</v>
      </c>
      <c r="AK676" t="inlineStr">
        <is>
          <t>SALDO FINANCIAR</t>
        </is>
      </c>
      <c r="AL676" t="n">
        <v>2</v>
      </c>
      <c r="AM676" t="n">
        <v>20008.75</v>
      </c>
      <c r="AN676" t="n">
        <v>0</v>
      </c>
      <c r="AO676" t="n">
        <v>0</v>
      </c>
      <c r="AP676" s="39" t="n">
        <v>20008.75</v>
      </c>
      <c r="AQ676" s="39" t="n">
        <v>20008.75</v>
      </c>
      <c r="AR676" s="39" t="n">
        <v>0</v>
      </c>
      <c r="AS676" t="n">
        <v>0</v>
      </c>
      <c r="AT676" t="inlineStr">
        <is>
          <t>Crédito Directo</t>
        </is>
      </c>
      <c r="AU676" t="inlineStr">
        <is>
          <t>Banco de Credito del Perú</t>
        </is>
      </c>
      <c r="AV676" t="inlineStr">
        <is>
          <t>194-7325779-0-65</t>
        </is>
      </c>
      <c r="AW676" t="inlineStr">
        <is>
          <t>TRANSFERENCIA BANCARIA</t>
        </is>
      </c>
      <c r="AY676" t="inlineStr">
        <is>
          <t>05</t>
        </is>
      </c>
      <c r="AZ676" t="inlineStr">
        <is>
          <t>No</t>
        </is>
      </c>
      <c r="BB676" t="n">
        <v>4</v>
      </c>
      <c r="BC676" t="inlineStr">
        <is>
          <t>CANCELADO</t>
        </is>
      </c>
      <c r="BN676" t="inlineStr">
        <is>
          <t>Si</t>
        </is>
      </c>
      <c r="BO676" s="117" t="n">
        <v>46181.47777777778</v>
      </c>
      <c r="BP676" t="inlineStr">
        <is>
          <t>Carla Michue M</t>
        </is>
      </c>
      <c r="BR676" t="n">
        <v>9</v>
      </c>
      <c r="BS676" t="inlineStr">
        <is>
          <t>22/09/2026 16:22</t>
        </is>
      </c>
      <c r="BT676" t="n">
        <v>0</v>
      </c>
      <c r="BX676" t="inlineStr">
        <is>
          <t>Cobranzas_2026.csv</t>
        </is>
      </c>
      <c r="BY676" t="n">
        <v>2026</v>
      </c>
      <c r="BZ676" t="inlineStr">
        <is>
          <t>01/01/2024</t>
        </is>
      </c>
      <c r="CA676" t="inlineStr">
        <is>
          <t>30/09/2031</t>
        </is>
      </c>
    </row>
    <row r="677">
      <c r="A677" t="inlineStr">
        <is>
          <t>RESIDENCIAL BEYOND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1603</t>
        </is>
      </c>
      <c r="G677" s="39" t="n">
        <v>493700</v>
      </c>
      <c r="H677" s="39" t="n">
        <v>436200</v>
      </c>
      <c r="I677" t="inlineStr">
        <is>
          <t>Edificio</t>
        </is>
      </c>
      <c r="J677" t="inlineStr">
        <is>
          <t>A</t>
        </is>
      </c>
      <c r="K677" t="inlineStr">
        <is>
          <t>Estacionamiento</t>
        </is>
      </c>
      <c r="L677" t="inlineStr">
        <is>
          <t>E 08 - D 08</t>
        </is>
      </c>
      <c r="M677" s="39" t="n">
        <v>53800</v>
      </c>
      <c r="N677" s="39" t="n">
        <v>53800</v>
      </c>
      <c r="S677" s="39" t="n"/>
      <c r="T677" s="39" t="n"/>
      <c r="Y677" s="39" t="n"/>
      <c r="Z677" s="39" t="n"/>
      <c r="AA677" t="inlineStr">
        <is>
          <t>Mohammed Belhaj b</t>
        </is>
      </c>
      <c r="AB677" t="inlineStr">
        <is>
          <t>NUoF6KHK3</t>
        </is>
      </c>
      <c r="AC677" t="inlineStr">
        <is>
          <t>Jr. Los Aromos Coop. Las Flores Mz 21LT. 31</t>
        </is>
      </c>
      <c r="AD677" t="n">
        <v>0</v>
      </c>
      <c r="AE677" t="inlineStr">
        <is>
          <t>922412765</t>
        </is>
      </c>
      <c r="AF677" t="inlineStr">
        <is>
          <t>mo.belhaj@outlook.com</t>
        </is>
      </c>
      <c r="AG677" t="inlineStr">
        <is>
          <t>LIMA</t>
        </is>
      </c>
      <c r="AH677" t="inlineStr">
        <is>
          <t>SAN JUAN DE LURIGANCHO</t>
        </is>
      </c>
      <c r="AI677" s="116" t="n">
        <v>46326</v>
      </c>
      <c r="AJ677" s="116" t="n"/>
      <c r="AK677" t="inlineStr">
        <is>
          <t>SALDO FINANCIAR</t>
        </is>
      </c>
      <c r="AL677" t="n">
        <v>3</v>
      </c>
      <c r="AM677" t="n">
        <v>20008.75</v>
      </c>
      <c r="AN677" t="n">
        <v>0</v>
      </c>
      <c r="AO677" t="n">
        <v>0</v>
      </c>
      <c r="AP677" s="39" t="n">
        <v>20008.75</v>
      </c>
      <c r="AQ677" s="39" t="n">
        <v>0</v>
      </c>
      <c r="AR677" s="39" t="n">
        <v>20008.75</v>
      </c>
      <c r="AT677" t="inlineStr">
        <is>
          <t>Crédito Directo</t>
        </is>
      </c>
      <c r="AZ677" t="inlineStr">
        <is>
          <t>No</t>
        </is>
      </c>
      <c r="BC677" t="inlineStr">
        <is>
          <t>PENDIENTE</t>
        </is>
      </c>
      <c r="BN677" t="inlineStr">
        <is>
          <t>No</t>
        </is>
      </c>
      <c r="BO677" s="117" t="n">
        <v>46181.47777777778</v>
      </c>
      <c r="BP677" t="inlineStr">
        <is>
          <t>Carla Michue M</t>
        </is>
      </c>
      <c r="BR677" t="n">
        <v>9</v>
      </c>
      <c r="BT677" t="n">
        <v>0</v>
      </c>
      <c r="BX677" t="inlineStr">
        <is>
          <t>Cobranzas_2026.csv</t>
        </is>
      </c>
      <c r="BY677" t="n">
        <v>2026</v>
      </c>
      <c r="BZ677" t="inlineStr">
        <is>
          <t>01/01/2024</t>
        </is>
      </c>
      <c r="CA677" t="inlineStr">
        <is>
          <t>30/09/2031</t>
        </is>
      </c>
    </row>
    <row r="678">
      <c r="A678" t="inlineStr">
        <is>
          <t>RESIDENCIAL BEYOND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1603</t>
        </is>
      </c>
      <c r="G678" s="39" t="n">
        <v>493700</v>
      </c>
      <c r="H678" s="39" t="n">
        <v>436200</v>
      </c>
      <c r="I678" t="inlineStr">
        <is>
          <t>Edificio</t>
        </is>
      </c>
      <c r="J678" t="inlineStr">
        <is>
          <t>A</t>
        </is>
      </c>
      <c r="K678" t="inlineStr">
        <is>
          <t>Estacionamiento</t>
        </is>
      </c>
      <c r="L678" t="inlineStr">
        <is>
          <t>E 08 - D 08</t>
        </is>
      </c>
      <c r="M678" s="39" t="n">
        <v>53800</v>
      </c>
      <c r="N678" s="39" t="n">
        <v>53800</v>
      </c>
      <c r="S678" s="39" t="n"/>
      <c r="T678" s="39" t="n"/>
      <c r="Y678" s="39" t="n"/>
      <c r="Z678" s="39" t="n"/>
      <c r="AA678" t="inlineStr">
        <is>
          <t>Mohammed Belhaj b</t>
        </is>
      </c>
      <c r="AB678" t="inlineStr">
        <is>
          <t>NUoF6KHK3</t>
        </is>
      </c>
      <c r="AC678" t="inlineStr">
        <is>
          <t>Jr. Los Aromos Coop. Las Flores Mz 21LT. 31</t>
        </is>
      </c>
      <c r="AD678" t="n">
        <v>0</v>
      </c>
      <c r="AE678" t="inlineStr">
        <is>
          <t>922412765</t>
        </is>
      </c>
      <c r="AF678" t="inlineStr">
        <is>
          <t>mo.belhaj@outlook.com</t>
        </is>
      </c>
      <c r="AG678" t="inlineStr">
        <is>
          <t>LIMA</t>
        </is>
      </c>
      <c r="AH678" t="inlineStr">
        <is>
          <t>SAN JUAN DE LURIGANCHO</t>
        </is>
      </c>
      <c r="AI678" s="116" t="n">
        <v>46356</v>
      </c>
      <c r="AJ678" s="116" t="n"/>
      <c r="AK678" t="inlineStr">
        <is>
          <t>SALDO FINANCIAR</t>
        </is>
      </c>
      <c r="AL678" t="n">
        <v>4</v>
      </c>
      <c r="AM678" t="n">
        <v>20008.75</v>
      </c>
      <c r="AN678" t="n">
        <v>0</v>
      </c>
      <c r="AO678" t="n">
        <v>0</v>
      </c>
      <c r="AP678" s="39" t="n">
        <v>20008.75</v>
      </c>
      <c r="AQ678" s="39" t="n">
        <v>0</v>
      </c>
      <c r="AR678" s="39" t="n">
        <v>20008.75</v>
      </c>
      <c r="AT678" t="inlineStr">
        <is>
          <t>Crédito Directo</t>
        </is>
      </c>
      <c r="AZ678" t="inlineStr">
        <is>
          <t>No</t>
        </is>
      </c>
      <c r="BC678" t="inlineStr">
        <is>
          <t>PENDIENTE</t>
        </is>
      </c>
      <c r="BN678" t="inlineStr">
        <is>
          <t>No</t>
        </is>
      </c>
      <c r="BO678" s="117" t="n">
        <v>46181.47777777778</v>
      </c>
      <c r="BP678" t="inlineStr">
        <is>
          <t>Carla Michue M</t>
        </is>
      </c>
      <c r="BR678" t="n">
        <v>9</v>
      </c>
      <c r="BT678" t="n">
        <v>0</v>
      </c>
      <c r="BX678" t="inlineStr">
        <is>
          <t>Cobranzas_2026.csv</t>
        </is>
      </c>
      <c r="BY678" t="n">
        <v>2026</v>
      </c>
      <c r="BZ678" t="inlineStr">
        <is>
          <t>01/01/2024</t>
        </is>
      </c>
      <c r="CA678" t="inlineStr">
        <is>
          <t>30/09/2031</t>
        </is>
      </c>
    </row>
    <row r="679">
      <c r="A679" t="inlineStr">
        <is>
          <t>RESIDENCIAL BEYOND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1603</t>
        </is>
      </c>
      <c r="G679" s="39" t="n">
        <v>493700</v>
      </c>
      <c r="H679" s="39" t="n">
        <v>436200</v>
      </c>
      <c r="I679" t="inlineStr">
        <is>
          <t>Edificio</t>
        </is>
      </c>
      <c r="J679" t="inlineStr">
        <is>
          <t>A</t>
        </is>
      </c>
      <c r="K679" t="inlineStr">
        <is>
          <t>Estacionamiento</t>
        </is>
      </c>
      <c r="L679" t="inlineStr">
        <is>
          <t>E 08 - D 08</t>
        </is>
      </c>
      <c r="M679" s="39" t="n">
        <v>53800</v>
      </c>
      <c r="N679" s="39" t="n">
        <v>53800</v>
      </c>
      <c r="S679" s="39" t="n"/>
      <c r="T679" s="39" t="n"/>
      <c r="Y679" s="39" t="n"/>
      <c r="Z679" s="39" t="n"/>
      <c r="AA679" t="inlineStr">
        <is>
          <t>Mohammed Belhaj b</t>
        </is>
      </c>
      <c r="AB679" t="inlineStr">
        <is>
          <t>NUoF6KHK3</t>
        </is>
      </c>
      <c r="AC679" t="inlineStr">
        <is>
          <t>Jr. Los Aromos Coop. Las Flores Mz 21LT. 31</t>
        </is>
      </c>
      <c r="AD679" t="n">
        <v>0</v>
      </c>
      <c r="AE679" t="inlineStr">
        <is>
          <t>922412765</t>
        </is>
      </c>
      <c r="AF679" t="inlineStr">
        <is>
          <t>mo.belhaj@outlook.com</t>
        </is>
      </c>
      <c r="AG679" t="inlineStr">
        <is>
          <t>LIMA</t>
        </is>
      </c>
      <c r="AH679" t="inlineStr">
        <is>
          <t>SAN JUAN DE LURIGANCHO</t>
        </is>
      </c>
      <c r="AI679" s="116" t="n">
        <v>46387</v>
      </c>
      <c r="AJ679" s="116" t="n"/>
      <c r="AK679" t="inlineStr">
        <is>
          <t>SALDO FINANCIAR</t>
        </is>
      </c>
      <c r="AL679" t="n">
        <v>5</v>
      </c>
      <c r="AM679" t="n">
        <v>20008.75</v>
      </c>
      <c r="AN679" t="n">
        <v>0</v>
      </c>
      <c r="AO679" t="n">
        <v>0</v>
      </c>
      <c r="AP679" s="39" t="n">
        <v>20008.75</v>
      </c>
      <c r="AQ679" s="39" t="n">
        <v>0</v>
      </c>
      <c r="AR679" s="39" t="n">
        <v>20008.75</v>
      </c>
      <c r="AT679" t="inlineStr">
        <is>
          <t>Crédito Directo</t>
        </is>
      </c>
      <c r="AZ679" t="inlineStr">
        <is>
          <t>No</t>
        </is>
      </c>
      <c r="BC679" t="inlineStr">
        <is>
          <t>PENDIENTE</t>
        </is>
      </c>
      <c r="BN679" t="inlineStr">
        <is>
          <t>No</t>
        </is>
      </c>
      <c r="BO679" s="117" t="n">
        <v>46181.47777777778</v>
      </c>
      <c r="BP679" t="inlineStr">
        <is>
          <t>Carla Michue M</t>
        </is>
      </c>
      <c r="BR679" t="n">
        <v>9</v>
      </c>
      <c r="BT679" t="n">
        <v>0</v>
      </c>
      <c r="BX679" t="inlineStr">
        <is>
          <t>Cobranzas_2026.csv</t>
        </is>
      </c>
      <c r="BY679" t="n">
        <v>2026</v>
      </c>
      <c r="BZ679" t="inlineStr">
        <is>
          <t>01/01/2024</t>
        </is>
      </c>
      <c r="CA679" t="inlineStr">
        <is>
          <t>30/09/2031</t>
        </is>
      </c>
    </row>
    <row r="680">
      <c r="A680" t="inlineStr">
        <is>
          <t>RESIDENCIAL BEYOND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Depósito</t>
        </is>
      </c>
      <c r="F680" t="inlineStr">
        <is>
          <t>D 04</t>
        </is>
      </c>
      <c r="G680" s="39" t="n">
        <v>10100</v>
      </c>
      <c r="H680" s="39" t="n">
        <v>10100</v>
      </c>
      <c r="I680" t="inlineStr">
        <is>
          <t>Edificio</t>
        </is>
      </c>
      <c r="J680" t="inlineStr">
        <is>
          <t>A</t>
        </is>
      </c>
      <c r="K680" t="inlineStr">
        <is>
          <t>Depósito</t>
        </is>
      </c>
      <c r="L680" t="inlineStr">
        <is>
          <t>D 03</t>
        </is>
      </c>
      <c r="M680" s="39" t="n">
        <v>9000</v>
      </c>
      <c r="N680" s="39" t="n">
        <v>9000</v>
      </c>
      <c r="S680" s="39" t="n"/>
      <c r="T680" s="39" t="n"/>
      <c r="Y680" s="39" t="n"/>
      <c r="Z680" s="39" t="n"/>
      <c r="AA680" t="inlineStr">
        <is>
          <t>Mohammed Belhaj b</t>
        </is>
      </c>
      <c r="AB680" t="inlineStr">
        <is>
          <t>NUoF6KHK3</t>
        </is>
      </c>
      <c r="AC680" t="inlineStr">
        <is>
          <t>Jr. Los Aromos Coop. Las Flores Mz 21LT. 31</t>
        </is>
      </c>
      <c r="AD680" t="n">
        <v>0</v>
      </c>
      <c r="AE680" t="inlineStr">
        <is>
          <t>922412765</t>
        </is>
      </c>
      <c r="AF680" t="inlineStr">
        <is>
          <t>mo.belhaj@outlook.com</t>
        </is>
      </c>
      <c r="AG680" t="inlineStr">
        <is>
          <t>LIMA</t>
        </is>
      </c>
      <c r="AH680" t="inlineStr">
        <is>
          <t>SAN JUAN DE LURIGANCHO</t>
        </is>
      </c>
      <c r="AI680" s="116" t="n">
        <v>46197</v>
      </c>
      <c r="AJ680" s="116" t="n">
        <v>46196</v>
      </c>
      <c r="AK680" t="inlineStr">
        <is>
          <t>SEPARACION</t>
        </is>
      </c>
      <c r="AL680" t="n">
        <v>1</v>
      </c>
      <c r="AM680" t="n">
        <v>3000</v>
      </c>
      <c r="AN680" t="n">
        <v>0</v>
      </c>
      <c r="AO680" t="n">
        <v>0</v>
      </c>
      <c r="AP680" s="39" t="n">
        <v>3000</v>
      </c>
      <c r="AQ680" s="39" t="n">
        <v>3000</v>
      </c>
      <c r="AR680" s="39" t="n">
        <v>0</v>
      </c>
      <c r="AS680" t="n">
        <v>0</v>
      </c>
      <c r="AT680" t="inlineStr">
        <is>
          <t>Contado</t>
        </is>
      </c>
      <c r="AU680" t="inlineStr">
        <is>
          <t>Banco de Credito del Perú</t>
        </is>
      </c>
      <c r="AV680" t="inlineStr">
        <is>
          <t>194-7325779-0-65</t>
        </is>
      </c>
      <c r="AW680" t="inlineStr">
        <is>
          <t>TRANSFERENCIA BANCARIA</t>
        </is>
      </c>
      <c r="AY680" t="inlineStr">
        <is>
          <t>23</t>
        </is>
      </c>
      <c r="AZ680" t="inlineStr">
        <is>
          <t>No</t>
        </is>
      </c>
      <c r="BB680" t="n">
        <v>3.4</v>
      </c>
      <c r="BC680" t="inlineStr">
        <is>
          <t>CANCELADO</t>
        </is>
      </c>
      <c r="BN680" t="inlineStr">
        <is>
          <t>Si</t>
        </is>
      </c>
      <c r="BO680" s="117" t="n">
        <v>46197.96597222222</v>
      </c>
      <c r="BP680" t="inlineStr">
        <is>
          <t>Carla Michue M</t>
        </is>
      </c>
      <c r="BR680" t="n">
        <v>53</v>
      </c>
      <c r="BS680" t="inlineStr">
        <is>
          <t>11/09/2026 09:17</t>
        </is>
      </c>
      <c r="BT680" t="n">
        <v>0</v>
      </c>
      <c r="BX680" t="inlineStr">
        <is>
          <t>Cobranzas_2026.csv</t>
        </is>
      </c>
      <c r="BY680" t="n">
        <v>2026</v>
      </c>
      <c r="BZ680" t="inlineStr">
        <is>
          <t>01/01/2024</t>
        </is>
      </c>
      <c r="CA680" t="inlineStr">
        <is>
          <t>30/09/2031</t>
        </is>
      </c>
    </row>
    <row r="681">
      <c r="A681" t="inlineStr">
        <is>
          <t>RESIDENCIAL BEYOND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Depósito</t>
        </is>
      </c>
      <c r="F681" t="inlineStr">
        <is>
          <t>D 04</t>
        </is>
      </c>
      <c r="G681" s="39" t="n">
        <v>10100</v>
      </c>
      <c r="H681" s="39" t="n">
        <v>10100</v>
      </c>
      <c r="I681" t="inlineStr">
        <is>
          <t>Edificio</t>
        </is>
      </c>
      <c r="J681" t="inlineStr">
        <is>
          <t>A</t>
        </is>
      </c>
      <c r="K681" t="inlineStr">
        <is>
          <t>Depósito</t>
        </is>
      </c>
      <c r="L681" t="inlineStr">
        <is>
          <t>D 03</t>
        </is>
      </c>
      <c r="M681" s="39" t="n">
        <v>9000</v>
      </c>
      <c r="N681" s="39" t="n">
        <v>9000</v>
      </c>
      <c r="S681" s="39" t="n"/>
      <c r="T681" s="39" t="n"/>
      <c r="Y681" s="39" t="n"/>
      <c r="Z681" s="39" t="n"/>
      <c r="AA681" t="inlineStr">
        <is>
          <t>Mohammed Belhaj b</t>
        </is>
      </c>
      <c r="AB681" t="inlineStr">
        <is>
          <t>NUoF6KHK3</t>
        </is>
      </c>
      <c r="AC681" t="inlineStr">
        <is>
          <t>Jr. Los Aromos Coop. Las Flores Mz 21LT. 31</t>
        </is>
      </c>
      <c r="AD681" t="n">
        <v>0</v>
      </c>
      <c r="AE681" t="inlineStr">
        <is>
          <t>922412765</t>
        </is>
      </c>
      <c r="AF681" t="inlineStr">
        <is>
          <t>mo.belhaj@outlook.com</t>
        </is>
      </c>
      <c r="AG681" t="inlineStr">
        <is>
          <t>LIMA</t>
        </is>
      </c>
      <c r="AH681" t="inlineStr">
        <is>
          <t>SAN JUAN DE LURIGANCHO</t>
        </is>
      </c>
      <c r="AI681" s="116" t="n">
        <v>46212</v>
      </c>
      <c r="AJ681" s="116" t="n">
        <v>46196</v>
      </c>
      <c r="AK681" t="inlineStr">
        <is>
          <t>CUOTA INICIAL</t>
        </is>
      </c>
      <c r="AL681" t="n">
        <v>1</v>
      </c>
      <c r="AM681" t="n">
        <v>1000</v>
      </c>
      <c r="AN681" t="n">
        <v>0</v>
      </c>
      <c r="AO681" t="n">
        <v>0</v>
      </c>
      <c r="AP681" s="39" t="n">
        <v>1000</v>
      </c>
      <c r="AQ681" s="39" t="n">
        <v>1000</v>
      </c>
      <c r="AR681" s="39" t="n">
        <v>0</v>
      </c>
      <c r="AS681" t="n">
        <v>0</v>
      </c>
      <c r="AT681" t="inlineStr">
        <is>
          <t>Contado</t>
        </is>
      </c>
      <c r="AU681" t="inlineStr">
        <is>
          <t>Banco de Credito del Perú</t>
        </is>
      </c>
      <c r="AV681" t="inlineStr">
        <is>
          <t>194-7325779-0-65</t>
        </is>
      </c>
      <c r="AW681" t="inlineStr">
        <is>
          <t>TRANSFERENCIA BANCARIA</t>
        </is>
      </c>
      <c r="AY681" t="inlineStr">
        <is>
          <t>23</t>
        </is>
      </c>
      <c r="AZ681" t="inlineStr">
        <is>
          <t>No</t>
        </is>
      </c>
      <c r="BB681" t="n">
        <v>3.4</v>
      </c>
      <c r="BC681" t="inlineStr">
        <is>
          <t>CANCELADO</t>
        </is>
      </c>
      <c r="BN681" t="inlineStr">
        <is>
          <t>Si</t>
        </is>
      </c>
      <c r="BO681" s="117" t="n">
        <v>46197.96597222222</v>
      </c>
      <c r="BP681" t="inlineStr">
        <is>
          <t>Carla Michue M</t>
        </is>
      </c>
      <c r="BR681" t="n">
        <v>53</v>
      </c>
      <c r="BS681" t="inlineStr">
        <is>
          <t>11/09/2026 09:17</t>
        </is>
      </c>
      <c r="BT681" t="n">
        <v>0</v>
      </c>
      <c r="BX681" t="inlineStr">
        <is>
          <t>Cobranzas_2026.csv</t>
        </is>
      </c>
      <c r="BY681" t="n">
        <v>2026</v>
      </c>
      <c r="BZ681" t="inlineStr">
        <is>
          <t>01/01/2024</t>
        </is>
      </c>
      <c r="CA681" t="inlineStr">
        <is>
          <t>30/09/2031</t>
        </is>
      </c>
    </row>
    <row r="682">
      <c r="A682" t="inlineStr">
        <is>
          <t>RESIDENCIAL BEYOND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Depósito</t>
        </is>
      </c>
      <c r="F682" t="inlineStr">
        <is>
          <t>D 04</t>
        </is>
      </c>
      <c r="G682" s="39" t="n">
        <v>10100</v>
      </c>
      <c r="H682" s="39" t="n">
        <v>10100</v>
      </c>
      <c r="I682" t="inlineStr">
        <is>
          <t>Edificio</t>
        </is>
      </c>
      <c r="J682" t="inlineStr">
        <is>
          <t>A</t>
        </is>
      </c>
      <c r="K682" t="inlineStr">
        <is>
          <t>Depósito</t>
        </is>
      </c>
      <c r="L682" t="inlineStr">
        <is>
          <t>D 03</t>
        </is>
      </c>
      <c r="M682" s="39" t="n">
        <v>9000</v>
      </c>
      <c r="N682" s="39" t="n">
        <v>9000</v>
      </c>
      <c r="S682" s="39" t="n"/>
      <c r="T682" s="39" t="n"/>
      <c r="Y682" s="39" t="n"/>
      <c r="Z682" s="39" t="n"/>
      <c r="AA682" t="inlineStr">
        <is>
          <t>Mohammed Belhaj b</t>
        </is>
      </c>
      <c r="AB682" t="inlineStr">
        <is>
          <t>NUoF6KHK3</t>
        </is>
      </c>
      <c r="AC682" t="inlineStr">
        <is>
          <t>Jr. Los Aromos Coop. Las Flores Mz 21LT. 31</t>
        </is>
      </c>
      <c r="AD682" t="n">
        <v>0</v>
      </c>
      <c r="AE682" t="inlineStr">
        <is>
          <t>922412765</t>
        </is>
      </c>
      <c r="AF682" t="inlineStr">
        <is>
          <t>mo.belhaj@outlook.com</t>
        </is>
      </c>
      <c r="AG682" t="inlineStr">
        <is>
          <t>LIMA</t>
        </is>
      </c>
      <c r="AH682" t="inlineStr">
        <is>
          <t>SAN JUAN DE LURIGANCHO</t>
        </is>
      </c>
      <c r="AI682" s="116" t="n">
        <v>46227</v>
      </c>
      <c r="AJ682" s="116" t="n">
        <v>46196</v>
      </c>
      <c r="AK682" t="inlineStr">
        <is>
          <t>SALDO FINANCIAR</t>
        </is>
      </c>
      <c r="AL682" t="n">
        <v>1</v>
      </c>
      <c r="AM682" t="n">
        <v>15100</v>
      </c>
      <c r="AN682" t="n">
        <v>0</v>
      </c>
      <c r="AO682" t="n">
        <v>0</v>
      </c>
      <c r="AP682" s="39" t="n">
        <v>15100</v>
      </c>
      <c r="AQ682" s="39" t="n">
        <v>15100</v>
      </c>
      <c r="AR682" s="39" t="n">
        <v>0</v>
      </c>
      <c r="AS682" t="n">
        <v>0</v>
      </c>
      <c r="AT682" t="inlineStr">
        <is>
          <t>Contado</t>
        </is>
      </c>
      <c r="AU682" t="inlineStr">
        <is>
          <t>Banco de Credito del Perú</t>
        </is>
      </c>
      <c r="AV682" t="inlineStr">
        <is>
          <t>194-7325779-0-65</t>
        </is>
      </c>
      <c r="AW682" t="inlineStr">
        <is>
          <t>TRANSFERENCIA BANCARIA</t>
        </is>
      </c>
      <c r="AY682" t="inlineStr">
        <is>
          <t>23</t>
        </is>
      </c>
      <c r="AZ682" t="inlineStr">
        <is>
          <t>No</t>
        </is>
      </c>
      <c r="BB682" t="n">
        <v>3.4</v>
      </c>
      <c r="BC682" t="inlineStr">
        <is>
          <t>CANCELADO</t>
        </is>
      </c>
      <c r="BN682" t="inlineStr">
        <is>
          <t>Si</t>
        </is>
      </c>
      <c r="BO682" s="117" t="n">
        <v>46197.96597222222</v>
      </c>
      <c r="BP682" t="inlineStr">
        <is>
          <t>Carla Michue M</t>
        </is>
      </c>
      <c r="BR682" t="n">
        <v>53</v>
      </c>
      <c r="BS682" t="inlineStr">
        <is>
          <t>11/09/2026 09:17</t>
        </is>
      </c>
      <c r="BT682" t="n">
        <v>0</v>
      </c>
      <c r="BX682" t="inlineStr">
        <is>
          <t>Cobranzas_2026.csv</t>
        </is>
      </c>
      <c r="BY682" t="n">
        <v>2026</v>
      </c>
      <c r="BZ682" t="inlineStr">
        <is>
          <t>01/01/2024</t>
        </is>
      </c>
      <c r="CA682" t="inlineStr">
        <is>
          <t>30/09/2031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1005</t>
        </is>
      </c>
      <c r="G683" s="39" t="n">
        <v>372000</v>
      </c>
      <c r="H683" s="39" t="n">
        <v>372000</v>
      </c>
      <c r="M683" s="39" t="n"/>
      <c r="N683" s="39" t="n"/>
      <c r="S683" s="39" t="n"/>
      <c r="T683" s="39" t="n"/>
      <c r="Y683" s="39" t="n"/>
      <c r="Z683" s="39" t="n"/>
      <c r="AA683" t="inlineStr">
        <is>
          <t>Noelia Abarca Chavez</t>
        </is>
      </c>
      <c r="AB683" t="inlineStr">
        <is>
          <t>74834392</t>
        </is>
      </c>
      <c r="AC683" t="inlineStr">
        <is>
          <t xml:space="preserve"> Juan  Dávalos 570 Piso Nº2  Urbanización Pamplona Baj</t>
        </is>
      </c>
      <c r="AD683" t="n">
        <v>0</v>
      </c>
      <c r="AE683" t="inlineStr">
        <is>
          <t>977162821</t>
        </is>
      </c>
      <c r="AF683" t="inlineStr">
        <is>
          <t>noeliaabarca@outlook.com</t>
        </is>
      </c>
      <c r="AG683" t="inlineStr">
        <is>
          <t>LIMA</t>
        </is>
      </c>
      <c r="AH683" t="inlineStr">
        <is>
          <t>SAN JUAN DE MIRAFLORES</t>
        </is>
      </c>
      <c r="AI683" s="116" t="n">
        <v>46142</v>
      </c>
      <c r="AJ683" s="116" t="n">
        <v>46116</v>
      </c>
      <c r="AK683" t="inlineStr">
        <is>
          <t>AHORRO CASA</t>
        </is>
      </c>
      <c r="AL683" t="n">
        <v>1</v>
      </c>
      <c r="AM683" t="n">
        <v>18600</v>
      </c>
      <c r="AN683" t="n">
        <v>0</v>
      </c>
      <c r="AO683" t="n">
        <v>0</v>
      </c>
      <c r="AP683" s="39" t="n">
        <v>18600</v>
      </c>
      <c r="AQ683" s="39" t="n">
        <v>18600</v>
      </c>
      <c r="AR683" s="39" t="n">
        <v>0</v>
      </c>
      <c r="AS683" t="n">
        <v>0</v>
      </c>
      <c r="AT683" t="inlineStr">
        <is>
          <t>Crédito Hipotecario</t>
        </is>
      </c>
      <c r="AU683" t="inlineStr">
        <is>
          <t>Scotiabank Perú</t>
        </is>
      </c>
      <c r="AV683" t="inlineStr">
        <is>
          <t>0004071419</t>
        </is>
      </c>
      <c r="AW683" t="inlineStr">
        <is>
          <t>TRANSFERENCIA BANCARIA</t>
        </is>
      </c>
      <c r="AY683" t="inlineStr">
        <is>
          <t>5526008</t>
        </is>
      </c>
      <c r="AZ683" t="inlineStr">
        <is>
          <t>No</t>
        </is>
      </c>
      <c r="BB683" t="n">
        <v>4</v>
      </c>
      <c r="BC683" t="inlineStr">
        <is>
          <t>CANCELADO</t>
        </is>
      </c>
      <c r="BN683" t="inlineStr">
        <is>
          <t>Si</t>
        </is>
      </c>
      <c r="BO683" s="117" t="n">
        <v>45878.92083333333</v>
      </c>
      <c r="BP683" t="inlineStr">
        <is>
          <t>Magaly Guevara Perez</t>
        </is>
      </c>
      <c r="BR683" t="n">
        <v>15</v>
      </c>
      <c r="BS683" t="inlineStr">
        <is>
          <t>24/05/2026 22:05</t>
        </is>
      </c>
      <c r="BT683" t="n">
        <v>0</v>
      </c>
      <c r="BX683" t="inlineStr">
        <is>
          <t>Cobranzas_2026.csv</t>
        </is>
      </c>
      <c r="BY683" t="n">
        <v>2026</v>
      </c>
      <c r="BZ683" t="inlineStr">
        <is>
          <t>01/01/2024</t>
        </is>
      </c>
      <c r="CA683" t="inlineStr">
        <is>
          <t>30/09/2031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1005</t>
        </is>
      </c>
      <c r="G684" s="39" t="n">
        <v>372000</v>
      </c>
      <c r="H684" s="39" t="n">
        <v>372000</v>
      </c>
      <c r="M684" s="39" t="n"/>
      <c r="N684" s="39" t="n"/>
      <c r="S684" s="39" t="n"/>
      <c r="T684" s="39" t="n"/>
      <c r="Y684" s="39" t="n"/>
      <c r="Z684" s="39" t="n"/>
      <c r="AA684" t="inlineStr">
        <is>
          <t>Noelia Abarca Chavez</t>
        </is>
      </c>
      <c r="AB684" t="inlineStr">
        <is>
          <t>74834392</t>
        </is>
      </c>
      <c r="AC684" t="inlineStr">
        <is>
          <t xml:space="preserve"> Juan  Dávalos 570 Piso Nº2  Urbanización Pamplona Baj</t>
        </is>
      </c>
      <c r="AD684" t="n">
        <v>0</v>
      </c>
      <c r="AE684" t="inlineStr">
        <is>
          <t>977162821</t>
        </is>
      </c>
      <c r="AF684" t="inlineStr">
        <is>
          <t>noeliaabarca@outlook.com</t>
        </is>
      </c>
      <c r="AG684" t="inlineStr">
        <is>
          <t>LIMA</t>
        </is>
      </c>
      <c r="AH684" t="inlineStr">
        <is>
          <t>SAN JUAN DE MIRAFLORES</t>
        </is>
      </c>
      <c r="AI684" s="116" t="n">
        <v>46203</v>
      </c>
      <c r="AJ684" s="116" t="n">
        <v>46172</v>
      </c>
      <c r="AK684" t="inlineStr">
        <is>
          <t>SALDO FINANCIAR</t>
        </is>
      </c>
      <c r="AL684" t="n">
        <v>1</v>
      </c>
      <c r="AM684" t="n">
        <v>334800</v>
      </c>
      <c r="AN684" t="n">
        <v>0</v>
      </c>
      <c r="AO684" t="n">
        <v>0</v>
      </c>
      <c r="AP684" s="39" t="n">
        <v>334800</v>
      </c>
      <c r="AQ684" s="39" t="n">
        <v>334800</v>
      </c>
      <c r="AR684" s="39" t="n">
        <v>0</v>
      </c>
      <c r="AS684" t="n">
        <v>0</v>
      </c>
      <c r="AT684" t="inlineStr">
        <is>
          <t>Crédito Hipotecario</t>
        </is>
      </c>
      <c r="AU684" t="inlineStr">
        <is>
          <t>Scotiabank Perú</t>
        </is>
      </c>
      <c r="AV684" t="inlineStr">
        <is>
          <t>0004071419</t>
        </is>
      </c>
      <c r="AW684" t="inlineStr">
        <is>
          <t>TRANSFERENCIA BANCARIA</t>
        </is>
      </c>
      <c r="AZ684" t="inlineStr">
        <is>
          <t>No</t>
        </is>
      </c>
      <c r="BB684" t="n">
        <v>4</v>
      </c>
      <c r="BC684" t="inlineStr">
        <is>
          <t>CANCELADO</t>
        </is>
      </c>
      <c r="BN684" t="inlineStr">
        <is>
          <t>Si</t>
        </is>
      </c>
      <c r="BO684" s="117" t="n">
        <v>45878.92083333333</v>
      </c>
      <c r="BP684" t="inlineStr">
        <is>
          <t>Magaly Guevara Perez</t>
        </is>
      </c>
      <c r="BR684" t="n">
        <v>15</v>
      </c>
      <c r="BS684" t="inlineStr">
        <is>
          <t>19/08/2026 13:58</t>
        </is>
      </c>
      <c r="BT684" t="n">
        <v>0</v>
      </c>
      <c r="BX684" t="inlineStr">
        <is>
          <t>Cobranzas_2026.csv</t>
        </is>
      </c>
      <c r="BY684" t="n">
        <v>2026</v>
      </c>
      <c r="BZ684" t="inlineStr">
        <is>
          <t>01/01/2024</t>
        </is>
      </c>
      <c r="CA684" t="inlineStr">
        <is>
          <t>30/09/2031</t>
        </is>
      </c>
    </row>
    <row r="685">
      <c r="A685" t="inlineStr">
        <is>
          <t>RESIDENCIAL VENECIA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601</t>
        </is>
      </c>
      <c r="G685" s="39" t="n">
        <v>545000</v>
      </c>
      <c r="H685" s="39" t="n">
        <v>545000</v>
      </c>
      <c r="I685" t="inlineStr">
        <is>
          <t>Edificio</t>
        </is>
      </c>
      <c r="J685" t="inlineStr">
        <is>
          <t>A</t>
        </is>
      </c>
      <c r="K685" t="inlineStr">
        <is>
          <t>Estacionamiento</t>
        </is>
      </c>
      <c r="L685" t="inlineStr">
        <is>
          <t>E 11</t>
        </is>
      </c>
      <c r="M685" s="39" t="n">
        <v>50800</v>
      </c>
      <c r="N685" s="39" t="n">
        <v>50800</v>
      </c>
      <c r="S685" s="39" t="n"/>
      <c r="T685" s="39" t="n"/>
      <c r="Y685" s="39" t="n"/>
      <c r="Z685" s="39" t="n"/>
      <c r="AA685" t="inlineStr">
        <is>
          <t>Norma Luz Tello Contreras</t>
        </is>
      </c>
      <c r="AB685" t="inlineStr">
        <is>
          <t>04063971</t>
        </is>
      </c>
      <c r="AC685" t="inlineStr">
        <is>
          <t>Av. Militar 1745 - Dpto. 1202</t>
        </is>
      </c>
      <c r="AD685" t="n">
        <v>0</v>
      </c>
      <c r="AE685" t="inlineStr">
        <is>
          <t>952305311</t>
        </is>
      </c>
      <c r="AF685" t="inlineStr">
        <is>
          <t>normatello@gmail.com</t>
        </is>
      </c>
      <c r="AG685" t="inlineStr">
        <is>
          <t>LIMA</t>
        </is>
      </c>
      <c r="AH685" t="inlineStr">
        <is>
          <t>LA VICTORIA</t>
        </is>
      </c>
      <c r="AI685" s="116" t="n">
        <v>46052</v>
      </c>
      <c r="AJ685" s="116" t="n">
        <v>46021</v>
      </c>
      <c r="AK685" t="inlineStr">
        <is>
          <t>SALDO FINANCIAR</t>
        </is>
      </c>
      <c r="AL685" t="n">
        <v>5</v>
      </c>
      <c r="AM685" t="n">
        <v>6000</v>
      </c>
      <c r="AN685" t="n">
        <v>0</v>
      </c>
      <c r="AO685" t="n">
        <v>0</v>
      </c>
      <c r="AP685" s="39" t="n">
        <v>6000</v>
      </c>
      <c r="AQ685" s="39" t="n">
        <v>6000</v>
      </c>
      <c r="AR685" s="39" t="n">
        <v>0</v>
      </c>
      <c r="AS685" t="n">
        <v>0</v>
      </c>
      <c r="AT685" t="inlineStr">
        <is>
          <t>Crédito Directo</t>
        </is>
      </c>
      <c r="AU685" t="inlineStr">
        <is>
          <t>Scotiabank Perú</t>
        </is>
      </c>
      <c r="AV685" t="inlineStr">
        <is>
          <t>0004071419</t>
        </is>
      </c>
      <c r="AW685" t="inlineStr">
        <is>
          <t>DEPOSITO EN CUENTA</t>
        </is>
      </c>
      <c r="AY685" t="inlineStr">
        <is>
          <t>U28949</t>
        </is>
      </c>
      <c r="AZ685" t="inlineStr">
        <is>
          <t>Si</t>
        </is>
      </c>
      <c r="BB685" t="n">
        <v>4</v>
      </c>
      <c r="BC685" t="inlineStr">
        <is>
          <t>CANCELADO</t>
        </is>
      </c>
      <c r="BN685" t="inlineStr">
        <is>
          <t>Si</t>
        </is>
      </c>
      <c r="BO685" s="117" t="n">
        <v>45857.51944444444</v>
      </c>
      <c r="BP685" t="inlineStr">
        <is>
          <t>Magaly Guevara Perez</t>
        </is>
      </c>
      <c r="BR685" t="n">
        <v>11</v>
      </c>
      <c r="BS685" t="inlineStr">
        <is>
          <t>19/08/2026 08:43</t>
        </is>
      </c>
      <c r="BT685" t="n">
        <v>0</v>
      </c>
      <c r="BX685" t="inlineStr">
        <is>
          <t>Cobranzas_2026.csv</t>
        </is>
      </c>
      <c r="BY685" t="n">
        <v>2026</v>
      </c>
      <c r="BZ685" t="inlineStr">
        <is>
          <t>01/01/2024</t>
        </is>
      </c>
      <c r="CA685" t="inlineStr">
        <is>
          <t>30/09/2031</t>
        </is>
      </c>
    </row>
    <row r="686">
      <c r="A686" t="inlineStr">
        <is>
          <t>RESIDENCIAL VENECIA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601</t>
        </is>
      </c>
      <c r="G686" s="39" t="n">
        <v>545000</v>
      </c>
      <c r="H686" s="39" t="n">
        <v>545000</v>
      </c>
      <c r="I686" t="inlineStr">
        <is>
          <t>Edificio</t>
        </is>
      </c>
      <c r="J686" t="inlineStr">
        <is>
          <t>A</t>
        </is>
      </c>
      <c r="K686" t="inlineStr">
        <is>
          <t>Estacionamiento</t>
        </is>
      </c>
      <c r="L686" t="inlineStr">
        <is>
          <t>E 11</t>
        </is>
      </c>
      <c r="M686" s="39" t="n">
        <v>50800</v>
      </c>
      <c r="N686" s="39" t="n">
        <v>50800</v>
      </c>
      <c r="S686" s="39" t="n"/>
      <c r="T686" s="39" t="n"/>
      <c r="Y686" s="39" t="n"/>
      <c r="Z686" s="39" t="n"/>
      <c r="AA686" t="inlineStr">
        <is>
          <t>Norma Luz Tello Contreras</t>
        </is>
      </c>
      <c r="AB686" t="inlineStr">
        <is>
          <t>04063971</t>
        </is>
      </c>
      <c r="AC686" t="inlineStr">
        <is>
          <t>Av. Militar 1745 - Dpto. 1202</t>
        </is>
      </c>
      <c r="AD686" t="n">
        <v>0</v>
      </c>
      <c r="AE686" t="inlineStr">
        <is>
          <t>952305311</t>
        </is>
      </c>
      <c r="AF686" t="inlineStr">
        <is>
          <t>normatello@gmail.com</t>
        </is>
      </c>
      <c r="AG686" t="inlineStr">
        <is>
          <t>LIMA</t>
        </is>
      </c>
      <c r="AH686" t="inlineStr">
        <is>
          <t>LA VICTORIA</t>
        </is>
      </c>
      <c r="AI686" s="116" t="n">
        <v>46081</v>
      </c>
      <c r="AJ686" s="116" t="n">
        <v>46050</v>
      </c>
      <c r="AK686" t="inlineStr">
        <is>
          <t>SALDO FINANCIAR</t>
        </is>
      </c>
      <c r="AL686" t="n">
        <v>6</v>
      </c>
      <c r="AM686" t="n">
        <v>6000</v>
      </c>
      <c r="AN686" t="n">
        <v>0</v>
      </c>
      <c r="AO686" t="n">
        <v>0</v>
      </c>
      <c r="AP686" s="39" t="n">
        <v>6000</v>
      </c>
      <c r="AQ686" s="39" t="n">
        <v>6000</v>
      </c>
      <c r="AR686" s="39" t="n">
        <v>0</v>
      </c>
      <c r="AS686" t="n">
        <v>0</v>
      </c>
      <c r="AT686" t="inlineStr">
        <is>
          <t>Crédito Directo</t>
        </is>
      </c>
      <c r="AU686" t="inlineStr">
        <is>
          <t>Scotiabank Perú</t>
        </is>
      </c>
      <c r="AV686" t="inlineStr">
        <is>
          <t>0004071419</t>
        </is>
      </c>
      <c r="AW686" t="inlineStr">
        <is>
          <t>DEPOSITO EN CUENTA</t>
        </is>
      </c>
      <c r="AY686" t="inlineStr">
        <is>
          <t>U100694</t>
        </is>
      </c>
      <c r="AZ686" t="inlineStr">
        <is>
          <t>Si</t>
        </is>
      </c>
      <c r="BA686" t="inlineStr">
        <is>
          <t>NO PRECISA</t>
        </is>
      </c>
      <c r="BB686" t="n">
        <v>4</v>
      </c>
      <c r="BC686" t="inlineStr">
        <is>
          <t>CANCELADO</t>
        </is>
      </c>
      <c r="BN686" t="inlineStr">
        <is>
          <t>Si</t>
        </is>
      </c>
      <c r="BO686" s="117" t="n">
        <v>45857.51944444444</v>
      </c>
      <c r="BP686" t="inlineStr">
        <is>
          <t>Magaly Guevara Perez</t>
        </is>
      </c>
      <c r="BR686" t="n">
        <v>11</v>
      </c>
      <c r="BS686" t="inlineStr">
        <is>
          <t>19/08/2026 08:44</t>
        </is>
      </c>
      <c r="BT686" t="n">
        <v>0</v>
      </c>
      <c r="BX686" t="inlineStr">
        <is>
          <t>Cobranzas_2026.csv</t>
        </is>
      </c>
      <c r="BY686" t="n">
        <v>2026</v>
      </c>
      <c r="BZ686" t="inlineStr">
        <is>
          <t>01/01/2024</t>
        </is>
      </c>
      <c r="CA686" t="inlineStr">
        <is>
          <t>30/09/2031</t>
        </is>
      </c>
    </row>
    <row r="687">
      <c r="A687" t="inlineStr">
        <is>
          <t>RESIDENCIAL VENECIA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601</t>
        </is>
      </c>
      <c r="G687" s="39" t="n">
        <v>545000</v>
      </c>
      <c r="H687" s="39" t="n">
        <v>545000</v>
      </c>
      <c r="I687" t="inlineStr">
        <is>
          <t>Edificio</t>
        </is>
      </c>
      <c r="J687" t="inlineStr">
        <is>
          <t>A</t>
        </is>
      </c>
      <c r="K687" t="inlineStr">
        <is>
          <t>Estacionamiento</t>
        </is>
      </c>
      <c r="L687" t="inlineStr">
        <is>
          <t>E 11</t>
        </is>
      </c>
      <c r="M687" s="39" t="n">
        <v>50800</v>
      </c>
      <c r="N687" s="39" t="n">
        <v>50800</v>
      </c>
      <c r="S687" s="39" t="n"/>
      <c r="T687" s="39" t="n"/>
      <c r="Y687" s="39" t="n"/>
      <c r="Z687" s="39" t="n"/>
      <c r="AA687" t="inlineStr">
        <is>
          <t>Norma Luz Tello Contreras</t>
        </is>
      </c>
      <c r="AB687" t="inlineStr">
        <is>
          <t>04063971</t>
        </is>
      </c>
      <c r="AC687" t="inlineStr">
        <is>
          <t>Av. Militar 1745 - Dpto. 1202</t>
        </is>
      </c>
      <c r="AD687" t="n">
        <v>0</v>
      </c>
      <c r="AE687" t="inlineStr">
        <is>
          <t>952305311</t>
        </is>
      </c>
      <c r="AF687" t="inlineStr">
        <is>
          <t>normatello@gmail.com</t>
        </is>
      </c>
      <c r="AG687" t="inlineStr">
        <is>
          <t>LIMA</t>
        </is>
      </c>
      <c r="AH687" t="inlineStr">
        <is>
          <t>LA VICTORIA</t>
        </is>
      </c>
      <c r="AI687" s="116" t="n">
        <v>46111</v>
      </c>
      <c r="AJ687" s="116" t="n">
        <v>46272</v>
      </c>
      <c r="AK687" t="inlineStr">
        <is>
          <t>SALDO FINANCIAR</t>
        </is>
      </c>
      <c r="AL687" t="n">
        <v>7</v>
      </c>
      <c r="AM687" t="n">
        <v>6000</v>
      </c>
      <c r="AN687" t="n">
        <v>0</v>
      </c>
      <c r="AO687" t="n">
        <v>0</v>
      </c>
      <c r="AP687" s="39" t="n">
        <v>6000</v>
      </c>
      <c r="AQ687" s="39" t="n">
        <v>6000</v>
      </c>
      <c r="AR687" s="39" t="n">
        <v>0</v>
      </c>
      <c r="AS687" t="n">
        <v>0</v>
      </c>
      <c r="AT687" t="inlineStr">
        <is>
          <t>Crédito Directo</t>
        </is>
      </c>
      <c r="AU687" t="inlineStr">
        <is>
          <t>Scotiabank Perú</t>
        </is>
      </c>
      <c r="AV687" t="inlineStr">
        <is>
          <t>0004071419</t>
        </is>
      </c>
      <c r="AW687" t="inlineStr">
        <is>
          <t>TRANSFERENCIA BANCARIA</t>
        </is>
      </c>
      <c r="AY687" t="inlineStr">
        <is>
          <t>0500010003</t>
        </is>
      </c>
      <c r="AZ687" t="inlineStr">
        <is>
          <t>Si</t>
        </is>
      </c>
      <c r="BA687" t="inlineStr">
        <is>
          <t>NO PRECISA</t>
        </is>
      </c>
      <c r="BB687" t="n">
        <v>4</v>
      </c>
      <c r="BC687" t="inlineStr">
        <is>
          <t>CANCELADO</t>
        </is>
      </c>
      <c r="BN687" t="inlineStr">
        <is>
          <t>Si</t>
        </is>
      </c>
      <c r="BO687" s="117" t="n">
        <v>45857.51944444444</v>
      </c>
      <c r="BP687" t="inlineStr">
        <is>
          <t>Magaly Guevara Perez</t>
        </is>
      </c>
      <c r="BR687" t="n">
        <v>11</v>
      </c>
      <c r="BS687" t="inlineStr">
        <is>
          <t>08/09/2026 10:37</t>
        </is>
      </c>
      <c r="BT687" t="n">
        <v>0</v>
      </c>
      <c r="BX687" t="inlineStr">
        <is>
          <t>Cobranzas_2026.csv</t>
        </is>
      </c>
      <c r="BY687" t="n">
        <v>2026</v>
      </c>
      <c r="BZ687" t="inlineStr">
        <is>
          <t>01/01/2024</t>
        </is>
      </c>
      <c r="CA687" t="inlineStr">
        <is>
          <t>30/09/2031</t>
        </is>
      </c>
    </row>
    <row r="688">
      <c r="A688" t="inlineStr">
        <is>
          <t>RESIDENCIAL VENECIA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601</t>
        </is>
      </c>
      <c r="G688" s="39" t="n">
        <v>545000</v>
      </c>
      <c r="H688" s="39" t="n">
        <v>545000</v>
      </c>
      <c r="I688" t="inlineStr">
        <is>
          <t>Edificio</t>
        </is>
      </c>
      <c r="J688" t="inlineStr">
        <is>
          <t>A</t>
        </is>
      </c>
      <c r="K688" t="inlineStr">
        <is>
          <t>Estacionamiento</t>
        </is>
      </c>
      <c r="L688" t="inlineStr">
        <is>
          <t>E 11</t>
        </is>
      </c>
      <c r="M688" s="39" t="n">
        <v>50800</v>
      </c>
      <c r="N688" s="39" t="n">
        <v>50800</v>
      </c>
      <c r="S688" s="39" t="n"/>
      <c r="T688" s="39" t="n"/>
      <c r="Y688" s="39" t="n"/>
      <c r="Z688" s="39" t="n"/>
      <c r="AA688" t="inlineStr">
        <is>
          <t>Norma Luz Tello Contreras</t>
        </is>
      </c>
      <c r="AB688" t="inlineStr">
        <is>
          <t>04063971</t>
        </is>
      </c>
      <c r="AC688" t="inlineStr">
        <is>
          <t>Av. Militar 1745 - Dpto. 1202</t>
        </is>
      </c>
      <c r="AD688" t="n">
        <v>0</v>
      </c>
      <c r="AE688" t="inlineStr">
        <is>
          <t>952305311</t>
        </is>
      </c>
      <c r="AF688" t="inlineStr">
        <is>
          <t>normatello@gmail.com</t>
        </is>
      </c>
      <c r="AG688" t="inlineStr">
        <is>
          <t>LIMA</t>
        </is>
      </c>
      <c r="AH688" t="inlineStr">
        <is>
          <t>LA VICTORIA</t>
        </is>
      </c>
      <c r="AI688" s="116" t="n">
        <v>46142</v>
      </c>
      <c r="AJ688" s="116" t="n"/>
      <c r="AK688" t="inlineStr">
        <is>
          <t>SALDO FINANCIAR</t>
        </is>
      </c>
      <c r="AL688" t="n">
        <v>8</v>
      </c>
      <c r="AM688" t="n">
        <v>6000</v>
      </c>
      <c r="AN688" t="n">
        <v>0</v>
      </c>
      <c r="AO688" t="n">
        <v>0</v>
      </c>
      <c r="AP688" s="39" t="n">
        <v>6000</v>
      </c>
      <c r="AQ688" s="39" t="n">
        <v>0</v>
      </c>
      <c r="AR688" s="39" t="n">
        <v>6000</v>
      </c>
      <c r="AT688" t="inlineStr">
        <is>
          <t>Crédito Directo</t>
        </is>
      </c>
      <c r="AZ688" t="inlineStr">
        <is>
          <t>No</t>
        </is>
      </c>
      <c r="BC688" t="inlineStr">
        <is>
          <t>VENCIDO</t>
        </is>
      </c>
      <c r="BN688" t="inlineStr">
        <is>
          <t>No</t>
        </is>
      </c>
      <c r="BO688" s="117" t="n">
        <v>45857.51944444444</v>
      </c>
      <c r="BP688" t="inlineStr">
        <is>
          <t>Magaly Guevara Perez</t>
        </is>
      </c>
      <c r="BR688" t="n">
        <v>11</v>
      </c>
      <c r="BT688" t="n">
        <v>0</v>
      </c>
      <c r="BX688" t="inlineStr">
        <is>
          <t>Cobranzas_2026.csv</t>
        </is>
      </c>
      <c r="BY688" t="n">
        <v>2026</v>
      </c>
      <c r="BZ688" t="inlineStr">
        <is>
          <t>01/01/2024</t>
        </is>
      </c>
      <c r="CA688" t="inlineStr">
        <is>
          <t>30/09/2031</t>
        </is>
      </c>
    </row>
    <row r="689">
      <c r="A689" t="inlineStr">
        <is>
          <t>RESIDENCIAL VENECIA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601</t>
        </is>
      </c>
      <c r="G689" s="39" t="n">
        <v>545000</v>
      </c>
      <c r="H689" s="39" t="n">
        <v>545000</v>
      </c>
      <c r="I689" t="inlineStr">
        <is>
          <t>Edificio</t>
        </is>
      </c>
      <c r="J689" t="inlineStr">
        <is>
          <t>A</t>
        </is>
      </c>
      <c r="K689" t="inlineStr">
        <is>
          <t>Estacionamiento</t>
        </is>
      </c>
      <c r="L689" t="inlineStr">
        <is>
          <t>E 11</t>
        </is>
      </c>
      <c r="M689" s="39" t="n">
        <v>50800</v>
      </c>
      <c r="N689" s="39" t="n">
        <v>50800</v>
      </c>
      <c r="S689" s="39" t="n"/>
      <c r="T689" s="39" t="n"/>
      <c r="Y689" s="39" t="n"/>
      <c r="Z689" s="39" t="n"/>
      <c r="AA689" t="inlineStr">
        <is>
          <t>Norma Luz Tello Contreras</t>
        </is>
      </c>
      <c r="AB689" t="inlineStr">
        <is>
          <t>04063971</t>
        </is>
      </c>
      <c r="AC689" t="inlineStr">
        <is>
          <t>Av. Militar 1745 - Dpto. 1202</t>
        </is>
      </c>
      <c r="AD689" t="n">
        <v>0</v>
      </c>
      <c r="AE689" t="inlineStr">
        <is>
          <t>952305311</t>
        </is>
      </c>
      <c r="AF689" t="inlineStr">
        <is>
          <t>normatello@gmail.com</t>
        </is>
      </c>
      <c r="AG689" t="inlineStr">
        <is>
          <t>LIMA</t>
        </is>
      </c>
      <c r="AH689" t="inlineStr">
        <is>
          <t>LA VICTORIA</t>
        </is>
      </c>
      <c r="AI689" s="116" t="n">
        <v>46172</v>
      </c>
      <c r="AJ689" s="116" t="n"/>
      <c r="AK689" t="inlineStr">
        <is>
          <t>SALDO FINANCIAR</t>
        </is>
      </c>
      <c r="AL689" t="n">
        <v>9</v>
      </c>
      <c r="AM689" t="n">
        <v>6000</v>
      </c>
      <c r="AN689" t="n">
        <v>0</v>
      </c>
      <c r="AO689" t="n">
        <v>0</v>
      </c>
      <c r="AP689" s="39" t="n">
        <v>6000</v>
      </c>
      <c r="AQ689" s="39" t="n">
        <v>0</v>
      </c>
      <c r="AR689" s="39" t="n">
        <v>6000</v>
      </c>
      <c r="AT689" t="inlineStr">
        <is>
          <t>Crédito Directo</t>
        </is>
      </c>
      <c r="AZ689" t="inlineStr">
        <is>
          <t>No</t>
        </is>
      </c>
      <c r="BC689" t="inlineStr">
        <is>
          <t>VENCIDO</t>
        </is>
      </c>
      <c r="BN689" t="inlineStr">
        <is>
          <t>No</t>
        </is>
      </c>
      <c r="BO689" s="117" t="n">
        <v>45857.51944444444</v>
      </c>
      <c r="BP689" t="inlineStr">
        <is>
          <t>Magaly Guevara Perez</t>
        </is>
      </c>
      <c r="BR689" t="n">
        <v>11</v>
      </c>
      <c r="BT689" t="n">
        <v>0</v>
      </c>
      <c r="BX689" t="inlineStr">
        <is>
          <t>Cobranzas_2026.csv</t>
        </is>
      </c>
      <c r="BY689" t="n">
        <v>2026</v>
      </c>
      <c r="BZ689" t="inlineStr">
        <is>
          <t>01/01/2024</t>
        </is>
      </c>
      <c r="CA689" t="inlineStr">
        <is>
          <t>30/09/2031</t>
        </is>
      </c>
    </row>
    <row r="690">
      <c r="A690" t="inlineStr">
        <is>
          <t>RESIDENCIAL VENECIA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601</t>
        </is>
      </c>
      <c r="G690" s="39" t="n">
        <v>545000</v>
      </c>
      <c r="H690" s="39" t="n">
        <v>545000</v>
      </c>
      <c r="I690" t="inlineStr">
        <is>
          <t>Edificio</t>
        </is>
      </c>
      <c r="J690" t="inlineStr">
        <is>
          <t>A</t>
        </is>
      </c>
      <c r="K690" t="inlineStr">
        <is>
          <t>Estacionamiento</t>
        </is>
      </c>
      <c r="L690" t="inlineStr">
        <is>
          <t>E 11</t>
        </is>
      </c>
      <c r="M690" s="39" t="n">
        <v>50800</v>
      </c>
      <c r="N690" s="39" t="n">
        <v>50800</v>
      </c>
      <c r="S690" s="39" t="n"/>
      <c r="T690" s="39" t="n"/>
      <c r="Y690" s="39" t="n"/>
      <c r="Z690" s="39" t="n"/>
      <c r="AA690" t="inlineStr">
        <is>
          <t>Norma Luz Tello Contreras</t>
        </is>
      </c>
      <c r="AB690" t="inlineStr">
        <is>
          <t>04063971</t>
        </is>
      </c>
      <c r="AC690" t="inlineStr">
        <is>
          <t>Av. Militar 1745 - Dpto. 1202</t>
        </is>
      </c>
      <c r="AD690" t="n">
        <v>0</v>
      </c>
      <c r="AE690" t="inlineStr">
        <is>
          <t>952305311</t>
        </is>
      </c>
      <c r="AF690" t="inlineStr">
        <is>
          <t>normatello@gmail.com</t>
        </is>
      </c>
      <c r="AG690" t="inlineStr">
        <is>
          <t>LIMA</t>
        </is>
      </c>
      <c r="AH690" t="inlineStr">
        <is>
          <t>LA VICTORIA</t>
        </is>
      </c>
      <c r="AI690" s="116" t="n">
        <v>46203</v>
      </c>
      <c r="AJ690" s="116" t="n"/>
      <c r="AK690" t="inlineStr">
        <is>
          <t>SALDO FINANCIAR</t>
        </is>
      </c>
      <c r="AL690" t="n">
        <v>10</v>
      </c>
      <c r="AM690" t="n">
        <v>6000</v>
      </c>
      <c r="AN690" t="n">
        <v>0</v>
      </c>
      <c r="AO690" t="n">
        <v>0</v>
      </c>
      <c r="AP690" s="39" t="n">
        <v>6000</v>
      </c>
      <c r="AQ690" s="39" t="n">
        <v>0</v>
      </c>
      <c r="AR690" s="39" t="n">
        <v>6000</v>
      </c>
      <c r="AT690" t="inlineStr">
        <is>
          <t>Crédito Directo</t>
        </is>
      </c>
      <c r="AZ690" t="inlineStr">
        <is>
          <t>No</t>
        </is>
      </c>
      <c r="BC690" t="inlineStr">
        <is>
          <t>VENCIDO</t>
        </is>
      </c>
      <c r="BN690" t="inlineStr">
        <is>
          <t>No</t>
        </is>
      </c>
      <c r="BO690" s="117" t="n">
        <v>45857.51944444444</v>
      </c>
      <c r="BP690" t="inlineStr">
        <is>
          <t>Magaly Guevara Perez</t>
        </is>
      </c>
      <c r="BR690" t="n">
        <v>11</v>
      </c>
      <c r="BT690" t="n">
        <v>0</v>
      </c>
      <c r="BX690" t="inlineStr">
        <is>
          <t>Cobranzas_2026.csv</t>
        </is>
      </c>
      <c r="BY690" t="n">
        <v>2026</v>
      </c>
      <c r="BZ690" t="inlineStr">
        <is>
          <t>01/01/2024</t>
        </is>
      </c>
      <c r="CA690" t="inlineStr">
        <is>
          <t>30/09/2031</t>
        </is>
      </c>
    </row>
    <row r="691">
      <c r="A691" t="inlineStr">
        <is>
          <t>RESIDENCIAL VENECIA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601</t>
        </is>
      </c>
      <c r="G691" s="39" t="n">
        <v>545000</v>
      </c>
      <c r="H691" s="39" t="n">
        <v>545000</v>
      </c>
      <c r="I691" t="inlineStr">
        <is>
          <t>Edificio</t>
        </is>
      </c>
      <c r="J691" t="inlineStr">
        <is>
          <t>A</t>
        </is>
      </c>
      <c r="K691" t="inlineStr">
        <is>
          <t>Estacionamiento</t>
        </is>
      </c>
      <c r="L691" t="inlineStr">
        <is>
          <t>E 11</t>
        </is>
      </c>
      <c r="M691" s="39" t="n">
        <v>50800</v>
      </c>
      <c r="N691" s="39" t="n">
        <v>50800</v>
      </c>
      <c r="S691" s="39" t="n"/>
      <c r="T691" s="39" t="n"/>
      <c r="Y691" s="39" t="n"/>
      <c r="Z691" s="39" t="n"/>
      <c r="AA691" t="inlineStr">
        <is>
          <t>Norma Luz Tello Contreras</t>
        </is>
      </c>
      <c r="AB691" t="inlineStr">
        <is>
          <t>04063971</t>
        </is>
      </c>
      <c r="AC691" t="inlineStr">
        <is>
          <t>Av. Militar 1745 - Dpto. 1202</t>
        </is>
      </c>
      <c r="AD691" t="n">
        <v>0</v>
      </c>
      <c r="AE691" t="inlineStr">
        <is>
          <t>952305311</t>
        </is>
      </c>
      <c r="AF691" t="inlineStr">
        <is>
          <t>normatello@gmail.com</t>
        </is>
      </c>
      <c r="AG691" t="inlineStr">
        <is>
          <t>LIMA</t>
        </is>
      </c>
      <c r="AH691" t="inlineStr">
        <is>
          <t>LA VICTORIA</t>
        </is>
      </c>
      <c r="AI691" s="116" t="n">
        <v>46233</v>
      </c>
      <c r="AJ691" s="116" t="n"/>
      <c r="AK691" t="inlineStr">
        <is>
          <t>SALDO FINANCIAR</t>
        </is>
      </c>
      <c r="AL691" t="n">
        <v>11</v>
      </c>
      <c r="AM691" t="n">
        <v>6000</v>
      </c>
      <c r="AN691" t="n">
        <v>0</v>
      </c>
      <c r="AO691" t="n">
        <v>0</v>
      </c>
      <c r="AP691" s="39" t="n">
        <v>6000</v>
      </c>
      <c r="AQ691" s="39" t="n">
        <v>0</v>
      </c>
      <c r="AR691" s="39" t="n">
        <v>6000</v>
      </c>
      <c r="AT691" t="inlineStr">
        <is>
          <t>Crédito Directo</t>
        </is>
      </c>
      <c r="AZ691" t="inlineStr">
        <is>
          <t>No</t>
        </is>
      </c>
      <c r="BC691" t="inlineStr">
        <is>
          <t>VENCIDO</t>
        </is>
      </c>
      <c r="BN691" t="inlineStr">
        <is>
          <t>No</t>
        </is>
      </c>
      <c r="BO691" s="117" t="n">
        <v>45857.51944444444</v>
      </c>
      <c r="BP691" t="inlineStr">
        <is>
          <t>Magaly Guevara Perez</t>
        </is>
      </c>
      <c r="BR691" t="n">
        <v>11</v>
      </c>
      <c r="BT691" t="n">
        <v>0</v>
      </c>
      <c r="BX691" t="inlineStr">
        <is>
          <t>Cobranzas_2026.csv</t>
        </is>
      </c>
      <c r="BY691" t="n">
        <v>2026</v>
      </c>
      <c r="BZ691" t="inlineStr">
        <is>
          <t>01/01/2024</t>
        </is>
      </c>
      <c r="CA691" t="inlineStr">
        <is>
          <t>30/09/2031</t>
        </is>
      </c>
    </row>
    <row r="692">
      <c r="A692" t="inlineStr">
        <is>
          <t>RESIDENCIAL VENECIA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601</t>
        </is>
      </c>
      <c r="G692" s="39" t="n">
        <v>545000</v>
      </c>
      <c r="H692" s="39" t="n">
        <v>545000</v>
      </c>
      <c r="I692" t="inlineStr">
        <is>
          <t>Edificio</t>
        </is>
      </c>
      <c r="J692" t="inlineStr">
        <is>
          <t>A</t>
        </is>
      </c>
      <c r="K692" t="inlineStr">
        <is>
          <t>Estacionamiento</t>
        </is>
      </c>
      <c r="L692" t="inlineStr">
        <is>
          <t>E 11</t>
        </is>
      </c>
      <c r="M692" s="39" t="n">
        <v>50800</v>
      </c>
      <c r="N692" s="39" t="n">
        <v>50800</v>
      </c>
      <c r="S692" s="39" t="n"/>
      <c r="T692" s="39" t="n"/>
      <c r="Y692" s="39" t="n"/>
      <c r="Z692" s="39" t="n"/>
      <c r="AA692" t="inlineStr">
        <is>
          <t>Norma Luz Tello Contreras</t>
        </is>
      </c>
      <c r="AB692" t="inlineStr">
        <is>
          <t>04063971</t>
        </is>
      </c>
      <c r="AC692" t="inlineStr">
        <is>
          <t>Av. Militar 1745 - Dpto. 1202</t>
        </is>
      </c>
      <c r="AD692" t="n">
        <v>0</v>
      </c>
      <c r="AE692" t="inlineStr">
        <is>
          <t>952305311</t>
        </is>
      </c>
      <c r="AF692" t="inlineStr">
        <is>
          <t>normatello@gmail.com</t>
        </is>
      </c>
      <c r="AG692" t="inlineStr">
        <is>
          <t>LIMA</t>
        </is>
      </c>
      <c r="AH692" t="inlineStr">
        <is>
          <t>LA VICTORIA</t>
        </is>
      </c>
      <c r="AI692" s="116" t="n">
        <v>46264</v>
      </c>
      <c r="AJ692" s="116" t="n"/>
      <c r="AK692" t="inlineStr">
        <is>
          <t>SALDO FINANCIAR</t>
        </is>
      </c>
      <c r="AL692" t="n">
        <v>12</v>
      </c>
      <c r="AM692" t="n">
        <v>6000</v>
      </c>
      <c r="AN692" t="n">
        <v>0</v>
      </c>
      <c r="AO692" t="n">
        <v>0</v>
      </c>
      <c r="AP692" s="39" t="n">
        <v>6000</v>
      </c>
      <c r="AQ692" s="39" t="n">
        <v>0</v>
      </c>
      <c r="AR692" s="39" t="n">
        <v>6000</v>
      </c>
      <c r="AT692" t="inlineStr">
        <is>
          <t>Crédito Directo</t>
        </is>
      </c>
      <c r="AZ692" t="inlineStr">
        <is>
          <t>No</t>
        </is>
      </c>
      <c r="BC692" t="inlineStr">
        <is>
          <t>VENCIDO</t>
        </is>
      </c>
      <c r="BN692" t="inlineStr">
        <is>
          <t>No</t>
        </is>
      </c>
      <c r="BO692" s="117" t="n">
        <v>45857.51944444444</v>
      </c>
      <c r="BP692" t="inlineStr">
        <is>
          <t>Magaly Guevara Perez</t>
        </is>
      </c>
      <c r="BR692" t="n">
        <v>11</v>
      </c>
      <c r="BT692" t="n">
        <v>0</v>
      </c>
      <c r="BX692" t="inlineStr">
        <is>
          <t>Cobranzas_2026.csv</t>
        </is>
      </c>
      <c r="BY692" t="n">
        <v>2026</v>
      </c>
      <c r="BZ692" t="inlineStr">
        <is>
          <t>01/01/2024</t>
        </is>
      </c>
      <c r="CA692" t="inlineStr">
        <is>
          <t>30/09/2031</t>
        </is>
      </c>
    </row>
    <row r="693">
      <c r="A693" t="inlineStr">
        <is>
          <t>RESIDENCIAL VENECIA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601</t>
        </is>
      </c>
      <c r="G693" s="39" t="n">
        <v>545000</v>
      </c>
      <c r="H693" s="39" t="n">
        <v>545000</v>
      </c>
      <c r="I693" t="inlineStr">
        <is>
          <t>Edificio</t>
        </is>
      </c>
      <c r="J693" t="inlineStr">
        <is>
          <t>A</t>
        </is>
      </c>
      <c r="K693" t="inlineStr">
        <is>
          <t>Estacionamiento</t>
        </is>
      </c>
      <c r="L693" t="inlineStr">
        <is>
          <t>E 11</t>
        </is>
      </c>
      <c r="M693" s="39" t="n">
        <v>50800</v>
      </c>
      <c r="N693" s="39" t="n">
        <v>50800</v>
      </c>
      <c r="S693" s="39" t="n"/>
      <c r="T693" s="39" t="n"/>
      <c r="Y693" s="39" t="n"/>
      <c r="Z693" s="39" t="n"/>
      <c r="AA693" t="inlineStr">
        <is>
          <t>Norma Luz Tello Contreras</t>
        </is>
      </c>
      <c r="AB693" t="inlineStr">
        <is>
          <t>04063971</t>
        </is>
      </c>
      <c r="AC693" t="inlineStr">
        <is>
          <t>Av. Militar 1745 - Dpto. 1202</t>
        </is>
      </c>
      <c r="AD693" t="n">
        <v>0</v>
      </c>
      <c r="AE693" t="inlineStr">
        <is>
          <t>952305311</t>
        </is>
      </c>
      <c r="AF693" t="inlineStr">
        <is>
          <t>normatello@gmail.com</t>
        </is>
      </c>
      <c r="AG693" t="inlineStr">
        <is>
          <t>LIMA</t>
        </is>
      </c>
      <c r="AH693" t="inlineStr">
        <is>
          <t>LA VICTORIA</t>
        </is>
      </c>
      <c r="AI693" s="116" t="n">
        <v>46295</v>
      </c>
      <c r="AJ693" s="116" t="n"/>
      <c r="AK693" t="inlineStr">
        <is>
          <t>SALDO FINANCIAR</t>
        </is>
      </c>
      <c r="AL693" t="n">
        <v>13</v>
      </c>
      <c r="AM693" t="n">
        <v>6000</v>
      </c>
      <c r="AN693" t="n">
        <v>0</v>
      </c>
      <c r="AO693" t="n">
        <v>0</v>
      </c>
      <c r="AP693" s="39" t="n">
        <v>6000</v>
      </c>
      <c r="AQ693" s="39" t="n">
        <v>0</v>
      </c>
      <c r="AR693" s="39" t="n">
        <v>6000</v>
      </c>
      <c r="AT693" t="inlineStr">
        <is>
          <t>Crédito Directo</t>
        </is>
      </c>
      <c r="AZ693" t="inlineStr">
        <is>
          <t>No</t>
        </is>
      </c>
      <c r="BC693" t="inlineStr">
        <is>
          <t>VENCIDO</t>
        </is>
      </c>
      <c r="BN693" t="inlineStr">
        <is>
          <t>No</t>
        </is>
      </c>
      <c r="BO693" s="117" t="n">
        <v>45857.51944444444</v>
      </c>
      <c r="BP693" t="inlineStr">
        <is>
          <t>Magaly Guevara Perez</t>
        </is>
      </c>
      <c r="BR693" t="n">
        <v>11</v>
      </c>
      <c r="BT693" t="n">
        <v>0</v>
      </c>
      <c r="BX693" t="inlineStr">
        <is>
          <t>Cobranzas_2026.csv</t>
        </is>
      </c>
      <c r="BY693" t="n">
        <v>2026</v>
      </c>
      <c r="BZ693" t="inlineStr">
        <is>
          <t>01/01/2024</t>
        </is>
      </c>
      <c r="CA693" t="inlineStr">
        <is>
          <t>30/09/2031</t>
        </is>
      </c>
    </row>
    <row r="694">
      <c r="A694" t="inlineStr">
        <is>
          <t>RESIDENCIAL VENECIA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601</t>
        </is>
      </c>
      <c r="G694" s="39" t="n">
        <v>545000</v>
      </c>
      <c r="H694" s="39" t="n">
        <v>545000</v>
      </c>
      <c r="I694" t="inlineStr">
        <is>
          <t>Edificio</t>
        </is>
      </c>
      <c r="J694" t="inlineStr">
        <is>
          <t>A</t>
        </is>
      </c>
      <c r="K694" t="inlineStr">
        <is>
          <t>Estacionamiento</t>
        </is>
      </c>
      <c r="L694" t="inlineStr">
        <is>
          <t>E 11</t>
        </is>
      </c>
      <c r="M694" s="39" t="n">
        <v>50800</v>
      </c>
      <c r="N694" s="39" t="n">
        <v>50800</v>
      </c>
      <c r="S694" s="39" t="n"/>
      <c r="T694" s="39" t="n"/>
      <c r="Y694" s="39" t="n"/>
      <c r="Z694" s="39" t="n"/>
      <c r="AA694" t="inlineStr">
        <is>
          <t>Norma Luz Tello Contreras</t>
        </is>
      </c>
      <c r="AB694" t="inlineStr">
        <is>
          <t>04063971</t>
        </is>
      </c>
      <c r="AC694" t="inlineStr">
        <is>
          <t>Av. Militar 1745 - Dpto. 1202</t>
        </is>
      </c>
      <c r="AD694" t="n">
        <v>0</v>
      </c>
      <c r="AE694" t="inlineStr">
        <is>
          <t>952305311</t>
        </is>
      </c>
      <c r="AF694" t="inlineStr">
        <is>
          <t>normatello@gmail.com</t>
        </is>
      </c>
      <c r="AG694" t="inlineStr">
        <is>
          <t>LIMA</t>
        </is>
      </c>
      <c r="AH694" t="inlineStr">
        <is>
          <t>LA VICTORIA</t>
        </is>
      </c>
      <c r="AI694" s="116" t="n">
        <v>46325</v>
      </c>
      <c r="AJ694" s="116" t="n"/>
      <c r="AK694" t="inlineStr">
        <is>
          <t>SALDO FINANCIAR</t>
        </is>
      </c>
      <c r="AL694" t="n">
        <v>14</v>
      </c>
      <c r="AM694" t="n">
        <v>6000</v>
      </c>
      <c r="AN694" t="n">
        <v>0</v>
      </c>
      <c r="AO694" t="n">
        <v>0</v>
      </c>
      <c r="AP694" s="39" t="n">
        <v>6000</v>
      </c>
      <c r="AQ694" s="39" t="n">
        <v>0</v>
      </c>
      <c r="AR694" s="39" t="n">
        <v>6000</v>
      </c>
      <c r="AT694" t="inlineStr">
        <is>
          <t>Crédito Directo</t>
        </is>
      </c>
      <c r="AZ694" t="inlineStr">
        <is>
          <t>No</t>
        </is>
      </c>
      <c r="BC694" t="inlineStr">
        <is>
          <t>PENDIENTE</t>
        </is>
      </c>
      <c r="BN694" t="inlineStr">
        <is>
          <t>No</t>
        </is>
      </c>
      <c r="BO694" s="117" t="n">
        <v>45857.51944444444</v>
      </c>
      <c r="BP694" t="inlineStr">
        <is>
          <t>Magaly Guevara Perez</t>
        </is>
      </c>
      <c r="BR694" t="n">
        <v>11</v>
      </c>
      <c r="BT694" t="n">
        <v>0</v>
      </c>
      <c r="BX694" t="inlineStr">
        <is>
          <t>Cobranzas_2026.csv</t>
        </is>
      </c>
      <c r="BY694" t="n">
        <v>2026</v>
      </c>
      <c r="BZ694" t="inlineStr">
        <is>
          <t>01/01/2024</t>
        </is>
      </c>
      <c r="CA694" t="inlineStr">
        <is>
          <t>30/09/2031</t>
        </is>
      </c>
    </row>
    <row r="695">
      <c r="A695" t="inlineStr">
        <is>
          <t>RESIDENCIAL VENECIA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601</t>
        </is>
      </c>
      <c r="G695" s="39" t="n">
        <v>545000</v>
      </c>
      <c r="H695" s="39" t="n">
        <v>545000</v>
      </c>
      <c r="I695" t="inlineStr">
        <is>
          <t>Edificio</t>
        </is>
      </c>
      <c r="J695" t="inlineStr">
        <is>
          <t>A</t>
        </is>
      </c>
      <c r="K695" t="inlineStr">
        <is>
          <t>Estacionamiento</t>
        </is>
      </c>
      <c r="L695" t="inlineStr">
        <is>
          <t>E 11</t>
        </is>
      </c>
      <c r="M695" s="39" t="n">
        <v>50800</v>
      </c>
      <c r="N695" s="39" t="n">
        <v>50800</v>
      </c>
      <c r="S695" s="39" t="n"/>
      <c r="T695" s="39" t="n"/>
      <c r="Y695" s="39" t="n"/>
      <c r="Z695" s="39" t="n"/>
      <c r="AA695" t="inlineStr">
        <is>
          <t>Norma Luz Tello Contreras</t>
        </is>
      </c>
      <c r="AB695" t="inlineStr">
        <is>
          <t>04063971</t>
        </is>
      </c>
      <c r="AC695" t="inlineStr">
        <is>
          <t>Av. Militar 1745 - Dpto. 1202</t>
        </is>
      </c>
      <c r="AD695" t="n">
        <v>0</v>
      </c>
      <c r="AE695" t="inlineStr">
        <is>
          <t>952305311</t>
        </is>
      </c>
      <c r="AF695" t="inlineStr">
        <is>
          <t>normatello@gmail.com</t>
        </is>
      </c>
      <c r="AG695" t="inlineStr">
        <is>
          <t>LIMA</t>
        </is>
      </c>
      <c r="AH695" t="inlineStr">
        <is>
          <t>LA VICTORIA</t>
        </is>
      </c>
      <c r="AI695" s="116" t="n">
        <v>46356</v>
      </c>
      <c r="AJ695" s="116" t="n"/>
      <c r="AK695" t="inlineStr">
        <is>
          <t>SALDO FINANCIAR</t>
        </is>
      </c>
      <c r="AL695" t="n">
        <v>15</v>
      </c>
      <c r="AM695" t="n">
        <v>6000</v>
      </c>
      <c r="AN695" t="n">
        <v>0</v>
      </c>
      <c r="AO695" t="n">
        <v>0</v>
      </c>
      <c r="AP695" s="39" t="n">
        <v>6000</v>
      </c>
      <c r="AQ695" s="39" t="n">
        <v>0</v>
      </c>
      <c r="AR695" s="39" t="n">
        <v>6000</v>
      </c>
      <c r="AT695" t="inlineStr">
        <is>
          <t>Crédito Directo</t>
        </is>
      </c>
      <c r="AZ695" t="inlineStr">
        <is>
          <t>No</t>
        </is>
      </c>
      <c r="BC695" t="inlineStr">
        <is>
          <t>PENDIENTE</t>
        </is>
      </c>
      <c r="BN695" t="inlineStr">
        <is>
          <t>No</t>
        </is>
      </c>
      <c r="BO695" s="117" t="n">
        <v>45857.51944444444</v>
      </c>
      <c r="BP695" t="inlineStr">
        <is>
          <t>Magaly Guevara Perez</t>
        </is>
      </c>
      <c r="BR695" t="n">
        <v>11</v>
      </c>
      <c r="BT695" t="n">
        <v>0</v>
      </c>
      <c r="BX695" t="inlineStr">
        <is>
          <t>Cobranzas_2026.csv</t>
        </is>
      </c>
      <c r="BY695" t="n">
        <v>2026</v>
      </c>
      <c r="BZ695" t="inlineStr">
        <is>
          <t>01/01/2024</t>
        </is>
      </c>
      <c r="CA695" t="inlineStr">
        <is>
          <t>30/09/2031</t>
        </is>
      </c>
    </row>
    <row r="696">
      <c r="A696" t="inlineStr">
        <is>
          <t>RESIDENCIAL VENECIA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601</t>
        </is>
      </c>
      <c r="G696" s="39" t="n">
        <v>545000</v>
      </c>
      <c r="H696" s="39" t="n">
        <v>545000</v>
      </c>
      <c r="I696" t="inlineStr">
        <is>
          <t>Edificio</t>
        </is>
      </c>
      <c r="J696" t="inlineStr">
        <is>
          <t>A</t>
        </is>
      </c>
      <c r="K696" t="inlineStr">
        <is>
          <t>Estacionamiento</t>
        </is>
      </c>
      <c r="L696" t="inlineStr">
        <is>
          <t>E 11</t>
        </is>
      </c>
      <c r="M696" s="39" t="n">
        <v>50800</v>
      </c>
      <c r="N696" s="39" t="n">
        <v>50800</v>
      </c>
      <c r="S696" s="39" t="n"/>
      <c r="T696" s="39" t="n"/>
      <c r="Y696" s="39" t="n"/>
      <c r="Z696" s="39" t="n"/>
      <c r="AA696" t="inlineStr">
        <is>
          <t>Norma Luz Tello Contreras</t>
        </is>
      </c>
      <c r="AB696" t="inlineStr">
        <is>
          <t>04063971</t>
        </is>
      </c>
      <c r="AC696" t="inlineStr">
        <is>
          <t>Av. Militar 1745 - Dpto. 1202</t>
        </is>
      </c>
      <c r="AD696" t="n">
        <v>0</v>
      </c>
      <c r="AE696" t="inlineStr">
        <is>
          <t>952305311</t>
        </is>
      </c>
      <c r="AF696" t="inlineStr">
        <is>
          <t>normatello@gmail.com</t>
        </is>
      </c>
      <c r="AG696" t="inlineStr">
        <is>
          <t>LIMA</t>
        </is>
      </c>
      <c r="AH696" t="inlineStr">
        <is>
          <t>LA VICTORIA</t>
        </is>
      </c>
      <c r="AI696" s="116" t="n">
        <v>46386</v>
      </c>
      <c r="AJ696" s="116" t="n"/>
      <c r="AK696" t="inlineStr">
        <is>
          <t>SALDO FINANCIAR</t>
        </is>
      </c>
      <c r="AL696" t="n">
        <v>16</v>
      </c>
      <c r="AM696" t="n">
        <v>6000</v>
      </c>
      <c r="AN696" t="n">
        <v>0</v>
      </c>
      <c r="AO696" t="n">
        <v>0</v>
      </c>
      <c r="AP696" s="39" t="n">
        <v>6000</v>
      </c>
      <c r="AQ696" s="39" t="n">
        <v>0</v>
      </c>
      <c r="AR696" s="39" t="n">
        <v>6000</v>
      </c>
      <c r="AT696" t="inlineStr">
        <is>
          <t>Crédito Directo</t>
        </is>
      </c>
      <c r="AZ696" t="inlineStr">
        <is>
          <t>No</t>
        </is>
      </c>
      <c r="BC696" t="inlineStr">
        <is>
          <t>PENDIENTE</t>
        </is>
      </c>
      <c r="BN696" t="inlineStr">
        <is>
          <t>No</t>
        </is>
      </c>
      <c r="BO696" s="117" t="n">
        <v>45857.51944444444</v>
      </c>
      <c r="BP696" t="inlineStr">
        <is>
          <t>Magaly Guevara Perez</t>
        </is>
      </c>
      <c r="BR696" t="n">
        <v>11</v>
      </c>
      <c r="BT696" t="n">
        <v>0</v>
      </c>
      <c r="BX696" t="inlineStr">
        <is>
          <t>Cobranzas_2026.csv</t>
        </is>
      </c>
      <c r="BY696" t="n">
        <v>2026</v>
      </c>
      <c r="BZ696" t="inlineStr">
        <is>
          <t>01/01/2024</t>
        </is>
      </c>
      <c r="CA696" t="inlineStr">
        <is>
          <t>30/09/2031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1302</t>
        </is>
      </c>
      <c r="G697" s="39" t="n">
        <v>422000</v>
      </c>
      <c r="H697" s="39" t="n">
        <v>370000</v>
      </c>
      <c r="M697" s="39" t="n"/>
      <c r="N697" s="39" t="n"/>
      <c r="S697" s="39" t="n"/>
      <c r="T697" s="39" t="n"/>
      <c r="Y697" s="39" t="n"/>
      <c r="Z697" s="39" t="n"/>
      <c r="AA697" t="inlineStr">
        <is>
          <t>Omar Edwin Riveros Tejada</t>
        </is>
      </c>
      <c r="AB697" t="inlineStr">
        <is>
          <t>47136409</t>
        </is>
      </c>
      <c r="AC697" t="inlineStr">
        <is>
          <t>Calle Berlin 734 - Dpto. 302</t>
        </is>
      </c>
      <c r="AD697" t="n">
        <v>0</v>
      </c>
      <c r="AE697" t="inlineStr">
        <is>
          <t>959940936</t>
        </is>
      </c>
      <c r="AF697" t="inlineStr">
        <is>
          <t>omarriveros91@gmail.com</t>
        </is>
      </c>
      <c r="AG697" t="inlineStr">
        <is>
          <t>LIMA</t>
        </is>
      </c>
      <c r="AH697" t="inlineStr">
        <is>
          <t>MIRAFLORES</t>
        </is>
      </c>
      <c r="AI697" s="116" t="n">
        <v>46137</v>
      </c>
      <c r="AJ697" s="116" t="n">
        <v>46137</v>
      </c>
      <c r="AK697" t="inlineStr">
        <is>
          <t>SEPARACION</t>
        </is>
      </c>
      <c r="AL697" t="n">
        <v>1</v>
      </c>
      <c r="AM697" t="n">
        <v>3000</v>
      </c>
      <c r="AN697" t="n">
        <v>0</v>
      </c>
      <c r="AO697" t="n">
        <v>0</v>
      </c>
      <c r="AP697" s="39" t="n">
        <v>3000</v>
      </c>
      <c r="AQ697" s="39" t="n">
        <v>3000</v>
      </c>
      <c r="AR697" s="39" t="n">
        <v>0</v>
      </c>
      <c r="AS697" t="n">
        <v>0</v>
      </c>
      <c r="AT697" t="inlineStr">
        <is>
          <t>Ahorro</t>
        </is>
      </c>
      <c r="AU697" t="inlineStr">
        <is>
          <t>Banco de Credito del Perú</t>
        </is>
      </c>
      <c r="AV697" t="inlineStr">
        <is>
          <t>194-7325779-0-65</t>
        </is>
      </c>
      <c r="AW697" t="inlineStr">
        <is>
          <t>POS VISA</t>
        </is>
      </c>
      <c r="AY697" t="inlineStr">
        <is>
          <t>007665</t>
        </is>
      </c>
      <c r="AZ697" t="inlineStr">
        <is>
          <t>No</t>
        </is>
      </c>
      <c r="BB697" t="n">
        <v>4</v>
      </c>
      <c r="BC697" t="inlineStr">
        <is>
          <t>CANCELADO</t>
        </is>
      </c>
      <c r="BN697" t="inlineStr">
        <is>
          <t>Si</t>
        </is>
      </c>
      <c r="BO697" s="117" t="n">
        <v>46142.44166666667</v>
      </c>
      <c r="BP697" t="inlineStr">
        <is>
          <t>Magaly Guevara Perez</t>
        </is>
      </c>
      <c r="BR697" t="n">
        <v>12</v>
      </c>
      <c r="BS697" t="inlineStr">
        <is>
          <t>23/05/2026 20:30</t>
        </is>
      </c>
      <c r="BT697" t="n">
        <v>0</v>
      </c>
      <c r="BX697" t="inlineStr">
        <is>
          <t>Cobranzas_2026.csv</t>
        </is>
      </c>
      <c r="BY697" t="n">
        <v>2026</v>
      </c>
      <c r="BZ697" t="inlineStr">
        <is>
          <t>01/01/2024</t>
        </is>
      </c>
      <c r="CA697" t="inlineStr">
        <is>
          <t>30/09/2031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1302</t>
        </is>
      </c>
      <c r="G698" s="39" t="n">
        <v>422000</v>
      </c>
      <c r="H698" s="39" t="n">
        <v>370000</v>
      </c>
      <c r="M698" s="39" t="n"/>
      <c r="N698" s="39" t="n"/>
      <c r="S698" s="39" t="n"/>
      <c r="T698" s="39" t="n"/>
      <c r="Y698" s="39" t="n"/>
      <c r="Z698" s="39" t="n"/>
      <c r="AA698" t="inlineStr">
        <is>
          <t>Omar Edwin Riveros Tejada</t>
        </is>
      </c>
      <c r="AB698" t="inlineStr">
        <is>
          <t>47136409</t>
        </is>
      </c>
      <c r="AC698" t="inlineStr">
        <is>
          <t>Calle Berlin 734 - Dpto. 302</t>
        </is>
      </c>
      <c r="AD698" t="n">
        <v>0</v>
      </c>
      <c r="AE698" t="inlineStr">
        <is>
          <t>959940936</t>
        </is>
      </c>
      <c r="AF698" t="inlineStr">
        <is>
          <t>omarriveros91@gmail.com</t>
        </is>
      </c>
      <c r="AG698" t="inlineStr">
        <is>
          <t>LIMA</t>
        </is>
      </c>
      <c r="AH698" t="inlineStr">
        <is>
          <t>MIRAFLORES</t>
        </is>
      </c>
      <c r="AI698" s="116" t="n">
        <v>46142</v>
      </c>
      <c r="AJ698" s="116" t="n">
        <v>46142</v>
      </c>
      <c r="AK698" t="inlineStr">
        <is>
          <t>CUOTA INICIAL</t>
        </is>
      </c>
      <c r="AL698" t="n">
        <v>1</v>
      </c>
      <c r="AM698" t="n">
        <v>123500</v>
      </c>
      <c r="AN698" t="n">
        <v>0</v>
      </c>
      <c r="AO698" t="n">
        <v>0</v>
      </c>
      <c r="AP698" s="39" t="n">
        <v>123500</v>
      </c>
      <c r="AQ698" s="39" t="n">
        <v>123500</v>
      </c>
      <c r="AR698" s="39" t="n">
        <v>0</v>
      </c>
      <c r="AS698" t="n">
        <v>0</v>
      </c>
      <c r="AT698" t="inlineStr">
        <is>
          <t>Ahorro</t>
        </is>
      </c>
      <c r="AU698" t="inlineStr">
        <is>
          <t>Banco de Credito del Perú</t>
        </is>
      </c>
      <c r="AV698" t="inlineStr">
        <is>
          <t>194-7325779-0-65</t>
        </is>
      </c>
      <c r="AW698" t="inlineStr">
        <is>
          <t>TRANSFERENCIA BANCARIA</t>
        </is>
      </c>
      <c r="AY698" t="inlineStr">
        <is>
          <t>0991441</t>
        </is>
      </c>
      <c r="AZ698" t="inlineStr">
        <is>
          <t>No</t>
        </is>
      </c>
      <c r="BB698" t="n">
        <v>4</v>
      </c>
      <c r="BC698" t="inlineStr">
        <is>
          <t>CANCELADO</t>
        </is>
      </c>
      <c r="BN698" t="inlineStr">
        <is>
          <t>Si</t>
        </is>
      </c>
      <c r="BO698" s="117" t="n">
        <v>46142.44166666667</v>
      </c>
      <c r="BP698" t="inlineStr">
        <is>
          <t>Magaly Guevara Perez</t>
        </is>
      </c>
      <c r="BR698" t="n">
        <v>12</v>
      </c>
      <c r="BS698" t="inlineStr">
        <is>
          <t>23/05/2026 20:33</t>
        </is>
      </c>
      <c r="BT698" t="n">
        <v>0</v>
      </c>
      <c r="BX698" t="inlineStr">
        <is>
          <t>Cobranzas_2026.csv</t>
        </is>
      </c>
      <c r="BY698" t="n">
        <v>2026</v>
      </c>
      <c r="BZ698" t="inlineStr">
        <is>
          <t>01/01/2024</t>
        </is>
      </c>
      <c r="CA698" t="inlineStr">
        <is>
          <t>30/09/2031</t>
        </is>
      </c>
    </row>
    <row r="699">
      <c r="A699" t="inlineStr">
        <is>
          <t>RESIDENCIAL BEYOND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1302</t>
        </is>
      </c>
      <c r="G699" s="39" t="n">
        <v>422000</v>
      </c>
      <c r="H699" s="39" t="n">
        <v>370000</v>
      </c>
      <c r="M699" s="39" t="n"/>
      <c r="N699" s="39" t="n"/>
      <c r="S699" s="39" t="n"/>
      <c r="T699" s="39" t="n"/>
      <c r="Y699" s="39" t="n"/>
      <c r="Z699" s="39" t="n"/>
      <c r="AA699" t="inlineStr">
        <is>
          <t>Omar Edwin Riveros Tejada</t>
        </is>
      </c>
      <c r="AB699" t="inlineStr">
        <is>
          <t>47136409</t>
        </is>
      </c>
      <c r="AC699" t="inlineStr">
        <is>
          <t>Calle Berlin 734 - Dpto. 302</t>
        </is>
      </c>
      <c r="AD699" t="n">
        <v>0</v>
      </c>
      <c r="AE699" t="inlineStr">
        <is>
          <t>959940936</t>
        </is>
      </c>
      <c r="AF699" t="inlineStr">
        <is>
          <t>omarriveros91@gmail.com</t>
        </is>
      </c>
      <c r="AG699" t="inlineStr">
        <is>
          <t>LIMA</t>
        </is>
      </c>
      <c r="AH699" t="inlineStr">
        <is>
          <t>MIRAFLORES</t>
        </is>
      </c>
      <c r="AI699" s="116" t="n">
        <v>46295</v>
      </c>
      <c r="AJ699" s="116" t="n"/>
      <c r="AK699" t="inlineStr">
        <is>
          <t>CUOTA INICIAL</t>
        </is>
      </c>
      <c r="AL699" t="n">
        <v>2</v>
      </c>
      <c r="AM699" t="n">
        <v>123500</v>
      </c>
      <c r="AN699" t="n">
        <v>0</v>
      </c>
      <c r="AO699" t="n">
        <v>0</v>
      </c>
      <c r="AP699" s="39" t="n">
        <v>123500</v>
      </c>
      <c r="AQ699" s="39" t="n">
        <v>0</v>
      </c>
      <c r="AR699" s="39" t="n">
        <v>123500</v>
      </c>
      <c r="AT699" t="inlineStr">
        <is>
          <t>Ahorro</t>
        </is>
      </c>
      <c r="AZ699" t="inlineStr">
        <is>
          <t>No</t>
        </is>
      </c>
      <c r="BC699" t="inlineStr">
        <is>
          <t>VENCIDO</t>
        </is>
      </c>
      <c r="BN699" t="inlineStr">
        <is>
          <t>No</t>
        </is>
      </c>
      <c r="BO699" s="117" t="n">
        <v>46142.44166666667</v>
      </c>
      <c r="BP699" t="inlineStr">
        <is>
          <t>Magaly Guevara Perez</t>
        </is>
      </c>
      <c r="BR699" t="n">
        <v>12</v>
      </c>
      <c r="BT699" t="n">
        <v>0</v>
      </c>
      <c r="BX699" t="inlineStr">
        <is>
          <t>Cobranzas_2026.csv</t>
        </is>
      </c>
      <c r="BY699" t="n">
        <v>2026</v>
      </c>
      <c r="BZ699" t="inlineStr">
        <is>
          <t>01/01/2024</t>
        </is>
      </c>
      <c r="CA699" t="inlineStr">
        <is>
          <t>30/09/2031</t>
        </is>
      </c>
    </row>
    <row r="700">
      <c r="A700" t="inlineStr">
        <is>
          <t>RESIDENCIAL BEYOND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1302</t>
        </is>
      </c>
      <c r="G700" s="39" t="n">
        <v>422000</v>
      </c>
      <c r="H700" s="39" t="n">
        <v>370000</v>
      </c>
      <c r="M700" s="39" t="n"/>
      <c r="N700" s="39" t="n"/>
      <c r="S700" s="39" t="n"/>
      <c r="T700" s="39" t="n"/>
      <c r="Y700" s="39" t="n"/>
      <c r="Z700" s="39" t="n"/>
      <c r="AA700" t="inlineStr">
        <is>
          <t>Omar Edwin Riveros Tejada</t>
        </is>
      </c>
      <c r="AB700" t="inlineStr">
        <is>
          <t>47136409</t>
        </is>
      </c>
      <c r="AC700" t="inlineStr">
        <is>
          <t>Calle Berlin 734 - Dpto. 302</t>
        </is>
      </c>
      <c r="AD700" t="n">
        <v>0</v>
      </c>
      <c r="AE700" t="inlineStr">
        <is>
          <t>959940936</t>
        </is>
      </c>
      <c r="AF700" t="inlineStr">
        <is>
          <t>omarriveros91@gmail.com</t>
        </is>
      </c>
      <c r="AG700" t="inlineStr">
        <is>
          <t>LIMA</t>
        </is>
      </c>
      <c r="AH700" t="inlineStr">
        <is>
          <t>MIRAFLORES</t>
        </is>
      </c>
      <c r="AI700" s="116" t="n">
        <v>46356</v>
      </c>
      <c r="AJ700" s="116" t="n"/>
      <c r="AK700" t="inlineStr">
        <is>
          <t>SALDO FINANCIAR</t>
        </is>
      </c>
      <c r="AL700" t="n">
        <v>1</v>
      </c>
      <c r="AM700" t="n">
        <v>120000</v>
      </c>
      <c r="AN700" t="n">
        <v>0</v>
      </c>
      <c r="AO700" t="n">
        <v>0</v>
      </c>
      <c r="AP700" s="39" t="n">
        <v>120000</v>
      </c>
      <c r="AQ700" s="39" t="n">
        <v>0</v>
      </c>
      <c r="AR700" s="39" t="n">
        <v>120000</v>
      </c>
      <c r="AT700" t="inlineStr">
        <is>
          <t>Ahorro</t>
        </is>
      </c>
      <c r="AZ700" t="inlineStr">
        <is>
          <t>No</t>
        </is>
      </c>
      <c r="BC700" t="inlineStr">
        <is>
          <t>PENDIENTE</t>
        </is>
      </c>
      <c r="BN700" t="inlineStr">
        <is>
          <t>No</t>
        </is>
      </c>
      <c r="BO700" s="117" t="n">
        <v>46142.44166666667</v>
      </c>
      <c r="BP700" t="inlineStr">
        <is>
          <t>Magaly Guevara Perez</t>
        </is>
      </c>
      <c r="BR700" t="n">
        <v>12</v>
      </c>
      <c r="BT700" t="n">
        <v>0</v>
      </c>
      <c r="BX700" t="inlineStr">
        <is>
          <t>Cobranzas_2026.csv</t>
        </is>
      </c>
      <c r="BY700" t="n">
        <v>2026</v>
      </c>
      <c r="BZ700" t="inlineStr">
        <is>
          <t>01/01/2024</t>
        </is>
      </c>
      <c r="CA700" t="inlineStr">
        <is>
          <t>30/09/2031</t>
        </is>
      </c>
    </row>
    <row r="701">
      <c r="A701" t="inlineStr">
        <is>
          <t>RESIDENCIAL BEYOND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Estacionamiento</t>
        </is>
      </c>
      <c r="F701" t="inlineStr">
        <is>
          <t>E 59</t>
        </is>
      </c>
      <c r="G701" s="39" t="n">
        <v>39000</v>
      </c>
      <c r="H701" s="39" t="n">
        <v>39000</v>
      </c>
      <c r="M701" s="39" t="n"/>
      <c r="N701" s="39" t="n"/>
      <c r="S701" s="39" t="n"/>
      <c r="T701" s="39" t="n"/>
      <c r="Y701" s="39" t="n"/>
      <c r="Z701" s="39" t="n"/>
      <c r="AA701" t="inlineStr">
        <is>
          <t>Omar Edwin Riveros Tejada</t>
        </is>
      </c>
      <c r="AB701" t="inlineStr">
        <is>
          <t>47136409</t>
        </is>
      </c>
      <c r="AC701" t="inlineStr">
        <is>
          <t>Calle Berlin 734 - Dpto. 302</t>
        </is>
      </c>
      <c r="AD701" t="n">
        <v>0</v>
      </c>
      <c r="AE701" t="inlineStr">
        <is>
          <t>959940936</t>
        </is>
      </c>
      <c r="AF701" t="inlineStr">
        <is>
          <t>omarriveros91@gmail.com</t>
        </is>
      </c>
      <c r="AG701" t="inlineStr">
        <is>
          <t>LIMA</t>
        </is>
      </c>
      <c r="AH701" t="inlineStr">
        <is>
          <t>MIRAFLORES</t>
        </is>
      </c>
      <c r="AI701" s="116" t="n">
        <v>46142</v>
      </c>
      <c r="AJ701" s="116" t="n">
        <v>46142</v>
      </c>
      <c r="AK701" t="inlineStr">
        <is>
          <t>SEPARACION</t>
        </is>
      </c>
      <c r="AL701" t="n">
        <v>1</v>
      </c>
      <c r="AM701" t="n">
        <v>3000</v>
      </c>
      <c r="AN701" t="n">
        <v>0</v>
      </c>
      <c r="AO701" t="n">
        <v>0</v>
      </c>
      <c r="AP701" s="39" t="n">
        <v>3000</v>
      </c>
      <c r="AQ701" s="39" t="n">
        <v>3000</v>
      </c>
      <c r="AR701" s="39" t="n">
        <v>0</v>
      </c>
      <c r="AS701" t="n">
        <v>0</v>
      </c>
      <c r="AT701" t="inlineStr">
        <is>
          <t>Crédito Hipotecario</t>
        </is>
      </c>
      <c r="AU701" t="inlineStr">
        <is>
          <t>Banco de Credito del Perú</t>
        </is>
      </c>
      <c r="AV701" t="inlineStr">
        <is>
          <t>194-7325779-0-65</t>
        </is>
      </c>
      <c r="AW701" t="inlineStr">
        <is>
          <t>TRANSFERENCIA BANCARIA</t>
        </is>
      </c>
      <c r="AY701" t="inlineStr">
        <is>
          <t>0993454</t>
        </is>
      </c>
      <c r="AZ701" t="inlineStr">
        <is>
          <t>No</t>
        </is>
      </c>
      <c r="BB701" t="n">
        <v>4</v>
      </c>
      <c r="BC701" t="inlineStr">
        <is>
          <t>CANCELADO</t>
        </is>
      </c>
      <c r="BN701" t="inlineStr">
        <is>
          <t>Si</t>
        </is>
      </c>
      <c r="BO701" s="117" t="n">
        <v>46170.79166666666</v>
      </c>
      <c r="BP701" t="inlineStr">
        <is>
          <t>Carla Michue M</t>
        </is>
      </c>
      <c r="BR701" t="n">
        <v>43</v>
      </c>
      <c r="BS701" t="inlineStr">
        <is>
          <t>28/05/2026 19:00</t>
        </is>
      </c>
      <c r="BT701" t="n">
        <v>0</v>
      </c>
      <c r="BX701" t="inlineStr">
        <is>
          <t>Cobranzas_2026.csv</t>
        </is>
      </c>
      <c r="BY701" t="n">
        <v>2026</v>
      </c>
      <c r="BZ701" t="inlineStr">
        <is>
          <t>01/01/2024</t>
        </is>
      </c>
      <c r="CA701" t="inlineStr">
        <is>
          <t>30/09/2031</t>
        </is>
      </c>
    </row>
    <row r="702">
      <c r="A702" t="inlineStr">
        <is>
          <t>RESIDENCIAL BEYOND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Estacionamiento</t>
        </is>
      </c>
      <c r="F702" t="inlineStr">
        <is>
          <t>E 59</t>
        </is>
      </c>
      <c r="G702" s="39" t="n">
        <v>39000</v>
      </c>
      <c r="H702" s="39" t="n">
        <v>39000</v>
      </c>
      <c r="M702" s="39" t="n"/>
      <c r="N702" s="39" t="n"/>
      <c r="S702" s="39" t="n"/>
      <c r="T702" s="39" t="n"/>
      <c r="Y702" s="39" t="n"/>
      <c r="Z702" s="39" t="n"/>
      <c r="AA702" t="inlineStr">
        <is>
          <t>Omar Edwin Riveros Tejada</t>
        </is>
      </c>
      <c r="AB702" t="inlineStr">
        <is>
          <t>47136409</t>
        </is>
      </c>
      <c r="AC702" t="inlineStr">
        <is>
          <t>Calle Berlin 734 - Dpto. 302</t>
        </is>
      </c>
      <c r="AD702" t="n">
        <v>0</v>
      </c>
      <c r="AE702" t="inlineStr">
        <is>
          <t>959940936</t>
        </is>
      </c>
      <c r="AF702" t="inlineStr">
        <is>
          <t>omarriveros91@gmail.com</t>
        </is>
      </c>
      <c r="AG702" t="inlineStr">
        <is>
          <t>LIMA</t>
        </is>
      </c>
      <c r="AH702" t="inlineStr">
        <is>
          <t>MIRAFLORES</t>
        </is>
      </c>
      <c r="AI702" s="116" t="n">
        <v>46142</v>
      </c>
      <c r="AJ702" s="116" t="n">
        <v>46142</v>
      </c>
      <c r="AK702" t="inlineStr">
        <is>
          <t>CUOTA INICIAL</t>
        </is>
      </c>
      <c r="AL702" t="n">
        <v>1</v>
      </c>
      <c r="AM702" t="n">
        <v>7000</v>
      </c>
      <c r="AN702" t="n">
        <v>0</v>
      </c>
      <c r="AO702" t="n">
        <v>0</v>
      </c>
      <c r="AP702" s="39" t="n">
        <v>7000</v>
      </c>
      <c r="AQ702" s="39" t="n">
        <v>7000</v>
      </c>
      <c r="AR702" s="39" t="n">
        <v>0</v>
      </c>
      <c r="AS702" t="n">
        <v>0</v>
      </c>
      <c r="AT702" t="inlineStr">
        <is>
          <t>Crédito Hipotecario</t>
        </is>
      </c>
      <c r="AU702" t="inlineStr">
        <is>
          <t>Banco de Credito del Perú</t>
        </is>
      </c>
      <c r="AV702" t="inlineStr">
        <is>
          <t>194-7325779-0-65</t>
        </is>
      </c>
      <c r="AW702" t="inlineStr">
        <is>
          <t>TRANSFERENCIA BANCARIA</t>
        </is>
      </c>
      <c r="AY702" t="inlineStr">
        <is>
          <t>0993454</t>
        </is>
      </c>
      <c r="AZ702" t="inlineStr">
        <is>
          <t>No</t>
        </is>
      </c>
      <c r="BB702" t="n">
        <v>4</v>
      </c>
      <c r="BC702" t="inlineStr">
        <is>
          <t>CANCELADO</t>
        </is>
      </c>
      <c r="BN702" t="inlineStr">
        <is>
          <t>Si</t>
        </is>
      </c>
      <c r="BO702" s="117" t="n">
        <v>46170.79166666666</v>
      </c>
      <c r="BP702" t="inlineStr">
        <is>
          <t>Carla Michue M</t>
        </is>
      </c>
      <c r="BR702" t="n">
        <v>43</v>
      </c>
      <c r="BS702" t="inlineStr">
        <is>
          <t>17/08/2026 16:29</t>
        </is>
      </c>
      <c r="BT702" t="n">
        <v>0</v>
      </c>
      <c r="BX702" t="inlineStr">
        <is>
          <t>Cobranzas_2026.csv</t>
        </is>
      </c>
      <c r="BY702" t="n">
        <v>2026</v>
      </c>
      <c r="BZ702" t="inlineStr">
        <is>
          <t>01/01/2024</t>
        </is>
      </c>
      <c r="CA702" t="inlineStr">
        <is>
          <t>30/09/2031</t>
        </is>
      </c>
    </row>
    <row r="703">
      <c r="A703" t="inlineStr">
        <is>
          <t>RESIDENCIAL BEYOND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604</t>
        </is>
      </c>
      <c r="G703" s="39" t="n">
        <v>460000</v>
      </c>
      <c r="H703" s="39" t="n">
        <v>460000</v>
      </c>
      <c r="I703" t="inlineStr">
        <is>
          <t>Edificio</t>
        </is>
      </c>
      <c r="J703" t="inlineStr">
        <is>
          <t>A</t>
        </is>
      </c>
      <c r="K703" t="inlineStr">
        <is>
          <t>Estacionamiento</t>
        </is>
      </c>
      <c r="L703" t="inlineStr">
        <is>
          <t>E 11</t>
        </is>
      </c>
      <c r="M703" s="39" t="n">
        <v>47500</v>
      </c>
      <c r="N703" s="39" t="n">
        <v>47500</v>
      </c>
      <c r="O703" t="inlineStr">
        <is>
          <t>Edificio</t>
        </is>
      </c>
      <c r="P703" t="inlineStr">
        <is>
          <t>A</t>
        </is>
      </c>
      <c r="Q703" t="inlineStr">
        <is>
          <t>Depósito</t>
        </is>
      </c>
      <c r="R703" t="inlineStr">
        <is>
          <t>D 06</t>
        </is>
      </c>
      <c r="S703" s="39" t="n">
        <v>21700</v>
      </c>
      <c r="T703" s="39" t="n">
        <v>21700</v>
      </c>
      <c r="U703" t="inlineStr">
        <is>
          <t>Edificio</t>
        </is>
      </c>
      <c r="V703" t="inlineStr">
        <is>
          <t>A</t>
        </is>
      </c>
      <c r="W703" t="inlineStr">
        <is>
          <t>Depósito</t>
        </is>
      </c>
      <c r="X703" t="inlineStr">
        <is>
          <t>D 07</t>
        </is>
      </c>
      <c r="Y703" s="39" t="n">
        <v>9500</v>
      </c>
      <c r="Z703" s="39" t="n">
        <v>9500</v>
      </c>
      <c r="AA703" t="inlineStr">
        <is>
          <t>PABLO JAIME CORNEJO PEREDA</t>
        </is>
      </c>
      <c r="AB703" t="inlineStr">
        <is>
          <t>07763504</t>
        </is>
      </c>
      <c r="AC703" t="inlineStr">
        <is>
          <t>Lima - Lima - San Miguel - Jr. Simon Bolivar 105 Dpto 1201</t>
        </is>
      </c>
      <c r="AE703" t="inlineStr">
        <is>
          <t>998912031</t>
        </is>
      </c>
      <c r="AF703" t="inlineStr">
        <is>
          <t>pablocornejo@yahoo.com</t>
        </is>
      </c>
      <c r="AG703" t="inlineStr">
        <is>
          <t>LIMA</t>
        </is>
      </c>
      <c r="AH703" t="inlineStr">
        <is>
          <t>SAN MIGUEL</t>
        </is>
      </c>
      <c r="AI703" s="116" t="n">
        <v>46258.47361111111</v>
      </c>
      <c r="AJ703" s="116" t="n">
        <v>45876</v>
      </c>
      <c r="AK703" t="inlineStr">
        <is>
          <t>SALDO FINANCIAR</t>
        </is>
      </c>
      <c r="AL703" t="n">
        <v>8</v>
      </c>
      <c r="AM703" t="n">
        <v>169344</v>
      </c>
      <c r="AN703" t="n">
        <v>0</v>
      </c>
      <c r="AO703" t="n">
        <v>0</v>
      </c>
      <c r="AP703" s="39" t="n">
        <v>169344</v>
      </c>
      <c r="AQ703" s="39" t="n">
        <v>21168</v>
      </c>
      <c r="AR703" s="39" t="n">
        <v>0</v>
      </c>
      <c r="AS703" t="n">
        <v>0</v>
      </c>
      <c r="AT703" t="inlineStr">
        <is>
          <t>Crédito Directo</t>
        </is>
      </c>
      <c r="AU703" t="inlineStr">
        <is>
          <t>Banco de Credito del Perú</t>
        </is>
      </c>
      <c r="AV703" t="inlineStr">
        <is>
          <t>194-7325779-0-65</t>
        </is>
      </c>
      <c r="AW703" t="inlineStr">
        <is>
          <t>TRANSFERENCIA BANCARIA</t>
        </is>
      </c>
      <c r="AY703" t="inlineStr">
        <is>
          <t>0987426</t>
        </is>
      </c>
      <c r="AZ703" t="inlineStr">
        <is>
          <t>No</t>
        </is>
      </c>
      <c r="BB703" t="n">
        <v>4</v>
      </c>
      <c r="BC703" t="inlineStr">
        <is>
          <t>CANCELADO</t>
        </is>
      </c>
      <c r="BN703" t="inlineStr">
        <is>
          <t>Si</t>
        </is>
      </c>
      <c r="BO703" s="117" t="n">
        <v>45761.40694444445</v>
      </c>
      <c r="BP703" t="inlineStr">
        <is>
          <t>Magaly Guevara Perez</t>
        </is>
      </c>
      <c r="BR703" t="n">
        <v>38</v>
      </c>
      <c r="BS703" t="inlineStr">
        <is>
          <t>20/08/2026 08:14</t>
        </is>
      </c>
      <c r="BT703" t="n">
        <v>0</v>
      </c>
      <c r="BX703" t="inlineStr">
        <is>
          <t>Cobranzas_2026.csv</t>
        </is>
      </c>
      <c r="BY703" t="n">
        <v>2026</v>
      </c>
      <c r="BZ703" t="inlineStr">
        <is>
          <t>01/01/2024</t>
        </is>
      </c>
      <c r="CA703" t="inlineStr">
        <is>
          <t>30/09/2031</t>
        </is>
      </c>
    </row>
    <row r="704">
      <c r="A704" t="inlineStr">
        <is>
          <t>RESIDENCIAL BEYOND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604</t>
        </is>
      </c>
      <c r="G704" s="39" t="n">
        <v>460000</v>
      </c>
      <c r="H704" s="39" t="n">
        <v>460000</v>
      </c>
      <c r="I704" t="inlineStr">
        <is>
          <t>Edificio</t>
        </is>
      </c>
      <c r="J704" t="inlineStr">
        <is>
          <t>A</t>
        </is>
      </c>
      <c r="K704" t="inlineStr">
        <is>
          <t>Estacionamiento</t>
        </is>
      </c>
      <c r="L704" t="inlineStr">
        <is>
          <t>E 11</t>
        </is>
      </c>
      <c r="M704" s="39" t="n">
        <v>47500</v>
      </c>
      <c r="N704" s="39" t="n">
        <v>47500</v>
      </c>
      <c r="O704" t="inlineStr">
        <is>
          <t>Edificio</t>
        </is>
      </c>
      <c r="P704" t="inlineStr">
        <is>
          <t>A</t>
        </is>
      </c>
      <c r="Q704" t="inlineStr">
        <is>
          <t>Depósito</t>
        </is>
      </c>
      <c r="R704" t="inlineStr">
        <is>
          <t>D 06</t>
        </is>
      </c>
      <c r="S704" s="39" t="n">
        <v>21700</v>
      </c>
      <c r="T704" s="39" t="n">
        <v>21700</v>
      </c>
      <c r="U704" t="inlineStr">
        <is>
          <t>Edificio</t>
        </is>
      </c>
      <c r="V704" t="inlineStr">
        <is>
          <t>A</t>
        </is>
      </c>
      <c r="W704" t="inlineStr">
        <is>
          <t>Depósito</t>
        </is>
      </c>
      <c r="X704" t="inlineStr">
        <is>
          <t>D 07</t>
        </is>
      </c>
      <c r="Y704" s="39" t="n">
        <v>9500</v>
      </c>
      <c r="Z704" s="39" t="n">
        <v>9500</v>
      </c>
      <c r="AA704" t="inlineStr">
        <is>
          <t>PABLO JAIME CORNEJO PEREDA</t>
        </is>
      </c>
      <c r="AB704" t="inlineStr">
        <is>
          <t>07763504</t>
        </is>
      </c>
      <c r="AC704" t="inlineStr">
        <is>
          <t>Lima - Lima - San Miguel - Jr. Simon Bolivar 105 Dpto 1201</t>
        </is>
      </c>
      <c r="AE704" t="inlineStr">
        <is>
          <t>998912031</t>
        </is>
      </c>
      <c r="AF704" t="inlineStr">
        <is>
          <t>pablocornejo@yahoo.com</t>
        </is>
      </c>
      <c r="AG704" t="inlineStr">
        <is>
          <t>LIMA</t>
        </is>
      </c>
      <c r="AH704" t="inlineStr">
        <is>
          <t>SAN MIGUEL</t>
        </is>
      </c>
      <c r="AI704" s="116" t="n">
        <v>46258.47361111111</v>
      </c>
      <c r="AJ704" s="116" t="n">
        <v>45934</v>
      </c>
      <c r="AK704" t="inlineStr">
        <is>
          <t>SALDO FINANCIAR</t>
        </is>
      </c>
      <c r="AL704" t="n">
        <v>8</v>
      </c>
      <c r="AM704" t="n">
        <v>0</v>
      </c>
      <c r="AN704" t="n">
        <v>0</v>
      </c>
      <c r="AO704" t="n">
        <v>0</v>
      </c>
      <c r="AP704" s="39" t="n">
        <v>0</v>
      </c>
      <c r="AQ704" s="39" t="n">
        <v>21168</v>
      </c>
      <c r="AR704" s="39" t="n">
        <v>0</v>
      </c>
      <c r="AS704" t="n">
        <v>0</v>
      </c>
      <c r="AT704" t="inlineStr">
        <is>
          <t>Crédito Directo</t>
        </is>
      </c>
      <c r="AU704" t="inlineStr">
        <is>
          <t>Banco de Credito del Perú</t>
        </is>
      </c>
      <c r="AV704" t="inlineStr">
        <is>
          <t>194-7325779-0-65</t>
        </is>
      </c>
      <c r="AW704" t="inlineStr">
        <is>
          <t>TRANSFERENCIA BANCARIA</t>
        </is>
      </c>
      <c r="AY704" t="inlineStr">
        <is>
          <t>0555411</t>
        </is>
      </c>
      <c r="AZ704" t="inlineStr">
        <is>
          <t>No</t>
        </is>
      </c>
      <c r="BB704" t="n">
        <v>4</v>
      </c>
      <c r="BC704" t="inlineStr">
        <is>
          <t>CANCELADO</t>
        </is>
      </c>
      <c r="BN704" t="inlineStr">
        <is>
          <t>Si</t>
        </is>
      </c>
      <c r="BO704" s="117" t="n">
        <v>45761.40694444445</v>
      </c>
      <c r="BP704" t="inlineStr">
        <is>
          <t>Magaly Guevara Perez</t>
        </is>
      </c>
      <c r="BR704" t="n">
        <v>38</v>
      </c>
      <c r="BS704" t="inlineStr">
        <is>
          <t>20/08/2026 08:16</t>
        </is>
      </c>
      <c r="BT704" t="n">
        <v>0</v>
      </c>
      <c r="BX704" t="inlineStr">
        <is>
          <t>Cobranzas_2026.csv</t>
        </is>
      </c>
      <c r="BY704" t="n">
        <v>2026</v>
      </c>
      <c r="BZ704" t="inlineStr">
        <is>
          <t>01/01/2024</t>
        </is>
      </c>
      <c r="CA704" t="inlineStr">
        <is>
          <t>30/09/2031</t>
        </is>
      </c>
    </row>
    <row r="705">
      <c r="A705" t="inlineStr">
        <is>
          <t>RESIDENCIAL BEYOND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604</t>
        </is>
      </c>
      <c r="G705" s="39" t="n">
        <v>460000</v>
      </c>
      <c r="H705" s="39" t="n">
        <v>460000</v>
      </c>
      <c r="I705" t="inlineStr">
        <is>
          <t>Edificio</t>
        </is>
      </c>
      <c r="J705" t="inlineStr">
        <is>
          <t>A</t>
        </is>
      </c>
      <c r="K705" t="inlineStr">
        <is>
          <t>Estacionamiento</t>
        </is>
      </c>
      <c r="L705" t="inlineStr">
        <is>
          <t>E 11</t>
        </is>
      </c>
      <c r="M705" s="39" t="n">
        <v>47500</v>
      </c>
      <c r="N705" s="39" t="n">
        <v>47500</v>
      </c>
      <c r="O705" t="inlineStr">
        <is>
          <t>Edificio</t>
        </is>
      </c>
      <c r="P705" t="inlineStr">
        <is>
          <t>A</t>
        </is>
      </c>
      <c r="Q705" t="inlineStr">
        <is>
          <t>Depósito</t>
        </is>
      </c>
      <c r="R705" t="inlineStr">
        <is>
          <t>D 06</t>
        </is>
      </c>
      <c r="S705" s="39" t="n">
        <v>21700</v>
      </c>
      <c r="T705" s="39" t="n">
        <v>21700</v>
      </c>
      <c r="U705" t="inlineStr">
        <is>
          <t>Edificio</t>
        </is>
      </c>
      <c r="V705" t="inlineStr">
        <is>
          <t>A</t>
        </is>
      </c>
      <c r="W705" t="inlineStr">
        <is>
          <t>Depósito</t>
        </is>
      </c>
      <c r="X705" t="inlineStr">
        <is>
          <t>D 07</t>
        </is>
      </c>
      <c r="Y705" s="39" t="n">
        <v>9500</v>
      </c>
      <c r="Z705" s="39" t="n">
        <v>9500</v>
      </c>
      <c r="AA705" t="inlineStr">
        <is>
          <t>PABLO JAIME CORNEJO PEREDA</t>
        </is>
      </c>
      <c r="AB705" t="inlineStr">
        <is>
          <t>07763504</t>
        </is>
      </c>
      <c r="AC705" t="inlineStr">
        <is>
          <t>Lima - Lima - San Miguel - Jr. Simon Bolivar 105 Dpto 1201</t>
        </is>
      </c>
      <c r="AE705" t="inlineStr">
        <is>
          <t>998912031</t>
        </is>
      </c>
      <c r="AF705" t="inlineStr">
        <is>
          <t>pablocornejo@yahoo.com</t>
        </is>
      </c>
      <c r="AG705" t="inlineStr">
        <is>
          <t>LIMA</t>
        </is>
      </c>
      <c r="AH705" t="inlineStr">
        <is>
          <t>SAN MIGUEL</t>
        </is>
      </c>
      <c r="AI705" s="116" t="n">
        <v>46258.47361111111</v>
      </c>
      <c r="AJ705" s="116" t="n">
        <v>46004</v>
      </c>
      <c r="AK705" t="inlineStr">
        <is>
          <t>SALDO FINANCIAR</t>
        </is>
      </c>
      <c r="AL705" t="n">
        <v>8</v>
      </c>
      <c r="AM705" t="n">
        <v>0</v>
      </c>
      <c r="AN705" t="n">
        <v>0</v>
      </c>
      <c r="AO705" t="n">
        <v>0</v>
      </c>
      <c r="AP705" s="39" t="n">
        <v>0</v>
      </c>
      <c r="AQ705" s="39" t="n">
        <v>21168</v>
      </c>
      <c r="AR705" s="39" t="n">
        <v>0</v>
      </c>
      <c r="AS705" t="n">
        <v>0</v>
      </c>
      <c r="AT705" t="inlineStr">
        <is>
          <t>Crédito Directo</t>
        </is>
      </c>
      <c r="AU705" t="inlineStr">
        <is>
          <t>Banco de Credito del Perú</t>
        </is>
      </c>
      <c r="AV705" t="inlineStr">
        <is>
          <t>194-7325779-0-65</t>
        </is>
      </c>
      <c r="AW705" t="inlineStr">
        <is>
          <t>TRANSFERENCIA BANCARIA</t>
        </is>
      </c>
      <c r="AY705" t="inlineStr">
        <is>
          <t>0950793</t>
        </is>
      </c>
      <c r="AZ705" t="inlineStr">
        <is>
          <t>No</t>
        </is>
      </c>
      <c r="BB705" t="n">
        <v>4</v>
      </c>
      <c r="BC705" t="inlineStr">
        <is>
          <t>CANCELADO</t>
        </is>
      </c>
      <c r="BN705" t="inlineStr">
        <is>
          <t>Si</t>
        </is>
      </c>
      <c r="BO705" s="117" t="n">
        <v>45761.40694444445</v>
      </c>
      <c r="BP705" t="inlineStr">
        <is>
          <t>Magaly Guevara Perez</t>
        </is>
      </c>
      <c r="BR705" t="n">
        <v>38</v>
      </c>
      <c r="BS705" t="inlineStr">
        <is>
          <t>20/08/2026 08:16</t>
        </is>
      </c>
      <c r="BT705" t="n">
        <v>0</v>
      </c>
      <c r="BX705" t="inlineStr">
        <is>
          <t>Cobranzas_2026.csv</t>
        </is>
      </c>
      <c r="BY705" t="n">
        <v>2026</v>
      </c>
      <c r="BZ705" t="inlineStr">
        <is>
          <t>01/01/2024</t>
        </is>
      </c>
      <c r="CA705" t="inlineStr">
        <is>
          <t>30/09/2031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604</t>
        </is>
      </c>
      <c r="G706" s="39" t="n">
        <v>460000</v>
      </c>
      <c r="H706" s="39" t="n">
        <v>460000</v>
      </c>
      <c r="I706" t="inlineStr">
        <is>
          <t>Edificio</t>
        </is>
      </c>
      <c r="J706" t="inlineStr">
        <is>
          <t>A</t>
        </is>
      </c>
      <c r="K706" t="inlineStr">
        <is>
          <t>Estacionamiento</t>
        </is>
      </c>
      <c r="L706" t="inlineStr">
        <is>
          <t>E 11</t>
        </is>
      </c>
      <c r="M706" s="39" t="n">
        <v>47500</v>
      </c>
      <c r="N706" s="39" t="n">
        <v>47500</v>
      </c>
      <c r="O706" t="inlineStr">
        <is>
          <t>Edificio</t>
        </is>
      </c>
      <c r="P706" t="inlineStr">
        <is>
          <t>A</t>
        </is>
      </c>
      <c r="Q706" t="inlineStr">
        <is>
          <t>Depósito</t>
        </is>
      </c>
      <c r="R706" t="inlineStr">
        <is>
          <t>D 06</t>
        </is>
      </c>
      <c r="S706" s="39" t="n">
        <v>21700</v>
      </c>
      <c r="T706" s="39" t="n">
        <v>21700</v>
      </c>
      <c r="U706" t="inlineStr">
        <is>
          <t>Edificio</t>
        </is>
      </c>
      <c r="V706" t="inlineStr">
        <is>
          <t>A</t>
        </is>
      </c>
      <c r="W706" t="inlineStr">
        <is>
          <t>Depósito</t>
        </is>
      </c>
      <c r="X706" t="inlineStr">
        <is>
          <t>D 07</t>
        </is>
      </c>
      <c r="Y706" s="39" t="n">
        <v>9500</v>
      </c>
      <c r="Z706" s="39" t="n">
        <v>9500</v>
      </c>
      <c r="AA706" t="inlineStr">
        <is>
          <t>PABLO JAIME CORNEJO PEREDA</t>
        </is>
      </c>
      <c r="AB706" t="inlineStr">
        <is>
          <t>07763504</t>
        </is>
      </c>
      <c r="AC706" t="inlineStr">
        <is>
          <t>Lima - Lima - San Miguel - Jr. Simon Bolivar 105 Dpto 1201</t>
        </is>
      </c>
      <c r="AE706" t="inlineStr">
        <is>
          <t>998912031</t>
        </is>
      </c>
      <c r="AF706" t="inlineStr">
        <is>
          <t>pablocornejo@yahoo.com</t>
        </is>
      </c>
      <c r="AG706" t="inlineStr">
        <is>
          <t>LIMA</t>
        </is>
      </c>
      <c r="AH706" t="inlineStr">
        <is>
          <t>SAN MIGUEL</t>
        </is>
      </c>
      <c r="AI706" s="116" t="n">
        <v>46258.47361111111</v>
      </c>
      <c r="AJ706" s="116" t="n">
        <v>46004</v>
      </c>
      <c r="AK706" t="inlineStr">
        <is>
          <t>SALDO FINANCIAR</t>
        </is>
      </c>
      <c r="AL706" t="n">
        <v>8</v>
      </c>
      <c r="AM706" t="n">
        <v>0</v>
      </c>
      <c r="AN706" t="n">
        <v>0</v>
      </c>
      <c r="AO706" t="n">
        <v>0</v>
      </c>
      <c r="AP706" s="39" t="n">
        <v>0</v>
      </c>
      <c r="AQ706" s="39" t="n">
        <v>21168</v>
      </c>
      <c r="AR706" s="39" t="n">
        <v>0</v>
      </c>
      <c r="AS706" t="n">
        <v>0</v>
      </c>
      <c r="AT706" t="inlineStr">
        <is>
          <t>Crédito Directo</t>
        </is>
      </c>
      <c r="AU706" t="inlineStr">
        <is>
          <t>Banco de Credito del Perú</t>
        </is>
      </c>
      <c r="AV706" t="inlineStr">
        <is>
          <t>194-7325779-0-65</t>
        </is>
      </c>
      <c r="AW706" t="inlineStr">
        <is>
          <t>TRANSFERENCIA BANCARIA</t>
        </is>
      </c>
      <c r="AY706" t="inlineStr">
        <is>
          <t>0952614</t>
        </is>
      </c>
      <c r="AZ706" t="inlineStr">
        <is>
          <t>No</t>
        </is>
      </c>
      <c r="BB706" t="n">
        <v>4</v>
      </c>
      <c r="BC706" t="inlineStr">
        <is>
          <t>CANCELADO</t>
        </is>
      </c>
      <c r="BN706" t="inlineStr">
        <is>
          <t>Si</t>
        </is>
      </c>
      <c r="BO706" s="117" t="n">
        <v>45761.40694444445</v>
      </c>
      <c r="BP706" t="inlineStr">
        <is>
          <t>Magaly Guevara Perez</t>
        </is>
      </c>
      <c r="BR706" t="n">
        <v>38</v>
      </c>
      <c r="BS706" t="inlineStr">
        <is>
          <t>20/08/2026 08:17</t>
        </is>
      </c>
      <c r="BT706" t="n">
        <v>0</v>
      </c>
      <c r="BX706" t="inlineStr">
        <is>
          <t>Cobranzas_2026.csv</t>
        </is>
      </c>
      <c r="BY706" t="n">
        <v>2026</v>
      </c>
      <c r="BZ706" t="inlineStr">
        <is>
          <t>01/01/2024</t>
        </is>
      </c>
      <c r="CA706" t="inlineStr">
        <is>
          <t>30/09/2031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604</t>
        </is>
      </c>
      <c r="G707" s="39" t="n">
        <v>460000</v>
      </c>
      <c r="H707" s="39" t="n">
        <v>460000</v>
      </c>
      <c r="I707" t="inlineStr">
        <is>
          <t>Edificio</t>
        </is>
      </c>
      <c r="J707" t="inlineStr">
        <is>
          <t>A</t>
        </is>
      </c>
      <c r="K707" t="inlineStr">
        <is>
          <t>Estacionamiento</t>
        </is>
      </c>
      <c r="L707" t="inlineStr">
        <is>
          <t>E 11</t>
        </is>
      </c>
      <c r="M707" s="39" t="n">
        <v>47500</v>
      </c>
      <c r="N707" s="39" t="n">
        <v>47500</v>
      </c>
      <c r="O707" t="inlineStr">
        <is>
          <t>Edificio</t>
        </is>
      </c>
      <c r="P707" t="inlineStr">
        <is>
          <t>A</t>
        </is>
      </c>
      <c r="Q707" t="inlineStr">
        <is>
          <t>Depósito</t>
        </is>
      </c>
      <c r="R707" t="inlineStr">
        <is>
          <t>D 06</t>
        </is>
      </c>
      <c r="S707" s="39" t="n">
        <v>21700</v>
      </c>
      <c r="T707" s="39" t="n">
        <v>21700</v>
      </c>
      <c r="U707" t="inlineStr">
        <is>
          <t>Edificio</t>
        </is>
      </c>
      <c r="V707" t="inlineStr">
        <is>
          <t>A</t>
        </is>
      </c>
      <c r="W707" t="inlineStr">
        <is>
          <t>Depósito</t>
        </is>
      </c>
      <c r="X707" t="inlineStr">
        <is>
          <t>D 07</t>
        </is>
      </c>
      <c r="Y707" s="39" t="n">
        <v>9500</v>
      </c>
      <c r="Z707" s="39" t="n">
        <v>9500</v>
      </c>
      <c r="AA707" t="inlineStr">
        <is>
          <t>PABLO JAIME CORNEJO PEREDA</t>
        </is>
      </c>
      <c r="AB707" t="inlineStr">
        <is>
          <t>07763504</t>
        </is>
      </c>
      <c r="AC707" t="inlineStr">
        <is>
          <t>Lima - Lima - San Miguel - Jr. Simon Bolivar 105 Dpto 1201</t>
        </is>
      </c>
      <c r="AE707" t="inlineStr">
        <is>
          <t>998912031</t>
        </is>
      </c>
      <c r="AF707" t="inlineStr">
        <is>
          <t>pablocornejo@yahoo.com</t>
        </is>
      </c>
      <c r="AG707" t="inlineStr">
        <is>
          <t>LIMA</t>
        </is>
      </c>
      <c r="AH707" t="inlineStr">
        <is>
          <t>SAN MIGUEL</t>
        </is>
      </c>
      <c r="AI707" s="116" t="n">
        <v>46258.47361111111</v>
      </c>
      <c r="AJ707" s="116" t="n">
        <v>46004</v>
      </c>
      <c r="AK707" t="inlineStr">
        <is>
          <t>SALDO FINANCIAR</t>
        </is>
      </c>
      <c r="AL707" t="n">
        <v>8</v>
      </c>
      <c r="AM707" t="n">
        <v>0</v>
      </c>
      <c r="AN707" t="n">
        <v>0</v>
      </c>
      <c r="AO707" t="n">
        <v>0</v>
      </c>
      <c r="AP707" s="39" t="n">
        <v>0</v>
      </c>
      <c r="AQ707" s="39" t="n">
        <v>21168</v>
      </c>
      <c r="AR707" s="39" t="n">
        <v>0</v>
      </c>
      <c r="AS707" t="n">
        <v>0</v>
      </c>
      <c r="AT707" t="inlineStr">
        <is>
          <t>Crédito Directo</t>
        </is>
      </c>
      <c r="AU707" t="inlineStr">
        <is>
          <t>Banco de Credito del Perú</t>
        </is>
      </c>
      <c r="AV707" t="inlineStr">
        <is>
          <t>194-7325779-0-65</t>
        </is>
      </c>
      <c r="AW707" t="inlineStr">
        <is>
          <t>TRANSFERENCIA BANCARIA</t>
        </is>
      </c>
      <c r="AY707" t="inlineStr">
        <is>
          <t>0954794</t>
        </is>
      </c>
      <c r="AZ707" t="inlineStr">
        <is>
          <t>No</t>
        </is>
      </c>
      <c r="BB707" t="n">
        <v>4</v>
      </c>
      <c r="BC707" t="inlineStr">
        <is>
          <t>CANCELADO</t>
        </is>
      </c>
      <c r="BN707" t="inlineStr">
        <is>
          <t>Si</t>
        </is>
      </c>
      <c r="BO707" s="117" t="n">
        <v>45761.40694444445</v>
      </c>
      <c r="BP707" t="inlineStr">
        <is>
          <t>Magaly Guevara Perez</t>
        </is>
      </c>
      <c r="BR707" t="n">
        <v>38</v>
      </c>
      <c r="BS707" t="inlineStr">
        <is>
          <t>20/08/2026 08:18</t>
        </is>
      </c>
      <c r="BT707" t="n">
        <v>0</v>
      </c>
      <c r="BX707" t="inlineStr">
        <is>
          <t>Cobranzas_2026.csv</t>
        </is>
      </c>
      <c r="BY707" t="n">
        <v>2026</v>
      </c>
      <c r="BZ707" t="inlineStr">
        <is>
          <t>01/01/2024</t>
        </is>
      </c>
      <c r="CA707" t="inlineStr">
        <is>
          <t>30/09/2031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604</t>
        </is>
      </c>
      <c r="G708" s="39" t="n">
        <v>460000</v>
      </c>
      <c r="H708" s="39" t="n">
        <v>460000</v>
      </c>
      <c r="I708" t="inlineStr">
        <is>
          <t>Edificio</t>
        </is>
      </c>
      <c r="J708" t="inlineStr">
        <is>
          <t>A</t>
        </is>
      </c>
      <c r="K708" t="inlineStr">
        <is>
          <t>Estacionamiento</t>
        </is>
      </c>
      <c r="L708" t="inlineStr">
        <is>
          <t>E 11</t>
        </is>
      </c>
      <c r="M708" s="39" t="n">
        <v>47500</v>
      </c>
      <c r="N708" s="39" t="n">
        <v>47500</v>
      </c>
      <c r="O708" t="inlineStr">
        <is>
          <t>Edificio</t>
        </is>
      </c>
      <c r="P708" t="inlineStr">
        <is>
          <t>A</t>
        </is>
      </c>
      <c r="Q708" t="inlineStr">
        <is>
          <t>Depósito</t>
        </is>
      </c>
      <c r="R708" t="inlineStr">
        <is>
          <t>D 06</t>
        </is>
      </c>
      <c r="S708" s="39" t="n">
        <v>21700</v>
      </c>
      <c r="T708" s="39" t="n">
        <v>21700</v>
      </c>
      <c r="U708" t="inlineStr">
        <is>
          <t>Edificio</t>
        </is>
      </c>
      <c r="V708" t="inlineStr">
        <is>
          <t>A</t>
        </is>
      </c>
      <c r="W708" t="inlineStr">
        <is>
          <t>Depósito</t>
        </is>
      </c>
      <c r="X708" t="inlineStr">
        <is>
          <t>D 07</t>
        </is>
      </c>
      <c r="Y708" s="39" t="n">
        <v>9500</v>
      </c>
      <c r="Z708" s="39" t="n">
        <v>9500</v>
      </c>
      <c r="AA708" t="inlineStr">
        <is>
          <t>PABLO JAIME CORNEJO PEREDA</t>
        </is>
      </c>
      <c r="AB708" t="inlineStr">
        <is>
          <t>07763504</t>
        </is>
      </c>
      <c r="AC708" t="inlineStr">
        <is>
          <t>Lima - Lima - San Miguel - Jr. Simon Bolivar 105 Dpto 1201</t>
        </is>
      </c>
      <c r="AE708" t="inlineStr">
        <is>
          <t>998912031</t>
        </is>
      </c>
      <c r="AF708" t="inlineStr">
        <is>
          <t>pablocornejo@yahoo.com</t>
        </is>
      </c>
      <c r="AG708" t="inlineStr">
        <is>
          <t>LIMA</t>
        </is>
      </c>
      <c r="AH708" t="inlineStr">
        <is>
          <t>SAN MIGUEL</t>
        </is>
      </c>
      <c r="AI708" s="116" t="n">
        <v>46258.47361111111</v>
      </c>
      <c r="AJ708" s="116" t="n">
        <v>46004</v>
      </c>
      <c r="AK708" t="inlineStr">
        <is>
          <t>SALDO FINANCIAR</t>
        </is>
      </c>
      <c r="AL708" t="n">
        <v>8</v>
      </c>
      <c r="AM708" t="n">
        <v>0</v>
      </c>
      <c r="AN708" t="n">
        <v>0</v>
      </c>
      <c r="AO708" t="n">
        <v>0</v>
      </c>
      <c r="AP708" s="39" t="n">
        <v>0</v>
      </c>
      <c r="AQ708" s="39" t="n">
        <v>21168</v>
      </c>
      <c r="AR708" s="39" t="n">
        <v>0</v>
      </c>
      <c r="AS708" t="n">
        <v>0</v>
      </c>
      <c r="AT708" t="inlineStr">
        <is>
          <t>Crédito Directo</t>
        </is>
      </c>
      <c r="AU708" t="inlineStr">
        <is>
          <t>Banco de Credito del Perú</t>
        </is>
      </c>
      <c r="AV708" t="inlineStr">
        <is>
          <t>194-7325779-0-65</t>
        </is>
      </c>
      <c r="AW708" t="inlineStr">
        <is>
          <t>TRANSFERENCIA BANCARIA</t>
        </is>
      </c>
      <c r="AY708" t="inlineStr">
        <is>
          <t>0957377</t>
        </is>
      </c>
      <c r="AZ708" t="inlineStr">
        <is>
          <t>No</t>
        </is>
      </c>
      <c r="BB708" t="n">
        <v>4</v>
      </c>
      <c r="BC708" t="inlineStr">
        <is>
          <t>CANCELADO</t>
        </is>
      </c>
      <c r="BN708" t="inlineStr">
        <is>
          <t>Si</t>
        </is>
      </c>
      <c r="BO708" s="117" t="n">
        <v>45761.40694444445</v>
      </c>
      <c r="BP708" t="inlineStr">
        <is>
          <t>Magaly Guevara Perez</t>
        </is>
      </c>
      <c r="BR708" t="n">
        <v>38</v>
      </c>
      <c r="BS708" t="inlineStr">
        <is>
          <t>20/08/2026 08:18</t>
        </is>
      </c>
      <c r="BT708" t="n">
        <v>0</v>
      </c>
      <c r="BX708" t="inlineStr">
        <is>
          <t>Cobranzas_2026.csv</t>
        </is>
      </c>
      <c r="BY708" t="n">
        <v>2026</v>
      </c>
      <c r="BZ708" t="inlineStr">
        <is>
          <t>01/01/2024</t>
        </is>
      </c>
      <c r="CA708" t="inlineStr">
        <is>
          <t>30/09/2031</t>
        </is>
      </c>
    </row>
    <row r="709">
      <c r="A709" t="inlineStr">
        <is>
          <t>RESIDENCIAL BEYOND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604</t>
        </is>
      </c>
      <c r="G709" s="39" t="n">
        <v>460000</v>
      </c>
      <c r="H709" s="39" t="n">
        <v>460000</v>
      </c>
      <c r="I709" t="inlineStr">
        <is>
          <t>Edificio</t>
        </is>
      </c>
      <c r="J709" t="inlineStr">
        <is>
          <t>A</t>
        </is>
      </c>
      <c r="K709" t="inlineStr">
        <is>
          <t>Estacionamiento</t>
        </is>
      </c>
      <c r="L709" t="inlineStr">
        <is>
          <t>E 11</t>
        </is>
      </c>
      <c r="M709" s="39" t="n">
        <v>47500</v>
      </c>
      <c r="N709" s="39" t="n">
        <v>47500</v>
      </c>
      <c r="O709" t="inlineStr">
        <is>
          <t>Edificio</t>
        </is>
      </c>
      <c r="P709" t="inlineStr">
        <is>
          <t>A</t>
        </is>
      </c>
      <c r="Q709" t="inlineStr">
        <is>
          <t>Depósito</t>
        </is>
      </c>
      <c r="R709" t="inlineStr">
        <is>
          <t>D 06</t>
        </is>
      </c>
      <c r="S709" s="39" t="n">
        <v>21700</v>
      </c>
      <c r="T709" s="39" t="n">
        <v>21700</v>
      </c>
      <c r="U709" t="inlineStr">
        <is>
          <t>Edificio</t>
        </is>
      </c>
      <c r="V709" t="inlineStr">
        <is>
          <t>A</t>
        </is>
      </c>
      <c r="W709" t="inlineStr">
        <is>
          <t>Depósito</t>
        </is>
      </c>
      <c r="X709" t="inlineStr">
        <is>
          <t>D 07</t>
        </is>
      </c>
      <c r="Y709" s="39" t="n">
        <v>9500</v>
      </c>
      <c r="Z709" s="39" t="n">
        <v>9500</v>
      </c>
      <c r="AA709" t="inlineStr">
        <is>
          <t>PABLO JAIME CORNEJO PEREDA</t>
        </is>
      </c>
      <c r="AB709" t="inlineStr">
        <is>
          <t>07763504</t>
        </is>
      </c>
      <c r="AC709" t="inlineStr">
        <is>
          <t>Lima - Lima - San Miguel - Jr. Simon Bolivar 105 Dpto 1201</t>
        </is>
      </c>
      <c r="AE709" t="inlineStr">
        <is>
          <t>998912031</t>
        </is>
      </c>
      <c r="AF709" t="inlineStr">
        <is>
          <t>pablocornejo@yahoo.com</t>
        </is>
      </c>
      <c r="AG709" t="inlineStr">
        <is>
          <t>LIMA</t>
        </is>
      </c>
      <c r="AH709" t="inlineStr">
        <is>
          <t>SAN MIGUEL</t>
        </is>
      </c>
      <c r="AI709" s="116" t="n">
        <v>46258.47361111111</v>
      </c>
      <c r="AJ709" s="116" t="n">
        <v>46004</v>
      </c>
      <c r="AK709" t="inlineStr">
        <is>
          <t>SALDO FINANCIAR</t>
        </is>
      </c>
      <c r="AL709" t="n">
        <v>8</v>
      </c>
      <c r="AM709" t="n">
        <v>0</v>
      </c>
      <c r="AN709" t="n">
        <v>0</v>
      </c>
      <c r="AO709" t="n">
        <v>0</v>
      </c>
      <c r="AP709" s="39" t="n">
        <v>0</v>
      </c>
      <c r="AQ709" s="39" t="n">
        <v>21168</v>
      </c>
      <c r="AR709" s="39" t="n">
        <v>0</v>
      </c>
      <c r="AS709" t="n">
        <v>0</v>
      </c>
      <c r="AT709" t="inlineStr">
        <is>
          <t>Crédito Directo</t>
        </is>
      </c>
      <c r="AU709" t="inlineStr">
        <is>
          <t>Banco de Credito del Perú</t>
        </is>
      </c>
      <c r="AV709" t="inlineStr">
        <is>
          <t>194-7325779-0-65</t>
        </is>
      </c>
      <c r="AW709" t="inlineStr">
        <is>
          <t>TRANSFERENCIA BANCARIA</t>
        </is>
      </c>
      <c r="AY709" t="inlineStr">
        <is>
          <t>0959126</t>
        </is>
      </c>
      <c r="AZ709" t="inlineStr">
        <is>
          <t>No</t>
        </is>
      </c>
      <c r="BB709" t="n">
        <v>4</v>
      </c>
      <c r="BC709" t="inlineStr">
        <is>
          <t>CANCELADO</t>
        </is>
      </c>
      <c r="BN709" t="inlineStr">
        <is>
          <t>Si</t>
        </is>
      </c>
      <c r="BO709" s="117" t="n">
        <v>45761.40694444445</v>
      </c>
      <c r="BP709" t="inlineStr">
        <is>
          <t>Magaly Guevara Perez</t>
        </is>
      </c>
      <c r="BR709" t="n">
        <v>38</v>
      </c>
      <c r="BS709" t="inlineStr">
        <is>
          <t>20/08/2026 08:19</t>
        </is>
      </c>
      <c r="BT709" t="n">
        <v>0</v>
      </c>
      <c r="BX709" t="inlineStr">
        <is>
          <t>Cobranzas_2026.csv</t>
        </is>
      </c>
      <c r="BY709" t="n">
        <v>2026</v>
      </c>
      <c r="BZ709" t="inlineStr">
        <is>
          <t>01/01/2024</t>
        </is>
      </c>
      <c r="CA709" t="inlineStr">
        <is>
          <t>30/09/2031</t>
        </is>
      </c>
    </row>
    <row r="710">
      <c r="A710" t="inlineStr">
        <is>
          <t>RESIDENCIAL BEYOND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604</t>
        </is>
      </c>
      <c r="G710" s="39" t="n">
        <v>460000</v>
      </c>
      <c r="H710" s="39" t="n">
        <v>460000</v>
      </c>
      <c r="I710" t="inlineStr">
        <is>
          <t>Edificio</t>
        </is>
      </c>
      <c r="J710" t="inlineStr">
        <is>
          <t>A</t>
        </is>
      </c>
      <c r="K710" t="inlineStr">
        <is>
          <t>Estacionamiento</t>
        </is>
      </c>
      <c r="L710" t="inlineStr">
        <is>
          <t>E 11</t>
        </is>
      </c>
      <c r="M710" s="39" t="n">
        <v>47500</v>
      </c>
      <c r="N710" s="39" t="n">
        <v>47500</v>
      </c>
      <c r="O710" t="inlineStr">
        <is>
          <t>Edificio</t>
        </is>
      </c>
      <c r="P710" t="inlineStr">
        <is>
          <t>A</t>
        </is>
      </c>
      <c r="Q710" t="inlineStr">
        <is>
          <t>Depósito</t>
        </is>
      </c>
      <c r="R710" t="inlineStr">
        <is>
          <t>D 06</t>
        </is>
      </c>
      <c r="S710" s="39" t="n">
        <v>21700</v>
      </c>
      <c r="T710" s="39" t="n">
        <v>21700</v>
      </c>
      <c r="U710" t="inlineStr">
        <is>
          <t>Edificio</t>
        </is>
      </c>
      <c r="V710" t="inlineStr">
        <is>
          <t>A</t>
        </is>
      </c>
      <c r="W710" t="inlineStr">
        <is>
          <t>Depósito</t>
        </is>
      </c>
      <c r="X710" t="inlineStr">
        <is>
          <t>D 07</t>
        </is>
      </c>
      <c r="Y710" s="39" t="n">
        <v>9500</v>
      </c>
      <c r="Z710" s="39" t="n">
        <v>9500</v>
      </c>
      <c r="AA710" t="inlineStr">
        <is>
          <t>PABLO JAIME CORNEJO PEREDA</t>
        </is>
      </c>
      <c r="AB710" t="inlineStr">
        <is>
          <t>07763504</t>
        </is>
      </c>
      <c r="AC710" t="inlineStr">
        <is>
          <t>Lima - Lima - San Miguel - Jr. Simon Bolivar 105 Dpto 1201</t>
        </is>
      </c>
      <c r="AE710" t="inlineStr">
        <is>
          <t>998912031</t>
        </is>
      </c>
      <c r="AF710" t="inlineStr">
        <is>
          <t>pablocornejo@yahoo.com</t>
        </is>
      </c>
      <c r="AG710" t="inlineStr">
        <is>
          <t>LIMA</t>
        </is>
      </c>
      <c r="AH710" t="inlineStr">
        <is>
          <t>SAN MIGUEL</t>
        </is>
      </c>
      <c r="AI710" s="116" t="n">
        <v>46258.47361111111</v>
      </c>
      <c r="AJ710" s="116" t="n">
        <v>46141</v>
      </c>
      <c r="AK710" t="inlineStr">
        <is>
          <t>SALDO FINANCIAR</t>
        </is>
      </c>
      <c r="AL710" t="n">
        <v>8</v>
      </c>
      <c r="AM710" t="n">
        <v>0</v>
      </c>
      <c r="AN710" t="n">
        <v>0</v>
      </c>
      <c r="AO710" t="n">
        <v>0</v>
      </c>
      <c r="AP710" s="39" t="n">
        <v>0</v>
      </c>
      <c r="AQ710" s="39" t="n">
        <v>21168</v>
      </c>
      <c r="AR710" s="39" t="n">
        <v>0</v>
      </c>
      <c r="AS710" t="n">
        <v>0</v>
      </c>
      <c r="AT710" t="inlineStr">
        <is>
          <t>Crédito Directo</t>
        </is>
      </c>
      <c r="AU710" t="inlineStr">
        <is>
          <t>Banco de Credito del Perú</t>
        </is>
      </c>
      <c r="AV710" t="inlineStr">
        <is>
          <t>194-7325779-0-65</t>
        </is>
      </c>
      <c r="AW710" t="inlineStr">
        <is>
          <t>TRANSFERENCIA BANCARIA</t>
        </is>
      </c>
      <c r="AY710" t="inlineStr">
        <is>
          <t>0449934</t>
        </is>
      </c>
      <c r="AZ710" t="inlineStr">
        <is>
          <t>No</t>
        </is>
      </c>
      <c r="BB710" t="n">
        <v>4</v>
      </c>
      <c r="BC710" t="inlineStr">
        <is>
          <t>CANCELADO</t>
        </is>
      </c>
      <c r="BN710" t="inlineStr">
        <is>
          <t>Si</t>
        </is>
      </c>
      <c r="BO710" s="117" t="n">
        <v>45761.40694444445</v>
      </c>
      <c r="BP710" t="inlineStr">
        <is>
          <t>Magaly Guevara Perez</t>
        </is>
      </c>
      <c r="BR710" t="n">
        <v>38</v>
      </c>
      <c r="BS710" t="inlineStr">
        <is>
          <t>20/08/2026 08:19</t>
        </is>
      </c>
      <c r="BT710" t="n">
        <v>0</v>
      </c>
      <c r="BX710" t="inlineStr">
        <is>
          <t>Cobranzas_2026.csv</t>
        </is>
      </c>
      <c r="BY710" t="n">
        <v>2026</v>
      </c>
      <c r="BZ710" t="inlineStr">
        <is>
          <t>01/01/2024</t>
        </is>
      </c>
      <c r="CA710" t="inlineStr">
        <is>
          <t>30/09/2031</t>
        </is>
      </c>
    </row>
    <row r="711">
      <c r="A711" t="inlineStr">
        <is>
          <t>RESIDENCIAL BEYOND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604</t>
        </is>
      </c>
      <c r="G711" s="39" t="n">
        <v>460000</v>
      </c>
      <c r="H711" s="39" t="n">
        <v>460000</v>
      </c>
      <c r="I711" t="inlineStr">
        <is>
          <t>Edificio</t>
        </is>
      </c>
      <c r="J711" t="inlineStr">
        <is>
          <t>A</t>
        </is>
      </c>
      <c r="K711" t="inlineStr">
        <is>
          <t>Estacionamiento</t>
        </is>
      </c>
      <c r="L711" t="inlineStr">
        <is>
          <t>E 11</t>
        </is>
      </c>
      <c r="M711" s="39" t="n">
        <v>47500</v>
      </c>
      <c r="N711" s="39" t="n">
        <v>47500</v>
      </c>
      <c r="O711" t="inlineStr">
        <is>
          <t>Edificio</t>
        </is>
      </c>
      <c r="P711" t="inlineStr">
        <is>
          <t>A</t>
        </is>
      </c>
      <c r="Q711" t="inlineStr">
        <is>
          <t>Depósito</t>
        </is>
      </c>
      <c r="R711" t="inlineStr">
        <is>
          <t>D 06</t>
        </is>
      </c>
      <c r="S711" s="39" t="n">
        <v>21700</v>
      </c>
      <c r="T711" s="39" t="n">
        <v>21700</v>
      </c>
      <c r="U711" t="inlineStr">
        <is>
          <t>Edificio</t>
        </is>
      </c>
      <c r="V711" t="inlineStr">
        <is>
          <t>A</t>
        </is>
      </c>
      <c r="W711" t="inlineStr">
        <is>
          <t>Depósito</t>
        </is>
      </c>
      <c r="X711" t="inlineStr">
        <is>
          <t>D 07</t>
        </is>
      </c>
      <c r="Y711" s="39" t="n">
        <v>9500</v>
      </c>
      <c r="Z711" s="39" t="n">
        <v>9500</v>
      </c>
      <c r="AA711" t="inlineStr">
        <is>
          <t>PABLO JAIME CORNEJO PEREDA</t>
        </is>
      </c>
      <c r="AB711" t="inlineStr">
        <is>
          <t>07763504</t>
        </is>
      </c>
      <c r="AC711" t="inlineStr">
        <is>
          <t>Lima - Lima - San Miguel - Jr. Simon Bolivar 105 Dpto 1201</t>
        </is>
      </c>
      <c r="AE711" t="inlineStr">
        <is>
          <t>998912031</t>
        </is>
      </c>
      <c r="AF711" t="inlineStr">
        <is>
          <t>pablocornejo@yahoo.com</t>
        </is>
      </c>
      <c r="AG711" t="inlineStr">
        <is>
          <t>LIMA</t>
        </is>
      </c>
      <c r="AH711" t="inlineStr">
        <is>
          <t>SAN MIGUEL</t>
        </is>
      </c>
      <c r="AI711" s="116" t="n">
        <v>46387</v>
      </c>
      <c r="AJ711" s="116" t="n"/>
      <c r="AK711" t="inlineStr">
        <is>
          <t>SALDO FINANCIAR</t>
        </is>
      </c>
      <c r="AL711" t="n">
        <v>9</v>
      </c>
      <c r="AM711" t="n">
        <v>10584</v>
      </c>
      <c r="AN711" t="n">
        <v>0</v>
      </c>
      <c r="AO711" t="n">
        <v>0</v>
      </c>
      <c r="AP711" s="39" t="n">
        <v>10584</v>
      </c>
      <c r="AQ711" s="39" t="n">
        <v>0</v>
      </c>
      <c r="AR711" s="39" t="n">
        <v>10584</v>
      </c>
      <c r="AT711" t="inlineStr">
        <is>
          <t>Crédito Directo</t>
        </is>
      </c>
      <c r="AZ711" t="inlineStr">
        <is>
          <t>No</t>
        </is>
      </c>
      <c r="BC711" t="inlineStr">
        <is>
          <t>PENDIENTE</t>
        </is>
      </c>
      <c r="BN711" t="inlineStr">
        <is>
          <t>No</t>
        </is>
      </c>
      <c r="BO711" s="117" t="n">
        <v>45761.40694444445</v>
      </c>
      <c r="BP711" t="inlineStr">
        <is>
          <t>Magaly Guevara Perez</t>
        </is>
      </c>
      <c r="BR711" t="n">
        <v>38</v>
      </c>
      <c r="BT711" t="n">
        <v>0</v>
      </c>
      <c r="BX711" t="inlineStr">
        <is>
          <t>Cobranzas_2026.csv</t>
        </is>
      </c>
      <c r="BY711" t="n">
        <v>2026</v>
      </c>
      <c r="BZ711" t="inlineStr">
        <is>
          <t>01/01/2024</t>
        </is>
      </c>
      <c r="CA711" t="inlineStr">
        <is>
          <t>30/09/2031</t>
        </is>
      </c>
    </row>
    <row r="712">
      <c r="A712" t="inlineStr">
        <is>
          <t>RESIDENCIAL VENECIA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302</t>
        </is>
      </c>
      <c r="G712" s="39" t="n">
        <v>623000</v>
      </c>
      <c r="H712" s="39" t="n">
        <v>600000</v>
      </c>
      <c r="M712" s="39" t="n"/>
      <c r="N712" s="39" t="n"/>
      <c r="S712" s="39" t="n"/>
      <c r="T712" s="39" t="n"/>
      <c r="Y712" s="39" t="n"/>
      <c r="Z712" s="39" t="n"/>
      <c r="AA712" t="inlineStr">
        <is>
          <t>Patricia Salazar Aparcana</t>
        </is>
      </c>
      <c r="AB712" t="inlineStr">
        <is>
          <t>10142891</t>
        </is>
      </c>
      <c r="AC712" t="inlineStr">
        <is>
          <t xml:space="preserve"> Jr. Manco segundo 2258 dpto 207</t>
        </is>
      </c>
      <c r="AD712" t="n">
        <v>0</v>
      </c>
      <c r="AE712" t="inlineStr">
        <is>
          <t>996611448</t>
        </is>
      </c>
      <c r="AF712" t="inlineStr">
        <is>
          <t>PATRICIASALAZAR25@HOTMAIL.COM</t>
        </is>
      </c>
      <c r="AG712" t="inlineStr">
        <is>
          <t>LIMA</t>
        </is>
      </c>
      <c r="AH712" t="inlineStr">
        <is>
          <t>LINCE</t>
        </is>
      </c>
      <c r="AI712" s="116" t="n">
        <v>46109</v>
      </c>
      <c r="AJ712" s="116" t="n">
        <v>46070</v>
      </c>
      <c r="AK712" t="inlineStr">
        <is>
          <t>SEPARACION</t>
        </is>
      </c>
      <c r="AL712" t="n">
        <v>1</v>
      </c>
      <c r="AM712" t="n">
        <v>3000</v>
      </c>
      <c r="AN712" t="n">
        <v>0</v>
      </c>
      <c r="AO712" t="n">
        <v>0</v>
      </c>
      <c r="AP712" s="39" t="n">
        <v>3000</v>
      </c>
      <c r="AQ712" s="39" t="n">
        <v>3000</v>
      </c>
      <c r="AR712" s="39" t="n">
        <v>0</v>
      </c>
      <c r="AS712" t="n">
        <v>0</v>
      </c>
      <c r="AT712" t="inlineStr">
        <is>
          <t>Ahorro</t>
        </is>
      </c>
      <c r="AU712" t="inlineStr">
        <is>
          <t>Scotiabank Perú</t>
        </is>
      </c>
      <c r="AV712" t="inlineStr">
        <is>
          <t>0004071419</t>
        </is>
      </c>
      <c r="AW712" t="inlineStr">
        <is>
          <t>POS VISA</t>
        </is>
      </c>
      <c r="AY712" t="inlineStr">
        <is>
          <t>575319</t>
        </is>
      </c>
      <c r="AZ712" t="inlineStr">
        <is>
          <t>Si</t>
        </is>
      </c>
      <c r="BA712" t="inlineStr">
        <is>
          <t>AHORROS PERSONALES</t>
        </is>
      </c>
      <c r="BB712" t="n">
        <v>4</v>
      </c>
      <c r="BC712" t="inlineStr">
        <is>
          <t>CANCELADO</t>
        </is>
      </c>
      <c r="BN712" t="inlineStr">
        <is>
          <t>Si</t>
        </is>
      </c>
      <c r="BO712" s="117" t="n">
        <v>46081.33819444444</v>
      </c>
      <c r="BP712" t="inlineStr">
        <is>
          <t>Magaly Guevara Perez</t>
        </is>
      </c>
      <c r="BR712" t="n">
        <v>1</v>
      </c>
      <c r="BS712" t="inlineStr">
        <is>
          <t>28/03/2026 21:25</t>
        </is>
      </c>
      <c r="BT712" t="n">
        <v>0</v>
      </c>
      <c r="BX712" t="inlineStr">
        <is>
          <t>Cobranzas_2026.csv</t>
        </is>
      </c>
      <c r="BY712" t="n">
        <v>2026</v>
      </c>
      <c r="BZ712" t="inlineStr">
        <is>
          <t>01/01/2024</t>
        </is>
      </c>
      <c r="CA712" t="inlineStr">
        <is>
          <t>30/09/2031</t>
        </is>
      </c>
    </row>
    <row r="713">
      <c r="A713" t="inlineStr">
        <is>
          <t>RESIDENCIAL VENECIA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302</t>
        </is>
      </c>
      <c r="G713" s="39" t="n">
        <v>623000</v>
      </c>
      <c r="H713" s="39" t="n">
        <v>600000</v>
      </c>
      <c r="M713" s="39" t="n"/>
      <c r="N713" s="39" t="n"/>
      <c r="S713" s="39" t="n"/>
      <c r="T713" s="39" t="n"/>
      <c r="Y713" s="39" t="n"/>
      <c r="Z713" s="39" t="n"/>
      <c r="AA713" t="inlineStr">
        <is>
          <t>Patricia Salazar Aparcana</t>
        </is>
      </c>
      <c r="AB713" t="inlineStr">
        <is>
          <t>10142891</t>
        </is>
      </c>
      <c r="AC713" t="inlineStr">
        <is>
          <t xml:space="preserve"> Jr. Manco segundo 2258 dpto 207</t>
        </is>
      </c>
      <c r="AD713" t="n">
        <v>0</v>
      </c>
      <c r="AE713" t="inlineStr">
        <is>
          <t>996611448</t>
        </is>
      </c>
      <c r="AF713" t="inlineStr">
        <is>
          <t>PATRICIASALAZAR25@HOTMAIL.COM</t>
        </is>
      </c>
      <c r="AG713" t="inlineStr">
        <is>
          <t>LIMA</t>
        </is>
      </c>
      <c r="AH713" t="inlineStr">
        <is>
          <t>LINCE</t>
        </is>
      </c>
      <c r="AI713" s="116" t="n">
        <v>46081</v>
      </c>
      <c r="AJ713" s="116" t="n">
        <v>46081</v>
      </c>
      <c r="AK713" t="inlineStr">
        <is>
          <t>CUOTA INICIAL</t>
        </is>
      </c>
      <c r="AL713" t="n">
        <v>1</v>
      </c>
      <c r="AM713" t="n">
        <v>10000</v>
      </c>
      <c r="AN713" t="n">
        <v>0</v>
      </c>
      <c r="AO713" t="n">
        <v>0</v>
      </c>
      <c r="AP713" s="39" t="n">
        <v>10000</v>
      </c>
      <c r="AQ713" s="39" t="n">
        <v>10000</v>
      </c>
      <c r="AR713" s="39" t="n">
        <v>0</v>
      </c>
      <c r="AS713" t="n">
        <v>0</v>
      </c>
      <c r="AT713" t="inlineStr">
        <is>
          <t>Ahorro</t>
        </is>
      </c>
      <c r="AU713" t="inlineStr">
        <is>
          <t>Scotiabank Perú</t>
        </is>
      </c>
      <c r="AV713" t="inlineStr">
        <is>
          <t>0004071419</t>
        </is>
      </c>
      <c r="AW713" t="inlineStr">
        <is>
          <t>TRANSFERENCIA BANCARIA</t>
        </is>
      </c>
      <c r="AY713" t="inlineStr">
        <is>
          <t>00378339</t>
        </is>
      </c>
      <c r="AZ713" t="inlineStr">
        <is>
          <t>No</t>
        </is>
      </c>
      <c r="BA713" t="inlineStr">
        <is>
          <t>AHORROS PERSONALES</t>
        </is>
      </c>
      <c r="BB713" t="n">
        <v>4</v>
      </c>
      <c r="BC713" t="inlineStr">
        <is>
          <t>CANCELADO</t>
        </is>
      </c>
      <c r="BN713" t="inlineStr">
        <is>
          <t>Si</t>
        </is>
      </c>
      <c r="BO713" s="117" t="n">
        <v>46081.33819444444</v>
      </c>
      <c r="BP713" t="inlineStr">
        <is>
          <t>Magaly Guevara Perez</t>
        </is>
      </c>
      <c r="BR713" t="n">
        <v>1</v>
      </c>
      <c r="BS713" t="inlineStr">
        <is>
          <t>29/03/2026 17:29</t>
        </is>
      </c>
      <c r="BT713" t="n">
        <v>0</v>
      </c>
      <c r="BX713" t="inlineStr">
        <is>
          <t>Cobranzas_2026.csv</t>
        </is>
      </c>
      <c r="BY713" t="n">
        <v>2026</v>
      </c>
      <c r="BZ713" t="inlineStr">
        <is>
          <t>01/01/2024</t>
        </is>
      </c>
      <c r="CA713" t="inlineStr">
        <is>
          <t>30/09/2031</t>
        </is>
      </c>
    </row>
    <row r="714">
      <c r="A714" t="inlineStr">
        <is>
          <t>RESIDENCIAL VENECIA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302</t>
        </is>
      </c>
      <c r="G714" s="39" t="n">
        <v>623000</v>
      </c>
      <c r="H714" s="39" t="n">
        <v>600000</v>
      </c>
      <c r="M714" s="39" t="n"/>
      <c r="N714" s="39" t="n"/>
      <c r="S714" s="39" t="n"/>
      <c r="T714" s="39" t="n"/>
      <c r="Y714" s="39" t="n"/>
      <c r="Z714" s="39" t="n"/>
      <c r="AA714" t="inlineStr">
        <is>
          <t>Patricia Salazar Aparcana</t>
        </is>
      </c>
      <c r="AB714" t="inlineStr">
        <is>
          <t>10142891</t>
        </is>
      </c>
      <c r="AC714" t="inlineStr">
        <is>
          <t xml:space="preserve"> Jr. Manco segundo 2258 dpto 207</t>
        </is>
      </c>
      <c r="AD714" t="n">
        <v>0</v>
      </c>
      <c r="AE714" t="inlineStr">
        <is>
          <t>996611448</t>
        </is>
      </c>
      <c r="AF714" t="inlineStr">
        <is>
          <t>PATRICIASALAZAR25@HOTMAIL.COM</t>
        </is>
      </c>
      <c r="AG714" t="inlineStr">
        <is>
          <t>LIMA</t>
        </is>
      </c>
      <c r="AH714" t="inlineStr">
        <is>
          <t>LINCE</t>
        </is>
      </c>
      <c r="AI714" s="116" t="n">
        <v>46109</v>
      </c>
      <c r="AJ714" s="116" t="n">
        <v>46109</v>
      </c>
      <c r="AK714" t="inlineStr">
        <is>
          <t>CUOTA INICIAL</t>
        </is>
      </c>
      <c r="AL714" t="n">
        <v>2</v>
      </c>
      <c r="AM714" t="n">
        <v>7000</v>
      </c>
      <c r="AN714" t="n">
        <v>0</v>
      </c>
      <c r="AO714" t="n">
        <v>0</v>
      </c>
      <c r="AP714" s="39" t="n">
        <v>7000</v>
      </c>
      <c r="AQ714" s="39" t="n">
        <v>7000</v>
      </c>
      <c r="AR714" s="39" t="n">
        <v>0</v>
      </c>
      <c r="AS714" t="n">
        <v>0</v>
      </c>
      <c r="AT714" t="inlineStr">
        <is>
          <t>Ahorro</t>
        </is>
      </c>
      <c r="AU714" t="inlineStr">
        <is>
          <t>Scotiabank Perú</t>
        </is>
      </c>
      <c r="AV714" t="inlineStr">
        <is>
          <t>0004071419</t>
        </is>
      </c>
      <c r="AW714" t="inlineStr">
        <is>
          <t>TRANSFERENCIA BANCARIA</t>
        </is>
      </c>
      <c r="AY714" t="inlineStr">
        <is>
          <t>00602289</t>
        </is>
      </c>
      <c r="AZ714" t="inlineStr">
        <is>
          <t>Si</t>
        </is>
      </c>
      <c r="BA714" t="inlineStr">
        <is>
          <t>AHORROS PERSONALES</t>
        </is>
      </c>
      <c r="BB714" t="n">
        <v>4</v>
      </c>
      <c r="BC714" t="inlineStr">
        <is>
          <t>CANCELADO</t>
        </is>
      </c>
      <c r="BN714" t="inlineStr">
        <is>
          <t>Si</t>
        </is>
      </c>
      <c r="BO714" s="117" t="n">
        <v>46081.33819444444</v>
      </c>
      <c r="BP714" t="inlineStr">
        <is>
          <t>Magaly Guevara Perez</t>
        </is>
      </c>
      <c r="BR714" t="n">
        <v>1</v>
      </c>
      <c r="BS714" t="inlineStr">
        <is>
          <t>29/03/2026 17:40</t>
        </is>
      </c>
      <c r="BT714" t="n">
        <v>0</v>
      </c>
      <c r="BX714" t="inlineStr">
        <is>
          <t>Cobranzas_2026.csv</t>
        </is>
      </c>
      <c r="BY714" t="n">
        <v>2026</v>
      </c>
      <c r="BZ714" t="inlineStr">
        <is>
          <t>01/01/2024</t>
        </is>
      </c>
      <c r="CA714" t="inlineStr">
        <is>
          <t>30/09/2031</t>
        </is>
      </c>
    </row>
    <row r="715">
      <c r="A715" t="inlineStr">
        <is>
          <t>RESIDENCIAL VENECIA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302</t>
        </is>
      </c>
      <c r="G715" s="39" t="n">
        <v>623000</v>
      </c>
      <c r="H715" s="39" t="n">
        <v>600000</v>
      </c>
      <c r="M715" s="39" t="n"/>
      <c r="N715" s="39" t="n"/>
      <c r="S715" s="39" t="n"/>
      <c r="T715" s="39" t="n"/>
      <c r="Y715" s="39" t="n"/>
      <c r="Z715" s="39" t="n"/>
      <c r="AA715" t="inlineStr">
        <is>
          <t>Patricia Salazar Aparcana</t>
        </is>
      </c>
      <c r="AB715" t="inlineStr">
        <is>
          <t>10142891</t>
        </is>
      </c>
      <c r="AC715" t="inlineStr">
        <is>
          <t xml:space="preserve"> Jr. Manco segundo 2258 dpto 207</t>
        </is>
      </c>
      <c r="AD715" t="n">
        <v>0</v>
      </c>
      <c r="AE715" t="inlineStr">
        <is>
          <t>996611448</t>
        </is>
      </c>
      <c r="AF715" t="inlineStr">
        <is>
          <t>PATRICIASALAZAR25@HOTMAIL.COM</t>
        </is>
      </c>
      <c r="AG715" t="inlineStr">
        <is>
          <t>LIMA</t>
        </is>
      </c>
      <c r="AH715" t="inlineStr">
        <is>
          <t>LINCE</t>
        </is>
      </c>
      <c r="AI715" s="116" t="n">
        <v>46201</v>
      </c>
      <c r="AJ715" s="116" t="n"/>
      <c r="AK715" t="inlineStr">
        <is>
          <t>CUOTA INICIAL</t>
        </is>
      </c>
      <c r="AL715" t="n">
        <v>3</v>
      </c>
      <c r="AM715" t="n">
        <v>10000</v>
      </c>
      <c r="AN715" t="n">
        <v>0</v>
      </c>
      <c r="AO715" t="n">
        <v>0</v>
      </c>
      <c r="AP715" s="39" t="n">
        <v>10000</v>
      </c>
      <c r="AQ715" s="39" t="n">
        <v>0</v>
      </c>
      <c r="AR715" s="39" t="n">
        <v>10000</v>
      </c>
      <c r="AT715" t="inlineStr">
        <is>
          <t>Ahorro</t>
        </is>
      </c>
      <c r="AZ715" t="inlineStr">
        <is>
          <t>No</t>
        </is>
      </c>
      <c r="BC715" t="inlineStr">
        <is>
          <t>VENCIDO</t>
        </is>
      </c>
      <c r="BN715" t="inlineStr">
        <is>
          <t>No</t>
        </is>
      </c>
      <c r="BO715" s="117" t="n">
        <v>46081.33819444444</v>
      </c>
      <c r="BP715" t="inlineStr">
        <is>
          <t>Magaly Guevara Perez</t>
        </is>
      </c>
      <c r="BR715" t="n">
        <v>1</v>
      </c>
      <c r="BT715" t="n">
        <v>0</v>
      </c>
      <c r="BX715" t="inlineStr">
        <is>
          <t>Cobranzas_2026.csv</t>
        </is>
      </c>
      <c r="BY715" t="n">
        <v>2026</v>
      </c>
      <c r="BZ715" t="inlineStr">
        <is>
          <t>01/01/2024</t>
        </is>
      </c>
      <c r="CA715" t="inlineStr">
        <is>
          <t>30/09/2031</t>
        </is>
      </c>
    </row>
    <row r="716">
      <c r="A716" t="inlineStr">
        <is>
          <t>RESIDENCIAL VENECIA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302</t>
        </is>
      </c>
      <c r="G716" s="39" t="n">
        <v>623000</v>
      </c>
      <c r="H716" s="39" t="n">
        <v>600000</v>
      </c>
      <c r="M716" s="39" t="n"/>
      <c r="N716" s="39" t="n"/>
      <c r="S716" s="39" t="n"/>
      <c r="T716" s="39" t="n"/>
      <c r="Y716" s="39" t="n"/>
      <c r="Z716" s="39" t="n"/>
      <c r="AA716" t="inlineStr">
        <is>
          <t>Patricia Salazar Aparcana</t>
        </is>
      </c>
      <c r="AB716" t="inlineStr">
        <is>
          <t>10142891</t>
        </is>
      </c>
      <c r="AC716" t="inlineStr">
        <is>
          <t xml:space="preserve"> Jr. Manco segundo 2258 dpto 207</t>
        </is>
      </c>
      <c r="AD716" t="n">
        <v>0</v>
      </c>
      <c r="AE716" t="inlineStr">
        <is>
          <t>996611448</t>
        </is>
      </c>
      <c r="AF716" t="inlineStr">
        <is>
          <t>PATRICIASALAZAR25@HOTMAIL.COM</t>
        </is>
      </c>
      <c r="AG716" t="inlineStr">
        <is>
          <t>LIMA</t>
        </is>
      </c>
      <c r="AH716" t="inlineStr">
        <is>
          <t>LINCE</t>
        </is>
      </c>
      <c r="AI716" s="116" t="n">
        <v>46265</v>
      </c>
      <c r="AJ716" s="116" t="n"/>
      <c r="AK716" t="inlineStr">
        <is>
          <t>CUOTA INICIAL</t>
        </is>
      </c>
      <c r="AL716" t="n">
        <v>4</v>
      </c>
      <c r="AM716" t="n">
        <v>30000</v>
      </c>
      <c r="AN716" t="n">
        <v>0</v>
      </c>
      <c r="AO716" t="n">
        <v>0</v>
      </c>
      <c r="AP716" s="39" t="n">
        <v>30000</v>
      </c>
      <c r="AQ716" s="39" t="n">
        <v>0</v>
      </c>
      <c r="AR716" s="39" t="n">
        <v>30000</v>
      </c>
      <c r="AT716" t="inlineStr">
        <is>
          <t>Ahorro</t>
        </is>
      </c>
      <c r="AZ716" t="inlineStr">
        <is>
          <t>No</t>
        </is>
      </c>
      <c r="BC716" t="inlineStr">
        <is>
          <t>VENCIDO</t>
        </is>
      </c>
      <c r="BN716" t="inlineStr">
        <is>
          <t>No</t>
        </is>
      </c>
      <c r="BO716" s="117" t="n">
        <v>46081.33819444444</v>
      </c>
      <c r="BP716" t="inlineStr">
        <is>
          <t>Magaly Guevara Perez</t>
        </is>
      </c>
      <c r="BR716" t="n">
        <v>1</v>
      </c>
      <c r="BT716" t="n">
        <v>0</v>
      </c>
      <c r="BX716" t="inlineStr">
        <is>
          <t>Cobranzas_2026.csv</t>
        </is>
      </c>
      <c r="BY716" t="n">
        <v>2026</v>
      </c>
      <c r="BZ716" t="inlineStr">
        <is>
          <t>01/01/2024</t>
        </is>
      </c>
      <c r="CA716" t="inlineStr">
        <is>
          <t>30/09/2031</t>
        </is>
      </c>
    </row>
    <row r="717">
      <c r="A717" t="inlineStr">
        <is>
          <t>RESIDENCIAL VENECIA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Estacionamiento</t>
        </is>
      </c>
      <c r="F717" t="inlineStr">
        <is>
          <t>E 25 - D 8</t>
        </is>
      </c>
      <c r="G717" s="39" t="n">
        <v>50800</v>
      </c>
      <c r="H717" s="39" t="n">
        <v>50800</v>
      </c>
      <c r="M717" s="39" t="n"/>
      <c r="N717" s="39" t="n"/>
      <c r="S717" s="39" t="n"/>
      <c r="T717" s="39" t="n"/>
      <c r="Y717" s="39" t="n"/>
      <c r="Z717" s="39" t="n"/>
      <c r="AA717" t="inlineStr">
        <is>
          <t>Patricia Salazar Aparcana</t>
        </is>
      </c>
      <c r="AB717" t="inlineStr">
        <is>
          <t>10142891</t>
        </is>
      </c>
      <c r="AC717" t="inlineStr">
        <is>
          <t xml:space="preserve"> Jr. Manco segundo 2258 dpto 207</t>
        </is>
      </c>
      <c r="AD717" t="n">
        <v>0</v>
      </c>
      <c r="AE717" t="inlineStr">
        <is>
          <t>996611448</t>
        </is>
      </c>
      <c r="AF717" t="inlineStr">
        <is>
          <t>PATRICIASALAZAR25@HOTMAIL.COM</t>
        </is>
      </c>
      <c r="AG717" t="inlineStr">
        <is>
          <t>LIMA</t>
        </is>
      </c>
      <c r="AH717" t="inlineStr">
        <is>
          <t>LINCE</t>
        </is>
      </c>
      <c r="AI717" s="116" t="n">
        <v>46187</v>
      </c>
      <c r="AJ717" s="116" t="n">
        <v>46187</v>
      </c>
      <c r="AK717" t="inlineStr">
        <is>
          <t>SEPARACION</t>
        </is>
      </c>
      <c r="AL717" t="n">
        <v>1</v>
      </c>
      <c r="AM717" t="n">
        <v>3000</v>
      </c>
      <c r="AN717" t="n">
        <v>0</v>
      </c>
      <c r="AO717" t="n">
        <v>0</v>
      </c>
      <c r="AP717" s="39" t="n">
        <v>3000</v>
      </c>
      <c r="AQ717" s="39" t="n">
        <v>3000</v>
      </c>
      <c r="AR717" s="39" t="n">
        <v>0</v>
      </c>
      <c r="AS717" t="n">
        <v>0</v>
      </c>
      <c r="AT717" t="inlineStr">
        <is>
          <t>Crédito Directo</t>
        </is>
      </c>
      <c r="AU717" t="inlineStr">
        <is>
          <t>Scotiabank Perú</t>
        </is>
      </c>
      <c r="AV717" t="inlineStr">
        <is>
          <t>0004071419</t>
        </is>
      </c>
      <c r="AW717" t="inlineStr">
        <is>
          <t>TRANSFERENCIA BANCARIA</t>
        </is>
      </c>
      <c r="AY717" t="inlineStr">
        <is>
          <t>02160293</t>
        </is>
      </c>
      <c r="AZ717" t="inlineStr">
        <is>
          <t>No</t>
        </is>
      </c>
      <c r="BB717" t="n">
        <v>4</v>
      </c>
      <c r="BC717" t="inlineStr">
        <is>
          <t>CANCELADO</t>
        </is>
      </c>
      <c r="BN717" t="inlineStr">
        <is>
          <t>No</t>
        </is>
      </c>
      <c r="BO717" s="117" t="n">
        <v>46187.36388888889</v>
      </c>
      <c r="BP717" t="inlineStr">
        <is>
          <t>Magaly Guevara Perez</t>
        </is>
      </c>
      <c r="BR717" t="n">
        <v>20</v>
      </c>
      <c r="BS717" t="inlineStr">
        <is>
          <t>15/06/2026 08:44</t>
        </is>
      </c>
      <c r="BT717" t="n">
        <v>0</v>
      </c>
      <c r="BX717" t="inlineStr">
        <is>
          <t>Cobranzas_2026.csv</t>
        </is>
      </c>
      <c r="BY717" t="n">
        <v>2026</v>
      </c>
      <c r="BZ717" t="inlineStr">
        <is>
          <t>01/01/2024</t>
        </is>
      </c>
      <c r="CA717" t="inlineStr">
        <is>
          <t>30/09/2031</t>
        </is>
      </c>
    </row>
    <row r="718">
      <c r="A718" t="inlineStr">
        <is>
          <t>RESIDENCIAL VENECIA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Estacionamiento</t>
        </is>
      </c>
      <c r="F718" t="inlineStr">
        <is>
          <t>E 25 - D 8</t>
        </is>
      </c>
      <c r="G718" s="39" t="n">
        <v>50800</v>
      </c>
      <c r="H718" s="39" t="n">
        <v>50800</v>
      </c>
      <c r="M718" s="39" t="n"/>
      <c r="N718" s="39" t="n"/>
      <c r="S718" s="39" t="n"/>
      <c r="T718" s="39" t="n"/>
      <c r="Y718" s="39" t="n"/>
      <c r="Z718" s="39" t="n"/>
      <c r="AA718" t="inlineStr">
        <is>
          <t>Patricia Salazar Aparcana</t>
        </is>
      </c>
      <c r="AB718" t="inlineStr">
        <is>
          <t>10142891</t>
        </is>
      </c>
      <c r="AC718" t="inlineStr">
        <is>
          <t xml:space="preserve"> Jr. Manco segundo 2258 dpto 207</t>
        </is>
      </c>
      <c r="AD718" t="n">
        <v>0</v>
      </c>
      <c r="AE718" t="inlineStr">
        <is>
          <t>996611448</t>
        </is>
      </c>
      <c r="AF718" t="inlineStr">
        <is>
          <t>PATRICIASALAZAR25@HOTMAIL.COM</t>
        </is>
      </c>
      <c r="AG718" t="inlineStr">
        <is>
          <t>LIMA</t>
        </is>
      </c>
      <c r="AH718" t="inlineStr">
        <is>
          <t>LINCE</t>
        </is>
      </c>
      <c r="AI718" s="116" t="n">
        <v>46218</v>
      </c>
      <c r="AJ718" s="116" t="n"/>
      <c r="AK718" t="inlineStr">
        <is>
          <t>CUOTA INICIAL</t>
        </is>
      </c>
      <c r="AL718" t="n">
        <v>1</v>
      </c>
      <c r="AM718" t="n">
        <v>5080</v>
      </c>
      <c r="AN718" t="n">
        <v>0</v>
      </c>
      <c r="AO718" t="n">
        <v>0</v>
      </c>
      <c r="AP718" s="39" t="n">
        <v>5080</v>
      </c>
      <c r="AQ718" s="39" t="n">
        <v>0</v>
      </c>
      <c r="AR718" s="39" t="n">
        <v>5080</v>
      </c>
      <c r="AT718" t="inlineStr">
        <is>
          <t>Crédito Directo</t>
        </is>
      </c>
      <c r="AZ718" t="inlineStr">
        <is>
          <t>No</t>
        </is>
      </c>
      <c r="BC718" t="inlineStr">
        <is>
          <t>VENCIDO</t>
        </is>
      </c>
      <c r="BN718" t="inlineStr">
        <is>
          <t>No</t>
        </is>
      </c>
      <c r="BO718" s="117" t="n">
        <v>46187.36388888889</v>
      </c>
      <c r="BP718" t="inlineStr">
        <is>
          <t>Magaly Guevara Perez</t>
        </is>
      </c>
      <c r="BR718" t="n">
        <v>20</v>
      </c>
      <c r="BT718" t="n">
        <v>0</v>
      </c>
      <c r="BX718" t="inlineStr">
        <is>
          <t>Cobranzas_2026.csv</t>
        </is>
      </c>
      <c r="BY718" t="n">
        <v>2026</v>
      </c>
      <c r="BZ718" t="inlineStr">
        <is>
          <t>01/01/2024</t>
        </is>
      </c>
      <c r="CA718" t="inlineStr">
        <is>
          <t>30/09/2031</t>
        </is>
      </c>
    </row>
    <row r="719">
      <c r="A719" t="inlineStr">
        <is>
          <t>RESIDENCIAL VENECIA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Estacionamiento</t>
        </is>
      </c>
      <c r="F719" t="inlineStr">
        <is>
          <t>E 25 - D 8</t>
        </is>
      </c>
      <c r="G719" s="39" t="n">
        <v>50800</v>
      </c>
      <c r="H719" s="39" t="n">
        <v>50800</v>
      </c>
      <c r="M719" s="39" t="n"/>
      <c r="N719" s="39" t="n"/>
      <c r="S719" s="39" t="n"/>
      <c r="T719" s="39" t="n"/>
      <c r="Y719" s="39" t="n"/>
      <c r="Z719" s="39" t="n"/>
      <c r="AA719" t="inlineStr">
        <is>
          <t>Patricia Salazar Aparcana</t>
        </is>
      </c>
      <c r="AB719" t="inlineStr">
        <is>
          <t>10142891</t>
        </is>
      </c>
      <c r="AC719" t="inlineStr">
        <is>
          <t xml:space="preserve"> Jr. Manco segundo 2258 dpto 207</t>
        </is>
      </c>
      <c r="AD719" t="n">
        <v>0</v>
      </c>
      <c r="AE719" t="inlineStr">
        <is>
          <t>996611448</t>
        </is>
      </c>
      <c r="AF719" t="inlineStr">
        <is>
          <t>PATRICIASALAZAR25@HOTMAIL.COM</t>
        </is>
      </c>
      <c r="AG719" t="inlineStr">
        <is>
          <t>LIMA</t>
        </is>
      </c>
      <c r="AH719" t="inlineStr">
        <is>
          <t>LINCE</t>
        </is>
      </c>
      <c r="AI719" s="116" t="n">
        <v>46265</v>
      </c>
      <c r="AJ719" s="116" t="n"/>
      <c r="AK719" t="inlineStr">
        <is>
          <t>SALDO FINANCIAR</t>
        </is>
      </c>
      <c r="AL719" t="n">
        <v>1</v>
      </c>
      <c r="AM719" t="n">
        <v>2512.94</v>
      </c>
      <c r="AN719" t="n">
        <v>0</v>
      </c>
      <c r="AO719" t="n">
        <v>0</v>
      </c>
      <c r="AP719" s="39" t="n">
        <v>2512.94</v>
      </c>
      <c r="AQ719" s="39" t="n">
        <v>0</v>
      </c>
      <c r="AR719" s="39" t="n">
        <v>2512.94</v>
      </c>
      <c r="AT719" t="inlineStr">
        <is>
          <t>Crédito Directo</t>
        </is>
      </c>
      <c r="AZ719" t="inlineStr">
        <is>
          <t>No</t>
        </is>
      </c>
      <c r="BC719" t="inlineStr">
        <is>
          <t>VENCIDO</t>
        </is>
      </c>
      <c r="BN719" t="inlineStr">
        <is>
          <t>No</t>
        </is>
      </c>
      <c r="BO719" s="117" t="n">
        <v>46187.36388888889</v>
      </c>
      <c r="BP719" t="inlineStr">
        <is>
          <t>Magaly Guevara Perez</t>
        </is>
      </c>
      <c r="BR719" t="n">
        <v>20</v>
      </c>
      <c r="BT719" t="n">
        <v>0</v>
      </c>
      <c r="BX719" t="inlineStr">
        <is>
          <t>Cobranzas_2026.csv</t>
        </is>
      </c>
      <c r="BY719" t="n">
        <v>2026</v>
      </c>
      <c r="BZ719" t="inlineStr">
        <is>
          <t>01/01/2024</t>
        </is>
      </c>
      <c r="CA719" t="inlineStr">
        <is>
          <t>30/09/2031</t>
        </is>
      </c>
    </row>
    <row r="720">
      <c r="A720" t="inlineStr">
        <is>
          <t>RESIDENCIAL VENECIA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Estacionamiento</t>
        </is>
      </c>
      <c r="F720" t="inlineStr">
        <is>
          <t>E 25 - D 8</t>
        </is>
      </c>
      <c r="G720" s="39" t="n">
        <v>50800</v>
      </c>
      <c r="H720" s="39" t="n">
        <v>50800</v>
      </c>
      <c r="M720" s="39" t="n"/>
      <c r="N720" s="39" t="n"/>
      <c r="S720" s="39" t="n"/>
      <c r="T720" s="39" t="n"/>
      <c r="Y720" s="39" t="n"/>
      <c r="Z720" s="39" t="n"/>
      <c r="AA720" t="inlineStr">
        <is>
          <t>Patricia Salazar Aparcana</t>
        </is>
      </c>
      <c r="AB720" t="inlineStr">
        <is>
          <t>10142891</t>
        </is>
      </c>
      <c r="AC720" t="inlineStr">
        <is>
          <t xml:space="preserve"> Jr. Manco segundo 2258 dpto 207</t>
        </is>
      </c>
      <c r="AD720" t="n">
        <v>0</v>
      </c>
      <c r="AE720" t="inlineStr">
        <is>
          <t>996611448</t>
        </is>
      </c>
      <c r="AF720" t="inlineStr">
        <is>
          <t>PATRICIASALAZAR25@HOTMAIL.COM</t>
        </is>
      </c>
      <c r="AG720" t="inlineStr">
        <is>
          <t>LIMA</t>
        </is>
      </c>
      <c r="AH720" t="inlineStr">
        <is>
          <t>LINCE</t>
        </is>
      </c>
      <c r="AI720" s="116" t="n">
        <v>46295</v>
      </c>
      <c r="AJ720" s="116" t="n"/>
      <c r="AK720" t="inlineStr">
        <is>
          <t>SALDO FINANCIAR</t>
        </is>
      </c>
      <c r="AL720" t="n">
        <v>2</v>
      </c>
      <c r="AM720" t="n">
        <v>2512.94</v>
      </c>
      <c r="AN720" t="n">
        <v>0</v>
      </c>
      <c r="AO720" t="n">
        <v>0</v>
      </c>
      <c r="AP720" s="39" t="n">
        <v>2512.94</v>
      </c>
      <c r="AQ720" s="39" t="n">
        <v>0</v>
      </c>
      <c r="AR720" s="39" t="n">
        <v>2512.94</v>
      </c>
      <c r="AT720" t="inlineStr">
        <is>
          <t>Crédito Directo</t>
        </is>
      </c>
      <c r="AZ720" t="inlineStr">
        <is>
          <t>No</t>
        </is>
      </c>
      <c r="BC720" t="inlineStr">
        <is>
          <t>VENCIDO</t>
        </is>
      </c>
      <c r="BN720" t="inlineStr">
        <is>
          <t>No</t>
        </is>
      </c>
      <c r="BO720" s="117" t="n">
        <v>46187.36388888889</v>
      </c>
      <c r="BP720" t="inlineStr">
        <is>
          <t>Magaly Guevara Perez</t>
        </is>
      </c>
      <c r="BR720" t="n">
        <v>20</v>
      </c>
      <c r="BT720" t="n">
        <v>0</v>
      </c>
      <c r="BX720" t="inlineStr">
        <is>
          <t>Cobranzas_2026.csv</t>
        </is>
      </c>
      <c r="BY720" t="n">
        <v>2026</v>
      </c>
      <c r="BZ720" t="inlineStr">
        <is>
          <t>01/01/2024</t>
        </is>
      </c>
      <c r="CA720" t="inlineStr">
        <is>
          <t>30/09/2031</t>
        </is>
      </c>
    </row>
    <row r="721">
      <c r="A721" t="inlineStr">
        <is>
          <t>RESIDENCIAL VENECIA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Estacionamiento</t>
        </is>
      </c>
      <c r="F721" t="inlineStr">
        <is>
          <t>E 25 - D 8</t>
        </is>
      </c>
      <c r="G721" s="39" t="n">
        <v>50800</v>
      </c>
      <c r="H721" s="39" t="n">
        <v>50800</v>
      </c>
      <c r="M721" s="39" t="n"/>
      <c r="N721" s="39" t="n"/>
      <c r="S721" s="39" t="n"/>
      <c r="T721" s="39" t="n"/>
      <c r="Y721" s="39" t="n"/>
      <c r="Z721" s="39" t="n"/>
      <c r="AA721" t="inlineStr">
        <is>
          <t>Patricia Salazar Aparcana</t>
        </is>
      </c>
      <c r="AB721" t="inlineStr">
        <is>
          <t>10142891</t>
        </is>
      </c>
      <c r="AC721" t="inlineStr">
        <is>
          <t xml:space="preserve"> Jr. Manco segundo 2258 dpto 207</t>
        </is>
      </c>
      <c r="AD721" t="n">
        <v>0</v>
      </c>
      <c r="AE721" t="inlineStr">
        <is>
          <t>996611448</t>
        </is>
      </c>
      <c r="AF721" t="inlineStr">
        <is>
          <t>PATRICIASALAZAR25@HOTMAIL.COM</t>
        </is>
      </c>
      <c r="AG721" t="inlineStr">
        <is>
          <t>LIMA</t>
        </is>
      </c>
      <c r="AH721" t="inlineStr">
        <is>
          <t>LINCE</t>
        </is>
      </c>
      <c r="AI721" s="116" t="n">
        <v>46326</v>
      </c>
      <c r="AJ721" s="116" t="n"/>
      <c r="AK721" t="inlineStr">
        <is>
          <t>SALDO FINANCIAR</t>
        </is>
      </c>
      <c r="AL721" t="n">
        <v>3</v>
      </c>
      <c r="AM721" t="n">
        <v>2512.94</v>
      </c>
      <c r="AN721" t="n">
        <v>0</v>
      </c>
      <c r="AO721" t="n">
        <v>0</v>
      </c>
      <c r="AP721" s="39" t="n">
        <v>2512.94</v>
      </c>
      <c r="AQ721" s="39" t="n">
        <v>0</v>
      </c>
      <c r="AR721" s="39" t="n">
        <v>2512.94</v>
      </c>
      <c r="AT721" t="inlineStr">
        <is>
          <t>Crédito Directo</t>
        </is>
      </c>
      <c r="AZ721" t="inlineStr">
        <is>
          <t>No</t>
        </is>
      </c>
      <c r="BC721" t="inlineStr">
        <is>
          <t>PENDIENTE</t>
        </is>
      </c>
      <c r="BN721" t="inlineStr">
        <is>
          <t>No</t>
        </is>
      </c>
      <c r="BO721" s="117" t="n">
        <v>46187.36388888889</v>
      </c>
      <c r="BP721" t="inlineStr">
        <is>
          <t>Magaly Guevara Perez</t>
        </is>
      </c>
      <c r="BR721" t="n">
        <v>20</v>
      </c>
      <c r="BT721" t="n">
        <v>0</v>
      </c>
      <c r="BX721" t="inlineStr">
        <is>
          <t>Cobranzas_2026.csv</t>
        </is>
      </c>
      <c r="BY721" t="n">
        <v>2026</v>
      </c>
      <c r="BZ721" t="inlineStr">
        <is>
          <t>01/01/2024</t>
        </is>
      </c>
      <c r="CA721" t="inlineStr">
        <is>
          <t>30/09/2031</t>
        </is>
      </c>
    </row>
    <row r="722">
      <c r="A722" t="inlineStr">
        <is>
          <t>RESIDENCIAL VENECIA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Estacionamiento</t>
        </is>
      </c>
      <c r="F722" t="inlineStr">
        <is>
          <t>E 25 - D 8</t>
        </is>
      </c>
      <c r="G722" s="39" t="n">
        <v>50800</v>
      </c>
      <c r="H722" s="39" t="n">
        <v>50800</v>
      </c>
      <c r="M722" s="39" t="n"/>
      <c r="N722" s="39" t="n"/>
      <c r="S722" s="39" t="n"/>
      <c r="T722" s="39" t="n"/>
      <c r="Y722" s="39" t="n"/>
      <c r="Z722" s="39" t="n"/>
      <c r="AA722" t="inlineStr">
        <is>
          <t>Patricia Salazar Aparcana</t>
        </is>
      </c>
      <c r="AB722" t="inlineStr">
        <is>
          <t>10142891</t>
        </is>
      </c>
      <c r="AC722" t="inlineStr">
        <is>
          <t xml:space="preserve"> Jr. Manco segundo 2258 dpto 207</t>
        </is>
      </c>
      <c r="AD722" t="n">
        <v>0</v>
      </c>
      <c r="AE722" t="inlineStr">
        <is>
          <t>996611448</t>
        </is>
      </c>
      <c r="AF722" t="inlineStr">
        <is>
          <t>PATRICIASALAZAR25@HOTMAIL.COM</t>
        </is>
      </c>
      <c r="AG722" t="inlineStr">
        <is>
          <t>LIMA</t>
        </is>
      </c>
      <c r="AH722" t="inlineStr">
        <is>
          <t>LINCE</t>
        </is>
      </c>
      <c r="AI722" s="116" t="n">
        <v>46356</v>
      </c>
      <c r="AJ722" s="116" t="n"/>
      <c r="AK722" t="inlineStr">
        <is>
          <t>SALDO FINANCIAR</t>
        </is>
      </c>
      <c r="AL722" t="n">
        <v>4</v>
      </c>
      <c r="AM722" t="n">
        <v>2512.94</v>
      </c>
      <c r="AN722" t="n">
        <v>0</v>
      </c>
      <c r="AO722" t="n">
        <v>0</v>
      </c>
      <c r="AP722" s="39" t="n">
        <v>2512.94</v>
      </c>
      <c r="AQ722" s="39" t="n">
        <v>0</v>
      </c>
      <c r="AR722" s="39" t="n">
        <v>2512.94</v>
      </c>
      <c r="AT722" t="inlineStr">
        <is>
          <t>Crédito Directo</t>
        </is>
      </c>
      <c r="AZ722" t="inlineStr">
        <is>
          <t>No</t>
        </is>
      </c>
      <c r="BC722" t="inlineStr">
        <is>
          <t>PENDIENTE</t>
        </is>
      </c>
      <c r="BN722" t="inlineStr">
        <is>
          <t>No</t>
        </is>
      </c>
      <c r="BO722" s="117" t="n">
        <v>46187.36388888889</v>
      </c>
      <c r="BP722" t="inlineStr">
        <is>
          <t>Magaly Guevara Perez</t>
        </is>
      </c>
      <c r="BR722" t="n">
        <v>20</v>
      </c>
      <c r="BT722" t="n">
        <v>0</v>
      </c>
      <c r="BX722" t="inlineStr">
        <is>
          <t>Cobranzas_2026.csv</t>
        </is>
      </c>
      <c r="BY722" t="n">
        <v>2026</v>
      </c>
      <c r="BZ722" t="inlineStr">
        <is>
          <t>01/01/2024</t>
        </is>
      </c>
      <c r="CA722" t="inlineStr">
        <is>
          <t>30/09/2031</t>
        </is>
      </c>
    </row>
    <row r="723">
      <c r="A723" t="inlineStr">
        <is>
          <t>RESIDENCIAL VENECIA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Estacionamiento</t>
        </is>
      </c>
      <c r="F723" t="inlineStr">
        <is>
          <t>E 25 - D 8</t>
        </is>
      </c>
      <c r="G723" s="39" t="n">
        <v>50800</v>
      </c>
      <c r="H723" s="39" t="n">
        <v>50800</v>
      </c>
      <c r="M723" s="39" t="n"/>
      <c r="N723" s="39" t="n"/>
      <c r="S723" s="39" t="n"/>
      <c r="T723" s="39" t="n"/>
      <c r="Y723" s="39" t="n"/>
      <c r="Z723" s="39" t="n"/>
      <c r="AA723" t="inlineStr">
        <is>
          <t>Patricia Salazar Aparcana</t>
        </is>
      </c>
      <c r="AB723" t="inlineStr">
        <is>
          <t>10142891</t>
        </is>
      </c>
      <c r="AC723" t="inlineStr">
        <is>
          <t xml:space="preserve"> Jr. Manco segundo 2258 dpto 207</t>
        </is>
      </c>
      <c r="AD723" t="n">
        <v>0</v>
      </c>
      <c r="AE723" t="inlineStr">
        <is>
          <t>996611448</t>
        </is>
      </c>
      <c r="AF723" t="inlineStr">
        <is>
          <t>PATRICIASALAZAR25@HOTMAIL.COM</t>
        </is>
      </c>
      <c r="AG723" t="inlineStr">
        <is>
          <t>LIMA</t>
        </is>
      </c>
      <c r="AH723" t="inlineStr">
        <is>
          <t>LINCE</t>
        </is>
      </c>
      <c r="AI723" s="116" t="n">
        <v>46387</v>
      </c>
      <c r="AJ723" s="116" t="n"/>
      <c r="AK723" t="inlineStr">
        <is>
          <t>SALDO FINANCIAR</t>
        </is>
      </c>
      <c r="AL723" t="n">
        <v>5</v>
      </c>
      <c r="AM723" t="n">
        <v>2512.94</v>
      </c>
      <c r="AN723" t="n">
        <v>0</v>
      </c>
      <c r="AO723" t="n">
        <v>0</v>
      </c>
      <c r="AP723" s="39" t="n">
        <v>2512.94</v>
      </c>
      <c r="AQ723" s="39" t="n">
        <v>0</v>
      </c>
      <c r="AR723" s="39" t="n">
        <v>2512.94</v>
      </c>
      <c r="AT723" t="inlineStr">
        <is>
          <t>Crédito Directo</t>
        </is>
      </c>
      <c r="AZ723" t="inlineStr">
        <is>
          <t>No</t>
        </is>
      </c>
      <c r="BC723" t="inlineStr">
        <is>
          <t>PENDIENTE</t>
        </is>
      </c>
      <c r="BN723" t="inlineStr">
        <is>
          <t>No</t>
        </is>
      </c>
      <c r="BO723" s="117" t="n">
        <v>46187.36388888889</v>
      </c>
      <c r="BP723" t="inlineStr">
        <is>
          <t>Magaly Guevara Perez</t>
        </is>
      </c>
      <c r="BR723" t="n">
        <v>20</v>
      </c>
      <c r="BT723" t="n">
        <v>0</v>
      </c>
      <c r="BX723" t="inlineStr">
        <is>
          <t>Cobranzas_2026.csv</t>
        </is>
      </c>
      <c r="BY723" t="n">
        <v>2026</v>
      </c>
      <c r="BZ723" t="inlineStr">
        <is>
          <t>01/01/2024</t>
        </is>
      </c>
      <c r="CA723" t="inlineStr">
        <is>
          <t>30/09/2031</t>
        </is>
      </c>
    </row>
    <row r="724">
      <c r="A724" t="inlineStr">
        <is>
          <t>RESIDENCIAL PRADA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503</t>
        </is>
      </c>
      <c r="G724" s="39" t="n">
        <v>660000</v>
      </c>
      <c r="H724" s="39" t="n">
        <v>660000</v>
      </c>
      <c r="M724" s="39" t="n"/>
      <c r="N724" s="39" t="n"/>
      <c r="S724" s="39" t="n"/>
      <c r="T724" s="39" t="n"/>
      <c r="Y724" s="39" t="n"/>
      <c r="Z724" s="39" t="n"/>
      <c r="AA724" t="inlineStr">
        <is>
          <t>PATROCINIO HUAMANI CUEVAS</t>
        </is>
      </c>
      <c r="AB724" t="inlineStr">
        <is>
          <t>28965506</t>
        </is>
      </c>
      <c r="AC724" t="inlineStr">
        <is>
          <t>AV. SALAVERRY N°2080 DPTO. 304</t>
        </is>
      </c>
      <c r="AE724" t="inlineStr">
        <is>
          <t>991730000</t>
        </is>
      </c>
      <c r="AF724" t="inlineStr">
        <is>
          <t>oftalmconsulta@gmail.com</t>
        </is>
      </c>
      <c r="AG724" t="inlineStr">
        <is>
          <t>LIMA</t>
        </is>
      </c>
      <c r="AH724" t="inlineStr">
        <is>
          <t>JESUS MARIA</t>
        </is>
      </c>
      <c r="AI724" s="116" t="n">
        <v>46111</v>
      </c>
      <c r="AJ724" s="116" t="n">
        <v>45960</v>
      </c>
      <c r="AK724" t="inlineStr">
        <is>
          <t>SALDO FINANCIAR</t>
        </is>
      </c>
      <c r="AL724" t="n">
        <v>1</v>
      </c>
      <c r="AM724" t="n">
        <v>0</v>
      </c>
      <c r="AN724" t="n">
        <v>0</v>
      </c>
      <c r="AO724" t="n">
        <v>0</v>
      </c>
      <c r="AP724" s="39" t="n">
        <v>495000</v>
      </c>
      <c r="AQ724" s="39" t="n">
        <v>120000</v>
      </c>
      <c r="AR724" s="39" t="n">
        <v>160000</v>
      </c>
      <c r="AS724" t="n">
        <v>0</v>
      </c>
      <c r="AT724" t="inlineStr">
        <is>
          <t>Crédito Directo</t>
        </is>
      </c>
      <c r="AU724" t="inlineStr">
        <is>
          <t>Scotiabank Perú</t>
        </is>
      </c>
      <c r="AV724" t="inlineStr">
        <is>
          <t>000-2768484</t>
        </is>
      </c>
      <c r="AW724" t="inlineStr">
        <is>
          <t>TRANSFERENCIA BANCARIA</t>
        </is>
      </c>
      <c r="AY724" t="inlineStr">
        <is>
          <t>009487222</t>
        </is>
      </c>
      <c r="AZ724" t="inlineStr">
        <is>
          <t>No</t>
        </is>
      </c>
      <c r="BB724" t="n">
        <v>4</v>
      </c>
      <c r="BC724" t="inlineStr">
        <is>
          <t>VENCIDO - PARC. CANCELADO</t>
        </is>
      </c>
      <c r="BN724" t="inlineStr">
        <is>
          <t>Si</t>
        </is>
      </c>
      <c r="BO724" s="117" t="n">
        <v>45856.68958333333</v>
      </c>
      <c r="BP724" t="inlineStr">
        <is>
          <t>Carla Michue M</t>
        </is>
      </c>
      <c r="BR724" t="n">
        <v>14</v>
      </c>
      <c r="BS724" t="inlineStr">
        <is>
          <t>07/07/2026 10:03</t>
        </is>
      </c>
      <c r="BT724" t="n">
        <v>0</v>
      </c>
      <c r="BX724" t="inlineStr">
        <is>
          <t>Cobranzas_2026.csv</t>
        </is>
      </c>
      <c r="BY724" t="n">
        <v>2026</v>
      </c>
      <c r="BZ724" t="inlineStr">
        <is>
          <t>01/01/2024</t>
        </is>
      </c>
      <c r="CA724" t="inlineStr">
        <is>
          <t>30/09/2031</t>
        </is>
      </c>
    </row>
    <row r="725">
      <c r="A725" t="inlineStr">
        <is>
          <t>RESIDENCIAL PRADA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503</t>
        </is>
      </c>
      <c r="G725" s="39" t="n">
        <v>660000</v>
      </c>
      <c r="H725" s="39" t="n">
        <v>660000</v>
      </c>
      <c r="M725" s="39" t="n"/>
      <c r="N725" s="39" t="n"/>
      <c r="S725" s="39" t="n"/>
      <c r="T725" s="39" t="n"/>
      <c r="Y725" s="39" t="n"/>
      <c r="Z725" s="39" t="n"/>
      <c r="AA725" t="inlineStr">
        <is>
          <t>PATROCINIO HUAMANI CUEVAS</t>
        </is>
      </c>
      <c r="AB725" t="inlineStr">
        <is>
          <t>28965506</t>
        </is>
      </c>
      <c r="AC725" t="inlineStr">
        <is>
          <t>AV. SALAVERRY N°2080 DPTO. 304</t>
        </is>
      </c>
      <c r="AE725" t="inlineStr">
        <is>
          <t>991730000</t>
        </is>
      </c>
      <c r="AF725" t="inlineStr">
        <is>
          <t>oftalmconsulta@gmail.com</t>
        </is>
      </c>
      <c r="AG725" t="inlineStr">
        <is>
          <t>LIMA</t>
        </is>
      </c>
      <c r="AH725" t="inlineStr">
        <is>
          <t>JESUS MARIA</t>
        </is>
      </c>
      <c r="AI725" s="116" t="n">
        <v>46111</v>
      </c>
      <c r="AJ725" s="116" t="n">
        <v>45978</v>
      </c>
      <c r="AK725" t="inlineStr">
        <is>
          <t>SALDO FINANCIAR</t>
        </is>
      </c>
      <c r="AL725" t="n">
        <v>1</v>
      </c>
      <c r="AM725" t="n">
        <v>495000</v>
      </c>
      <c r="AN725" t="n">
        <v>0</v>
      </c>
      <c r="AO725" t="n">
        <v>0</v>
      </c>
      <c r="AP725" s="39" t="n">
        <v>0</v>
      </c>
      <c r="AQ725" s="39" t="n">
        <v>10000</v>
      </c>
      <c r="AR725" s="39" t="n">
        <v>0</v>
      </c>
      <c r="AS725" t="n">
        <v>0</v>
      </c>
      <c r="AT725" t="inlineStr">
        <is>
          <t>Crédito Directo</t>
        </is>
      </c>
      <c r="AU725" t="inlineStr">
        <is>
          <t>Scotiabank Perú</t>
        </is>
      </c>
      <c r="AV725" t="inlineStr">
        <is>
          <t>000-2768484</t>
        </is>
      </c>
      <c r="AW725" t="inlineStr">
        <is>
          <t>TRANSFERENCIA BANCARIA</t>
        </is>
      </c>
      <c r="AY725" t="inlineStr">
        <is>
          <t>00001378000001380</t>
        </is>
      </c>
      <c r="AZ725" t="inlineStr">
        <is>
          <t>No</t>
        </is>
      </c>
      <c r="BB725" t="n">
        <v>4</v>
      </c>
      <c r="BC725" t="inlineStr">
        <is>
          <t>VENCIDO</t>
        </is>
      </c>
      <c r="BN725" t="inlineStr">
        <is>
          <t>Si</t>
        </is>
      </c>
      <c r="BO725" s="117" t="n">
        <v>45856.68958333333</v>
      </c>
      <c r="BP725" t="inlineStr">
        <is>
          <t>Carla Michue M</t>
        </is>
      </c>
      <c r="BR725" t="n">
        <v>14</v>
      </c>
      <c r="BS725" t="inlineStr">
        <is>
          <t>07/07/2026 10:04</t>
        </is>
      </c>
      <c r="BT725" t="n">
        <v>0</v>
      </c>
      <c r="BX725" t="inlineStr">
        <is>
          <t>Cobranzas_2026.csv</t>
        </is>
      </c>
      <c r="BY725" t="n">
        <v>2026</v>
      </c>
      <c r="BZ725" t="inlineStr">
        <is>
          <t>01/01/2024</t>
        </is>
      </c>
      <c r="CA725" t="inlineStr">
        <is>
          <t>30/09/2031</t>
        </is>
      </c>
    </row>
    <row r="726">
      <c r="A726" t="inlineStr">
        <is>
          <t>RESIDENCIAL PRADA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503</t>
        </is>
      </c>
      <c r="G726" s="39" t="n">
        <v>660000</v>
      </c>
      <c r="H726" s="39" t="n">
        <v>660000</v>
      </c>
      <c r="M726" s="39" t="n"/>
      <c r="N726" s="39" t="n"/>
      <c r="S726" s="39" t="n"/>
      <c r="T726" s="39" t="n"/>
      <c r="Y726" s="39" t="n"/>
      <c r="Z726" s="39" t="n"/>
      <c r="AA726" t="inlineStr">
        <is>
          <t>PATROCINIO HUAMANI CUEVAS</t>
        </is>
      </c>
      <c r="AB726" t="inlineStr">
        <is>
          <t>28965506</t>
        </is>
      </c>
      <c r="AC726" t="inlineStr">
        <is>
          <t>AV. SALAVERRY N°2080 DPTO. 304</t>
        </is>
      </c>
      <c r="AE726" t="inlineStr">
        <is>
          <t>991730000</t>
        </is>
      </c>
      <c r="AF726" t="inlineStr">
        <is>
          <t>oftalmconsulta@gmail.com</t>
        </is>
      </c>
      <c r="AG726" t="inlineStr">
        <is>
          <t>LIMA</t>
        </is>
      </c>
      <c r="AH726" t="inlineStr">
        <is>
          <t>JESUS MARIA</t>
        </is>
      </c>
      <c r="AI726" s="116" t="n">
        <v>46111</v>
      </c>
      <c r="AJ726" s="116" t="n">
        <v>45978</v>
      </c>
      <c r="AK726" t="inlineStr">
        <is>
          <t>SALDO FINANCIAR</t>
        </is>
      </c>
      <c r="AL726" t="n">
        <v>1</v>
      </c>
      <c r="AM726" t="n">
        <v>0</v>
      </c>
      <c r="AN726" t="n">
        <v>0</v>
      </c>
      <c r="AO726" t="n">
        <v>0</v>
      </c>
      <c r="AP726" s="39" t="n">
        <v>0</v>
      </c>
      <c r="AQ726" s="39" t="n">
        <v>10000</v>
      </c>
      <c r="AR726" s="39" t="n">
        <v>0</v>
      </c>
      <c r="AS726" t="n">
        <v>0</v>
      </c>
      <c r="AT726" t="inlineStr">
        <is>
          <t>Crédito Directo</t>
        </is>
      </c>
      <c r="AU726" t="inlineStr">
        <is>
          <t>Scotiabank Perú</t>
        </is>
      </c>
      <c r="AV726" t="inlineStr">
        <is>
          <t>000-2768484</t>
        </is>
      </c>
      <c r="AW726" t="inlineStr">
        <is>
          <t>TRANSFERENCIA BANCARIA</t>
        </is>
      </c>
      <c r="AY726" t="inlineStr">
        <is>
          <t>00001381000001383</t>
        </is>
      </c>
      <c r="AZ726" t="inlineStr">
        <is>
          <t>No</t>
        </is>
      </c>
      <c r="BB726" t="n">
        <v>4</v>
      </c>
      <c r="BC726" t="inlineStr">
        <is>
          <t>VENCIDO</t>
        </is>
      </c>
      <c r="BN726" t="inlineStr">
        <is>
          <t>Si</t>
        </is>
      </c>
      <c r="BO726" s="117" t="n">
        <v>45856.68958333333</v>
      </c>
      <c r="BP726" t="inlineStr">
        <is>
          <t>Carla Michue M</t>
        </is>
      </c>
      <c r="BR726" t="n">
        <v>14</v>
      </c>
      <c r="BS726" t="inlineStr">
        <is>
          <t>07/07/2026 10:05</t>
        </is>
      </c>
      <c r="BT726" t="n">
        <v>0</v>
      </c>
      <c r="BX726" t="inlineStr">
        <is>
          <t>Cobranzas_2026.csv</t>
        </is>
      </c>
      <c r="BY726" t="n">
        <v>2026</v>
      </c>
      <c r="BZ726" t="inlineStr">
        <is>
          <t>01/01/2024</t>
        </is>
      </c>
      <c r="CA726" t="inlineStr">
        <is>
          <t>30/09/2031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503</t>
        </is>
      </c>
      <c r="G727" s="39" t="n">
        <v>660000</v>
      </c>
      <c r="H727" s="39" t="n">
        <v>660000</v>
      </c>
      <c r="M727" s="39" t="n"/>
      <c r="N727" s="39" t="n"/>
      <c r="S727" s="39" t="n"/>
      <c r="T727" s="39" t="n"/>
      <c r="Y727" s="39" t="n"/>
      <c r="Z727" s="39" t="n"/>
      <c r="AA727" t="inlineStr">
        <is>
          <t>PATROCINIO HUAMANI CUEVAS</t>
        </is>
      </c>
      <c r="AB727" t="inlineStr">
        <is>
          <t>28965506</t>
        </is>
      </c>
      <c r="AC727" t="inlineStr">
        <is>
          <t>AV. SALAVERRY N°2080 DPTO. 304</t>
        </is>
      </c>
      <c r="AE727" t="inlineStr">
        <is>
          <t>991730000</t>
        </is>
      </c>
      <c r="AF727" t="inlineStr">
        <is>
          <t>oftalmconsulta@gmail.com</t>
        </is>
      </c>
      <c r="AG727" t="inlineStr">
        <is>
          <t>LIMA</t>
        </is>
      </c>
      <c r="AH727" t="inlineStr">
        <is>
          <t>JESUS MARIA</t>
        </is>
      </c>
      <c r="AI727" s="116" t="n">
        <v>46111</v>
      </c>
      <c r="AJ727" s="116" t="n">
        <v>45978</v>
      </c>
      <c r="AK727" t="inlineStr">
        <is>
          <t>SALDO FINANCIAR</t>
        </is>
      </c>
      <c r="AL727" t="n">
        <v>1</v>
      </c>
      <c r="AM727" t="n">
        <v>0</v>
      </c>
      <c r="AN727" t="n">
        <v>0</v>
      </c>
      <c r="AO727" t="n">
        <v>0</v>
      </c>
      <c r="AP727" s="39" t="n">
        <v>0</v>
      </c>
      <c r="AQ727" s="39" t="n">
        <v>10000</v>
      </c>
      <c r="AR727" s="39" t="n">
        <v>0</v>
      </c>
      <c r="AS727" t="n">
        <v>0</v>
      </c>
      <c r="AT727" t="inlineStr">
        <is>
          <t>Crédito Directo</t>
        </is>
      </c>
      <c r="AU727" t="inlineStr">
        <is>
          <t>Scotiabank Perú</t>
        </is>
      </c>
      <c r="AV727" t="inlineStr">
        <is>
          <t>000-2768484</t>
        </is>
      </c>
      <c r="AW727" t="inlineStr">
        <is>
          <t>TRANSFERENCIA BANCARIA</t>
        </is>
      </c>
      <c r="AY727" t="inlineStr">
        <is>
          <t>000001384000001386</t>
        </is>
      </c>
      <c r="AZ727" t="inlineStr">
        <is>
          <t>No</t>
        </is>
      </c>
      <c r="BB727" t="n">
        <v>4</v>
      </c>
      <c r="BC727" t="inlineStr">
        <is>
          <t>VENCIDO</t>
        </is>
      </c>
      <c r="BN727" t="inlineStr">
        <is>
          <t>Si</t>
        </is>
      </c>
      <c r="BO727" s="117" t="n">
        <v>45856.68958333333</v>
      </c>
      <c r="BP727" t="inlineStr">
        <is>
          <t>Carla Michue M</t>
        </is>
      </c>
      <c r="BR727" t="n">
        <v>14</v>
      </c>
      <c r="BS727" t="inlineStr">
        <is>
          <t>07/07/2026 10:06</t>
        </is>
      </c>
      <c r="BT727" t="n">
        <v>0</v>
      </c>
      <c r="BX727" t="inlineStr">
        <is>
          <t>Cobranzas_2026.csv</t>
        </is>
      </c>
      <c r="BY727" t="n">
        <v>2026</v>
      </c>
      <c r="BZ727" t="inlineStr">
        <is>
          <t>01/01/2024</t>
        </is>
      </c>
      <c r="CA727" t="inlineStr">
        <is>
          <t>30/09/2031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503</t>
        </is>
      </c>
      <c r="G728" s="39" t="n">
        <v>660000</v>
      </c>
      <c r="H728" s="39" t="n">
        <v>660000</v>
      </c>
      <c r="M728" s="39" t="n"/>
      <c r="N728" s="39" t="n"/>
      <c r="S728" s="39" t="n"/>
      <c r="T728" s="39" t="n"/>
      <c r="Y728" s="39" t="n"/>
      <c r="Z728" s="39" t="n"/>
      <c r="AA728" t="inlineStr">
        <is>
          <t>PATROCINIO HUAMANI CUEVAS</t>
        </is>
      </c>
      <c r="AB728" t="inlineStr">
        <is>
          <t>28965506</t>
        </is>
      </c>
      <c r="AC728" t="inlineStr">
        <is>
          <t>AV. SALAVERRY N°2080 DPTO. 304</t>
        </is>
      </c>
      <c r="AE728" t="inlineStr">
        <is>
          <t>991730000</t>
        </is>
      </c>
      <c r="AF728" t="inlineStr">
        <is>
          <t>oftalmconsulta@gmail.com</t>
        </is>
      </c>
      <c r="AG728" t="inlineStr">
        <is>
          <t>LIMA</t>
        </is>
      </c>
      <c r="AH728" t="inlineStr">
        <is>
          <t>JESUS MARIA</t>
        </is>
      </c>
      <c r="AI728" s="116" t="n">
        <v>46111</v>
      </c>
      <c r="AJ728" s="116" t="n">
        <v>45978</v>
      </c>
      <c r="AK728" t="inlineStr">
        <is>
          <t>SALDO FINANCIAR</t>
        </is>
      </c>
      <c r="AL728" t="n">
        <v>1</v>
      </c>
      <c r="AM728" t="n">
        <v>0</v>
      </c>
      <c r="AN728" t="n">
        <v>0</v>
      </c>
      <c r="AO728" t="n">
        <v>0</v>
      </c>
      <c r="AP728" s="39" t="n">
        <v>0</v>
      </c>
      <c r="AQ728" s="39" t="n">
        <v>10000</v>
      </c>
      <c r="AR728" s="39" t="n">
        <v>0</v>
      </c>
      <c r="AS728" t="n">
        <v>0</v>
      </c>
      <c r="AT728" t="inlineStr">
        <is>
          <t>Crédito Directo</t>
        </is>
      </c>
      <c r="AU728" t="inlineStr">
        <is>
          <t>Scotiabank Perú</t>
        </is>
      </c>
      <c r="AV728" t="inlineStr">
        <is>
          <t>000-2768484</t>
        </is>
      </c>
      <c r="AW728" t="inlineStr">
        <is>
          <t>TRANSFERENCIA BANCARIA</t>
        </is>
      </c>
      <c r="AY728" t="inlineStr">
        <is>
          <t>00001387000001389</t>
        </is>
      </c>
      <c r="AZ728" t="inlineStr">
        <is>
          <t>No</t>
        </is>
      </c>
      <c r="BB728" t="n">
        <v>4</v>
      </c>
      <c r="BC728" t="inlineStr">
        <is>
          <t>VENCIDO</t>
        </is>
      </c>
      <c r="BN728" t="inlineStr">
        <is>
          <t>Si</t>
        </is>
      </c>
      <c r="BO728" s="117" t="n">
        <v>45856.68958333333</v>
      </c>
      <c r="BP728" t="inlineStr">
        <is>
          <t>Carla Michue M</t>
        </is>
      </c>
      <c r="BR728" t="n">
        <v>14</v>
      </c>
      <c r="BS728" t="inlineStr">
        <is>
          <t>07/07/2026 10:08</t>
        </is>
      </c>
      <c r="BT728" t="n">
        <v>0</v>
      </c>
      <c r="BX728" t="inlineStr">
        <is>
          <t>Cobranzas_2026.csv</t>
        </is>
      </c>
      <c r="BY728" t="n">
        <v>2026</v>
      </c>
      <c r="BZ728" t="inlineStr">
        <is>
          <t>01/01/2024</t>
        </is>
      </c>
      <c r="CA728" t="inlineStr">
        <is>
          <t>30/09/2031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503</t>
        </is>
      </c>
      <c r="G729" s="39" t="n">
        <v>660000</v>
      </c>
      <c r="H729" s="39" t="n">
        <v>660000</v>
      </c>
      <c r="M729" s="39" t="n"/>
      <c r="N729" s="39" t="n"/>
      <c r="S729" s="39" t="n"/>
      <c r="T729" s="39" t="n"/>
      <c r="Y729" s="39" t="n"/>
      <c r="Z729" s="39" t="n"/>
      <c r="AA729" t="inlineStr">
        <is>
          <t>PATROCINIO HUAMANI CUEVAS</t>
        </is>
      </c>
      <c r="AB729" t="inlineStr">
        <is>
          <t>28965506</t>
        </is>
      </c>
      <c r="AC729" t="inlineStr">
        <is>
          <t>AV. SALAVERRY N°2080 DPTO. 304</t>
        </is>
      </c>
      <c r="AE729" t="inlineStr">
        <is>
          <t>991730000</t>
        </is>
      </c>
      <c r="AF729" t="inlineStr">
        <is>
          <t>oftalmconsulta@gmail.com</t>
        </is>
      </c>
      <c r="AG729" t="inlineStr">
        <is>
          <t>LIMA</t>
        </is>
      </c>
      <c r="AH729" t="inlineStr">
        <is>
          <t>JESUS MARIA</t>
        </is>
      </c>
      <c r="AI729" s="116" t="n">
        <v>46111</v>
      </c>
      <c r="AJ729" s="116" t="n">
        <v>45978</v>
      </c>
      <c r="AK729" t="inlineStr">
        <is>
          <t>SALDO FINANCIAR</t>
        </is>
      </c>
      <c r="AL729" t="n">
        <v>1</v>
      </c>
      <c r="AM729" t="n">
        <v>0</v>
      </c>
      <c r="AN729" t="n">
        <v>0</v>
      </c>
      <c r="AO729" t="n">
        <v>0</v>
      </c>
      <c r="AP729" s="39" t="n">
        <v>0</v>
      </c>
      <c r="AQ729" s="39" t="n">
        <v>10000</v>
      </c>
      <c r="AR729" s="39" t="n">
        <v>0</v>
      </c>
      <c r="AS729" t="n">
        <v>0</v>
      </c>
      <c r="AT729" t="inlineStr">
        <is>
          <t>Crédito Directo</t>
        </is>
      </c>
      <c r="AU729" t="inlineStr">
        <is>
          <t>Scotiabank Perú</t>
        </is>
      </c>
      <c r="AV729" t="inlineStr">
        <is>
          <t>000-2768484</t>
        </is>
      </c>
      <c r="AW729" t="inlineStr">
        <is>
          <t>TRANSFERENCIA BANCARIA</t>
        </is>
      </c>
      <c r="AY729" t="inlineStr">
        <is>
          <t>00004571000004573</t>
        </is>
      </c>
      <c r="AZ729" t="inlineStr">
        <is>
          <t>No</t>
        </is>
      </c>
      <c r="BB729" t="n">
        <v>4</v>
      </c>
      <c r="BC729" t="inlineStr">
        <is>
          <t>VENCIDO</t>
        </is>
      </c>
      <c r="BN729" t="inlineStr">
        <is>
          <t>Si</t>
        </is>
      </c>
      <c r="BO729" s="117" t="n">
        <v>45856.68958333333</v>
      </c>
      <c r="BP729" t="inlineStr">
        <is>
          <t>Carla Michue M</t>
        </is>
      </c>
      <c r="BR729" t="n">
        <v>14</v>
      </c>
      <c r="BS729" t="inlineStr">
        <is>
          <t>07/07/2026 10:09</t>
        </is>
      </c>
      <c r="BT729" t="n">
        <v>0</v>
      </c>
      <c r="BX729" t="inlineStr">
        <is>
          <t>Cobranzas_2026.csv</t>
        </is>
      </c>
      <c r="BY729" t="n">
        <v>2026</v>
      </c>
      <c r="BZ729" t="inlineStr">
        <is>
          <t>01/01/2024</t>
        </is>
      </c>
      <c r="CA729" t="inlineStr">
        <is>
          <t>30/09/2031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503</t>
        </is>
      </c>
      <c r="G730" s="39" t="n">
        <v>660000</v>
      </c>
      <c r="H730" s="39" t="n">
        <v>660000</v>
      </c>
      <c r="M730" s="39" t="n"/>
      <c r="N730" s="39" t="n"/>
      <c r="S730" s="39" t="n"/>
      <c r="T730" s="39" t="n"/>
      <c r="Y730" s="39" t="n"/>
      <c r="Z730" s="39" t="n"/>
      <c r="AA730" t="inlineStr">
        <is>
          <t>PATROCINIO HUAMANI CUEVAS</t>
        </is>
      </c>
      <c r="AB730" t="inlineStr">
        <is>
          <t>28965506</t>
        </is>
      </c>
      <c r="AC730" t="inlineStr">
        <is>
          <t>AV. SALAVERRY N°2080 DPTO. 304</t>
        </is>
      </c>
      <c r="AE730" t="inlineStr">
        <is>
          <t>991730000</t>
        </is>
      </c>
      <c r="AF730" t="inlineStr">
        <is>
          <t>oftalmconsulta@gmail.com</t>
        </is>
      </c>
      <c r="AG730" t="inlineStr">
        <is>
          <t>LIMA</t>
        </is>
      </c>
      <c r="AH730" t="inlineStr">
        <is>
          <t>JESUS MARIA</t>
        </is>
      </c>
      <c r="AI730" s="116" t="n">
        <v>46111</v>
      </c>
      <c r="AJ730" s="116" t="n">
        <v>46024</v>
      </c>
      <c r="AK730" t="inlineStr">
        <is>
          <t>SALDO FINANCIAR</t>
        </is>
      </c>
      <c r="AL730" t="n">
        <v>1</v>
      </c>
      <c r="AM730" t="n">
        <v>0</v>
      </c>
      <c r="AN730" t="n">
        <v>0</v>
      </c>
      <c r="AO730" t="n">
        <v>0</v>
      </c>
      <c r="AP730" s="39" t="n">
        <v>0</v>
      </c>
      <c r="AQ730" s="39" t="n">
        <v>165000</v>
      </c>
      <c r="AR730" s="39" t="n">
        <v>0</v>
      </c>
      <c r="AS730" t="n">
        <v>0</v>
      </c>
      <c r="AT730" t="inlineStr">
        <is>
          <t>Crédito Directo</t>
        </is>
      </c>
      <c r="AU730" t="inlineStr">
        <is>
          <t>Scotiabank Perú</t>
        </is>
      </c>
      <c r="AV730" t="inlineStr">
        <is>
          <t>000-2768484</t>
        </is>
      </c>
      <c r="AW730" t="inlineStr">
        <is>
          <t>TRANSFERENCIA BANCARIA</t>
        </is>
      </c>
      <c r="AY730" t="inlineStr">
        <is>
          <t>001334856</t>
        </is>
      </c>
      <c r="AZ730" t="inlineStr">
        <is>
          <t>No</t>
        </is>
      </c>
      <c r="BB730" t="n">
        <v>4</v>
      </c>
      <c r="BC730" t="inlineStr">
        <is>
          <t>VENCIDO</t>
        </is>
      </c>
      <c r="BN730" t="inlineStr">
        <is>
          <t>Si</t>
        </is>
      </c>
      <c r="BO730" s="117" t="n">
        <v>45856.68958333333</v>
      </c>
      <c r="BP730" t="inlineStr">
        <is>
          <t>Carla Michue M</t>
        </is>
      </c>
      <c r="BR730" t="n">
        <v>14</v>
      </c>
      <c r="BS730" t="inlineStr">
        <is>
          <t>07/07/2026 10:15</t>
        </is>
      </c>
      <c r="BT730" t="n">
        <v>0</v>
      </c>
      <c r="BX730" t="inlineStr">
        <is>
          <t>Cobranzas_2026.csv</t>
        </is>
      </c>
      <c r="BY730" t="n">
        <v>2026</v>
      </c>
      <c r="BZ730" t="inlineStr">
        <is>
          <t>01/01/2024</t>
        </is>
      </c>
      <c r="CA730" t="inlineStr">
        <is>
          <t>30/09/2031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Estacionamiento</t>
        </is>
      </c>
      <c r="F731" t="inlineStr">
        <is>
          <t>E 17 - D 12</t>
        </is>
      </c>
      <c r="G731" s="39" t="n">
        <v>52500</v>
      </c>
      <c r="H731" s="39" t="n">
        <v>52500</v>
      </c>
      <c r="M731" s="39" t="n"/>
      <c r="N731" s="39" t="n"/>
      <c r="S731" s="39" t="n"/>
      <c r="T731" s="39" t="n"/>
      <c r="Y731" s="39" t="n"/>
      <c r="Z731" s="39" t="n"/>
      <c r="AA731" t="inlineStr">
        <is>
          <t>PATROCINIO HUAMANI CUEVAS</t>
        </is>
      </c>
      <c r="AB731" t="inlineStr">
        <is>
          <t>28965506</t>
        </is>
      </c>
      <c r="AC731" t="inlineStr">
        <is>
          <t>AV. SALAVERRY N°2080 DPTO. 304</t>
        </is>
      </c>
      <c r="AD731" t="n">
        <v>0</v>
      </c>
      <c r="AE731" t="inlineStr">
        <is>
          <t>991730000</t>
        </is>
      </c>
      <c r="AF731" t="inlineStr">
        <is>
          <t>oftalmconsulta@gmail.com</t>
        </is>
      </c>
      <c r="AG731" t="inlineStr">
        <is>
          <t>LIMA</t>
        </is>
      </c>
      <c r="AH731" t="inlineStr">
        <is>
          <t>JESUS MARIA</t>
        </is>
      </c>
      <c r="AI731" s="116" t="n">
        <v>46265</v>
      </c>
      <c r="AJ731" s="116" t="n"/>
      <c r="AK731" t="inlineStr">
        <is>
          <t>SALDO FINANCIAR</t>
        </is>
      </c>
      <c r="AL731" t="n">
        <v>1</v>
      </c>
      <c r="AM731" t="n">
        <v>47500</v>
      </c>
      <c r="AN731" t="n">
        <v>0</v>
      </c>
      <c r="AO731" t="n">
        <v>0</v>
      </c>
      <c r="AP731" s="39" t="n">
        <v>47500</v>
      </c>
      <c r="AQ731" s="39" t="n">
        <v>0</v>
      </c>
      <c r="AR731" s="39" t="n">
        <v>47500</v>
      </c>
      <c r="AT731" t="inlineStr">
        <is>
          <t>Crédito Directo</t>
        </is>
      </c>
      <c r="AZ731" t="inlineStr">
        <is>
          <t>No</t>
        </is>
      </c>
      <c r="BC731" t="inlineStr">
        <is>
          <t>VENCIDO</t>
        </is>
      </c>
      <c r="BN731" t="inlineStr">
        <is>
          <t>No</t>
        </is>
      </c>
      <c r="BO731" s="117" t="n">
        <v>45869.43472222222</v>
      </c>
      <c r="BP731" t="inlineStr">
        <is>
          <t>Magaly Guevara Perez</t>
        </is>
      </c>
      <c r="BR731" t="n">
        <v>65</v>
      </c>
      <c r="BT731" t="n">
        <v>0</v>
      </c>
      <c r="BX731" t="inlineStr">
        <is>
          <t>Cobranzas_2026.csv</t>
        </is>
      </c>
      <c r="BY731" t="n">
        <v>2026</v>
      </c>
      <c r="BZ731" t="inlineStr">
        <is>
          <t>01/01/2024</t>
        </is>
      </c>
      <c r="CA731" t="inlineStr">
        <is>
          <t>30/09/2031</t>
        </is>
      </c>
    </row>
    <row r="732">
      <c r="A732" t="inlineStr">
        <is>
          <t>RESIDENCIAL VENECIA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405</t>
        </is>
      </c>
      <c r="G732" s="39" t="n">
        <v>392000</v>
      </c>
      <c r="H732" s="39" t="n">
        <v>392000</v>
      </c>
      <c r="I732" t="inlineStr">
        <is>
          <t>Edificio</t>
        </is>
      </c>
      <c r="J732" t="inlineStr">
        <is>
          <t>A</t>
        </is>
      </c>
      <c r="K732" t="inlineStr">
        <is>
          <t>Estacionamiento</t>
        </is>
      </c>
      <c r="L732" t="inlineStr">
        <is>
          <t>E 29 - D 13</t>
        </is>
      </c>
      <c r="M732" s="39" t="n">
        <v>43000</v>
      </c>
      <c r="N732" s="39" t="n">
        <v>43000</v>
      </c>
      <c r="S732" s="39" t="n"/>
      <c r="T732" s="39" t="n"/>
      <c r="Y732" s="39" t="n"/>
      <c r="Z732" s="39" t="n"/>
      <c r="AA732" t="inlineStr">
        <is>
          <t>Petronila Tisnado Meneses</t>
        </is>
      </c>
      <c r="AB732" t="inlineStr">
        <is>
          <t>01207150</t>
        </is>
      </c>
      <c r="AC732" t="inlineStr">
        <is>
          <t>Jr. Jose de La Mar Nº 460 Barrio San Josè</t>
        </is>
      </c>
      <c r="AD732" t="n">
        <v>0</v>
      </c>
      <c r="AE732" t="inlineStr">
        <is>
          <t>989735959</t>
        </is>
      </c>
      <c r="AF732" t="inlineStr">
        <is>
          <t>lupequis60@hotmail.com</t>
        </is>
      </c>
      <c r="AG732" t="inlineStr">
        <is>
          <t>PUNO</t>
        </is>
      </c>
      <c r="AH732" t="inlineStr">
        <is>
          <t>PUNO</t>
        </is>
      </c>
      <c r="AI732" s="116" t="n">
        <v>46053</v>
      </c>
      <c r="AJ732" s="116" t="n">
        <v>46044</v>
      </c>
      <c r="AK732" t="inlineStr">
        <is>
          <t>SALDO FINANCIAR</t>
        </is>
      </c>
      <c r="AL732" t="n">
        <v>4</v>
      </c>
      <c r="AM732" t="n">
        <v>14300</v>
      </c>
      <c r="AN732" t="n">
        <v>0</v>
      </c>
      <c r="AO732" t="n">
        <v>0</v>
      </c>
      <c r="AP732" s="39" t="n">
        <v>14300</v>
      </c>
      <c r="AQ732" s="39" t="n">
        <v>14300</v>
      </c>
      <c r="AR732" s="39" t="n">
        <v>0</v>
      </c>
      <c r="AS732" t="n">
        <v>0</v>
      </c>
      <c r="AT732" t="inlineStr">
        <is>
          <t>Crédito Directo</t>
        </is>
      </c>
      <c r="AU732" t="inlineStr">
        <is>
          <t>Scotiabank Perú</t>
        </is>
      </c>
      <c r="AV732" t="inlineStr">
        <is>
          <t>0004071419</t>
        </is>
      </c>
      <c r="AW732" t="inlineStr">
        <is>
          <t>TRANSFERENCIA BANCARIA</t>
        </is>
      </c>
      <c r="AY732" t="inlineStr">
        <is>
          <t>476098</t>
        </is>
      </c>
      <c r="AZ732" t="inlineStr">
        <is>
          <t>Si</t>
        </is>
      </c>
      <c r="BB732" t="n">
        <v>4</v>
      </c>
      <c r="BC732" t="inlineStr">
        <is>
          <t>CANCELADO</t>
        </is>
      </c>
      <c r="BN732" t="inlineStr">
        <is>
          <t>Si</t>
        </is>
      </c>
      <c r="BO732" s="117" t="n">
        <v>46178.34305555555</v>
      </c>
      <c r="BP732" t="inlineStr">
        <is>
          <t>Magaly Guevara Perez</t>
        </is>
      </c>
      <c r="BR732" t="n">
        <v>9</v>
      </c>
      <c r="BS732" t="inlineStr">
        <is>
          <t>08/06/2026 11:45</t>
        </is>
      </c>
      <c r="BT732" t="n">
        <v>0</v>
      </c>
      <c r="BX732" t="inlineStr">
        <is>
          <t>Cobranzas_2026.csv</t>
        </is>
      </c>
      <c r="BY732" t="n">
        <v>2026</v>
      </c>
      <c r="BZ732" t="inlineStr">
        <is>
          <t>01/01/2024</t>
        </is>
      </c>
      <c r="CA732" t="inlineStr">
        <is>
          <t>30/09/2031</t>
        </is>
      </c>
    </row>
    <row r="733">
      <c r="A733" t="inlineStr">
        <is>
          <t>RESIDENCIAL VENECIA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405</t>
        </is>
      </c>
      <c r="G733" s="39" t="n">
        <v>392000</v>
      </c>
      <c r="H733" s="39" t="n">
        <v>392000</v>
      </c>
      <c r="I733" t="inlineStr">
        <is>
          <t>Edificio</t>
        </is>
      </c>
      <c r="J733" t="inlineStr">
        <is>
          <t>A</t>
        </is>
      </c>
      <c r="K733" t="inlineStr">
        <is>
          <t>Estacionamiento</t>
        </is>
      </c>
      <c r="L733" t="inlineStr">
        <is>
          <t>E 29 - D 13</t>
        </is>
      </c>
      <c r="M733" s="39" t="n">
        <v>43000</v>
      </c>
      <c r="N733" s="39" t="n">
        <v>43000</v>
      </c>
      <c r="S733" s="39" t="n"/>
      <c r="T733" s="39" t="n"/>
      <c r="Y733" s="39" t="n"/>
      <c r="Z733" s="39" t="n"/>
      <c r="AA733" t="inlineStr">
        <is>
          <t>Petronila Tisnado Meneses</t>
        </is>
      </c>
      <c r="AB733" t="inlineStr">
        <is>
          <t>01207150</t>
        </is>
      </c>
      <c r="AC733" t="inlineStr">
        <is>
          <t>Jr. Jose de La Mar Nº 460 Barrio San Josè</t>
        </is>
      </c>
      <c r="AD733" t="n">
        <v>0</v>
      </c>
      <c r="AE733" t="inlineStr">
        <is>
          <t>989735959</t>
        </is>
      </c>
      <c r="AF733" t="inlineStr">
        <is>
          <t>lupequis60@hotmail.com</t>
        </is>
      </c>
      <c r="AG733" t="inlineStr">
        <is>
          <t>PUNO</t>
        </is>
      </c>
      <c r="AH733" t="inlineStr">
        <is>
          <t>PUNO</t>
        </is>
      </c>
      <c r="AI733" s="116" t="n">
        <v>46081</v>
      </c>
      <c r="AJ733" s="116" t="n">
        <v>46044</v>
      </c>
      <c r="AK733" t="inlineStr">
        <is>
          <t>SALDO FINANCIAR</t>
        </is>
      </c>
      <c r="AL733" t="n">
        <v>5</v>
      </c>
      <c r="AM733" t="n">
        <v>14300</v>
      </c>
      <c r="AN733" t="n">
        <v>0</v>
      </c>
      <c r="AO733" t="n">
        <v>0</v>
      </c>
      <c r="AP733" s="39" t="n">
        <v>14300</v>
      </c>
      <c r="AQ733" s="39" t="n">
        <v>14300</v>
      </c>
      <c r="AR733" s="39" t="n">
        <v>0</v>
      </c>
      <c r="AS733" t="n">
        <v>0</v>
      </c>
      <c r="AT733" t="inlineStr">
        <is>
          <t>Crédito Directo</t>
        </is>
      </c>
      <c r="AU733" t="inlineStr">
        <is>
          <t>Scotiabank Perú</t>
        </is>
      </c>
      <c r="AV733" t="inlineStr">
        <is>
          <t>0004071419</t>
        </is>
      </c>
      <c r="AW733" t="inlineStr">
        <is>
          <t>TRANSFERENCIA BANCARIA</t>
        </is>
      </c>
      <c r="AY733" t="inlineStr">
        <is>
          <t>476098</t>
        </is>
      </c>
      <c r="AZ733" t="inlineStr">
        <is>
          <t>Si</t>
        </is>
      </c>
      <c r="BB733" t="n">
        <v>4</v>
      </c>
      <c r="BC733" t="inlineStr">
        <is>
          <t>CANCELADO</t>
        </is>
      </c>
      <c r="BN733" t="inlineStr">
        <is>
          <t>Si</t>
        </is>
      </c>
      <c r="BO733" s="117" t="n">
        <v>46178.34305555555</v>
      </c>
      <c r="BP733" t="inlineStr">
        <is>
          <t>Magaly Guevara Perez</t>
        </is>
      </c>
      <c r="BR733" t="n">
        <v>9</v>
      </c>
      <c r="BS733" t="inlineStr">
        <is>
          <t>08/06/2026 11:45</t>
        </is>
      </c>
      <c r="BT733" t="n">
        <v>0</v>
      </c>
      <c r="BX733" t="inlineStr">
        <is>
          <t>Cobranzas_2026.csv</t>
        </is>
      </c>
      <c r="BY733" t="n">
        <v>2026</v>
      </c>
      <c r="BZ733" t="inlineStr">
        <is>
          <t>01/01/2024</t>
        </is>
      </c>
      <c r="CA733" t="inlineStr">
        <is>
          <t>30/09/2031</t>
        </is>
      </c>
    </row>
    <row r="734">
      <c r="A734" t="inlineStr">
        <is>
          <t>RESIDENCIAL VENECIA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405</t>
        </is>
      </c>
      <c r="G734" s="39" t="n">
        <v>392000</v>
      </c>
      <c r="H734" s="39" t="n">
        <v>392000</v>
      </c>
      <c r="I734" t="inlineStr">
        <is>
          <t>Edificio</t>
        </is>
      </c>
      <c r="J734" t="inlineStr">
        <is>
          <t>A</t>
        </is>
      </c>
      <c r="K734" t="inlineStr">
        <is>
          <t>Estacionamiento</t>
        </is>
      </c>
      <c r="L734" t="inlineStr">
        <is>
          <t>E 29 - D 13</t>
        </is>
      </c>
      <c r="M734" s="39" t="n">
        <v>43000</v>
      </c>
      <c r="N734" s="39" t="n">
        <v>43000</v>
      </c>
      <c r="S734" s="39" t="n"/>
      <c r="T734" s="39" t="n"/>
      <c r="Y734" s="39" t="n"/>
      <c r="Z734" s="39" t="n"/>
      <c r="AA734" t="inlineStr">
        <is>
          <t>Petronila Tisnado Meneses</t>
        </is>
      </c>
      <c r="AB734" t="inlineStr">
        <is>
          <t>01207150</t>
        </is>
      </c>
      <c r="AC734" t="inlineStr">
        <is>
          <t>Jr. Jose de La Mar Nº 460 Barrio San Josè</t>
        </is>
      </c>
      <c r="AD734" t="n">
        <v>0</v>
      </c>
      <c r="AE734" t="inlineStr">
        <is>
          <t>989735959</t>
        </is>
      </c>
      <c r="AF734" t="inlineStr">
        <is>
          <t>lupequis60@hotmail.com</t>
        </is>
      </c>
      <c r="AG734" t="inlineStr">
        <is>
          <t>PUNO</t>
        </is>
      </c>
      <c r="AH734" t="inlineStr">
        <is>
          <t>PUNO</t>
        </is>
      </c>
      <c r="AI734" s="116" t="n">
        <v>46112</v>
      </c>
      <c r="AJ734" s="116" t="n">
        <v>46101</v>
      </c>
      <c r="AK734" t="inlineStr">
        <is>
          <t>SALDO FINANCIAR</t>
        </is>
      </c>
      <c r="AL734" t="n">
        <v>6</v>
      </c>
      <c r="AM734" t="n">
        <v>14300</v>
      </c>
      <c r="AN734" t="n">
        <v>0</v>
      </c>
      <c r="AO734" t="n">
        <v>0</v>
      </c>
      <c r="AP734" s="39" t="n">
        <v>14300</v>
      </c>
      <c r="AQ734" s="39" t="n">
        <v>14300</v>
      </c>
      <c r="AR734" s="39" t="n">
        <v>0</v>
      </c>
      <c r="AS734" t="n">
        <v>0</v>
      </c>
      <c r="AT734" t="inlineStr">
        <is>
          <t>Crédito Directo</t>
        </is>
      </c>
      <c r="AU734" t="inlineStr">
        <is>
          <t>Scotiabank Perú</t>
        </is>
      </c>
      <c r="AV734" t="inlineStr">
        <is>
          <t>0004071419</t>
        </is>
      </c>
      <c r="AW734" t="inlineStr">
        <is>
          <t>TRANSFERENCIA BANCARIA</t>
        </is>
      </c>
      <c r="AY734" t="inlineStr">
        <is>
          <t>162237</t>
        </is>
      </c>
      <c r="AZ734" t="inlineStr">
        <is>
          <t>Si</t>
        </is>
      </c>
      <c r="BB734" t="n">
        <v>4</v>
      </c>
      <c r="BC734" t="inlineStr">
        <is>
          <t>CANCELADO</t>
        </is>
      </c>
      <c r="BN734" t="inlineStr">
        <is>
          <t>Si</t>
        </is>
      </c>
      <c r="BO734" s="117" t="n">
        <v>46178.34305555555</v>
      </c>
      <c r="BP734" t="inlineStr">
        <is>
          <t>Magaly Guevara Perez</t>
        </is>
      </c>
      <c r="BR734" t="n">
        <v>9</v>
      </c>
      <c r="BS734" t="inlineStr">
        <is>
          <t>08/06/2026 11:46</t>
        </is>
      </c>
      <c r="BT734" t="n">
        <v>0</v>
      </c>
      <c r="BX734" t="inlineStr">
        <is>
          <t>Cobranzas_2026.csv</t>
        </is>
      </c>
      <c r="BY734" t="n">
        <v>2026</v>
      </c>
      <c r="BZ734" t="inlineStr">
        <is>
          <t>01/01/2024</t>
        </is>
      </c>
      <c r="CA734" t="inlineStr">
        <is>
          <t>30/09/2031</t>
        </is>
      </c>
    </row>
    <row r="735">
      <c r="A735" t="inlineStr">
        <is>
          <t>RESIDENCIAL VENECIA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405</t>
        </is>
      </c>
      <c r="G735" s="39" t="n">
        <v>392000</v>
      </c>
      <c r="H735" s="39" t="n">
        <v>392000</v>
      </c>
      <c r="I735" t="inlineStr">
        <is>
          <t>Edificio</t>
        </is>
      </c>
      <c r="J735" t="inlineStr">
        <is>
          <t>A</t>
        </is>
      </c>
      <c r="K735" t="inlineStr">
        <is>
          <t>Estacionamiento</t>
        </is>
      </c>
      <c r="L735" t="inlineStr">
        <is>
          <t>E 29 - D 13</t>
        </is>
      </c>
      <c r="M735" s="39" t="n">
        <v>43000</v>
      </c>
      <c r="N735" s="39" t="n">
        <v>43000</v>
      </c>
      <c r="S735" s="39" t="n"/>
      <c r="T735" s="39" t="n"/>
      <c r="Y735" s="39" t="n"/>
      <c r="Z735" s="39" t="n"/>
      <c r="AA735" t="inlineStr">
        <is>
          <t>Petronila Tisnado Meneses</t>
        </is>
      </c>
      <c r="AB735" t="inlineStr">
        <is>
          <t>01207150</t>
        </is>
      </c>
      <c r="AC735" t="inlineStr">
        <is>
          <t>Jr. Jose de La Mar Nº 460 Barrio San Josè</t>
        </is>
      </c>
      <c r="AD735" t="n">
        <v>0</v>
      </c>
      <c r="AE735" t="inlineStr">
        <is>
          <t>989735959</t>
        </is>
      </c>
      <c r="AF735" t="inlineStr">
        <is>
          <t>lupequis60@hotmail.com</t>
        </is>
      </c>
      <c r="AG735" t="inlineStr">
        <is>
          <t>PUNO</t>
        </is>
      </c>
      <c r="AH735" t="inlineStr">
        <is>
          <t>PUNO</t>
        </is>
      </c>
      <c r="AI735" s="116" t="n">
        <v>46142</v>
      </c>
      <c r="AJ735" s="116" t="n">
        <v>46101</v>
      </c>
      <c r="AK735" t="inlineStr">
        <is>
          <t>SALDO FINANCIAR</t>
        </is>
      </c>
      <c r="AL735" t="n">
        <v>7</v>
      </c>
      <c r="AM735" t="n">
        <v>14300</v>
      </c>
      <c r="AN735" t="n">
        <v>0</v>
      </c>
      <c r="AO735" t="n">
        <v>0</v>
      </c>
      <c r="AP735" s="39" t="n">
        <v>14300</v>
      </c>
      <c r="AQ735" s="39" t="n">
        <v>14300</v>
      </c>
      <c r="AR735" s="39" t="n">
        <v>0</v>
      </c>
      <c r="AS735" t="n">
        <v>0</v>
      </c>
      <c r="AT735" t="inlineStr">
        <is>
          <t>Crédito Directo</t>
        </is>
      </c>
      <c r="AU735" t="inlineStr">
        <is>
          <t>Scotiabank Perú</t>
        </is>
      </c>
      <c r="AV735" t="inlineStr">
        <is>
          <t>0004071419</t>
        </is>
      </c>
      <c r="AW735" t="inlineStr">
        <is>
          <t>TRANSFERENCIA BANCARIA</t>
        </is>
      </c>
      <c r="AY735" t="inlineStr">
        <is>
          <t>162237</t>
        </is>
      </c>
      <c r="AZ735" t="inlineStr">
        <is>
          <t>Si</t>
        </is>
      </c>
      <c r="BB735" t="n">
        <v>4</v>
      </c>
      <c r="BC735" t="inlineStr">
        <is>
          <t>CANCELADO</t>
        </is>
      </c>
      <c r="BN735" t="inlineStr">
        <is>
          <t>Si</t>
        </is>
      </c>
      <c r="BO735" s="117" t="n">
        <v>46178.34305555555</v>
      </c>
      <c r="BP735" t="inlineStr">
        <is>
          <t>Magaly Guevara Perez</t>
        </is>
      </c>
      <c r="BR735" t="n">
        <v>9</v>
      </c>
      <c r="BS735" t="inlineStr">
        <is>
          <t>08/06/2026 11:46</t>
        </is>
      </c>
      <c r="BT735" t="n">
        <v>0</v>
      </c>
      <c r="BX735" t="inlineStr">
        <is>
          <t>Cobranzas_2026.csv</t>
        </is>
      </c>
      <c r="BY735" t="n">
        <v>2026</v>
      </c>
      <c r="BZ735" t="inlineStr">
        <is>
          <t>01/01/2024</t>
        </is>
      </c>
      <c r="CA735" t="inlineStr">
        <is>
          <t>30/09/2031</t>
        </is>
      </c>
    </row>
    <row r="736">
      <c r="A736" t="inlineStr">
        <is>
          <t>RESIDENCIAL VENECIA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405</t>
        </is>
      </c>
      <c r="G736" s="39" t="n">
        <v>392000</v>
      </c>
      <c r="H736" s="39" t="n">
        <v>392000</v>
      </c>
      <c r="I736" t="inlineStr">
        <is>
          <t>Edificio</t>
        </is>
      </c>
      <c r="J736" t="inlineStr">
        <is>
          <t>A</t>
        </is>
      </c>
      <c r="K736" t="inlineStr">
        <is>
          <t>Estacionamiento</t>
        </is>
      </c>
      <c r="L736" t="inlineStr">
        <is>
          <t>E 29 - D 13</t>
        </is>
      </c>
      <c r="M736" s="39" t="n">
        <v>43000</v>
      </c>
      <c r="N736" s="39" t="n">
        <v>43000</v>
      </c>
      <c r="S736" s="39" t="n"/>
      <c r="T736" s="39" t="n"/>
      <c r="Y736" s="39" t="n"/>
      <c r="Z736" s="39" t="n"/>
      <c r="AA736" t="inlineStr">
        <is>
          <t>Petronila Tisnado Meneses</t>
        </is>
      </c>
      <c r="AB736" t="inlineStr">
        <is>
          <t>01207150</t>
        </is>
      </c>
      <c r="AC736" t="inlineStr">
        <is>
          <t>Jr. Jose de La Mar Nº 460 Barrio San Josè</t>
        </is>
      </c>
      <c r="AD736" t="n">
        <v>0</v>
      </c>
      <c r="AE736" t="inlineStr">
        <is>
          <t>989735959</t>
        </is>
      </c>
      <c r="AF736" t="inlineStr">
        <is>
          <t>lupequis60@hotmail.com</t>
        </is>
      </c>
      <c r="AG736" t="inlineStr">
        <is>
          <t>PUNO</t>
        </is>
      </c>
      <c r="AH736" t="inlineStr">
        <is>
          <t>PUNO</t>
        </is>
      </c>
      <c r="AI736" s="116" t="n">
        <v>46173</v>
      </c>
      <c r="AJ736" s="116" t="n">
        <v>46164</v>
      </c>
      <c r="AK736" t="inlineStr">
        <is>
          <t>SALDO FINANCIAR</t>
        </is>
      </c>
      <c r="AL736" t="n">
        <v>8</v>
      </c>
      <c r="AM736" t="n">
        <v>14300</v>
      </c>
      <c r="AN736" t="n">
        <v>0</v>
      </c>
      <c r="AO736" t="n">
        <v>0</v>
      </c>
      <c r="AP736" s="39" t="n">
        <v>14300</v>
      </c>
      <c r="AQ736" s="39" t="n">
        <v>14300</v>
      </c>
      <c r="AR736" s="39" t="n">
        <v>0</v>
      </c>
      <c r="AS736" t="n">
        <v>0</v>
      </c>
      <c r="AT736" t="inlineStr">
        <is>
          <t>Crédito Directo</t>
        </is>
      </c>
      <c r="AU736" t="inlineStr">
        <is>
          <t>Scotiabank Perú</t>
        </is>
      </c>
      <c r="AV736" t="inlineStr">
        <is>
          <t>0004071419</t>
        </is>
      </c>
      <c r="AW736" t="inlineStr">
        <is>
          <t>TRANSFERENCIA BANCARIA</t>
        </is>
      </c>
      <c r="AY736" t="inlineStr">
        <is>
          <t>172844</t>
        </is>
      </c>
      <c r="AZ736" t="inlineStr">
        <is>
          <t>Si</t>
        </is>
      </c>
      <c r="BB736" t="n">
        <v>4</v>
      </c>
      <c r="BC736" t="inlineStr">
        <is>
          <t>CANCELADO</t>
        </is>
      </c>
      <c r="BN736" t="inlineStr">
        <is>
          <t>Si</t>
        </is>
      </c>
      <c r="BO736" s="117" t="n">
        <v>46178.34305555555</v>
      </c>
      <c r="BP736" t="inlineStr">
        <is>
          <t>Magaly Guevara Perez</t>
        </is>
      </c>
      <c r="BR736" t="n">
        <v>9</v>
      </c>
      <c r="BS736" t="inlineStr">
        <is>
          <t>08/06/2026 11:47</t>
        </is>
      </c>
      <c r="BT736" t="n">
        <v>0</v>
      </c>
      <c r="BX736" t="inlineStr">
        <is>
          <t>Cobranzas_2026.csv</t>
        </is>
      </c>
      <c r="BY736" t="n">
        <v>2026</v>
      </c>
      <c r="BZ736" t="inlineStr">
        <is>
          <t>01/01/2024</t>
        </is>
      </c>
      <c r="CA736" t="inlineStr">
        <is>
          <t>30/09/2031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405</t>
        </is>
      </c>
      <c r="G737" s="39" t="n">
        <v>392000</v>
      </c>
      <c r="H737" s="39" t="n">
        <v>392000</v>
      </c>
      <c r="I737" t="inlineStr">
        <is>
          <t>Edificio</t>
        </is>
      </c>
      <c r="J737" t="inlineStr">
        <is>
          <t>A</t>
        </is>
      </c>
      <c r="K737" t="inlineStr">
        <is>
          <t>Estacionamiento</t>
        </is>
      </c>
      <c r="L737" t="inlineStr">
        <is>
          <t>E 29 - D 13</t>
        </is>
      </c>
      <c r="M737" s="39" t="n">
        <v>43000</v>
      </c>
      <c r="N737" s="39" t="n">
        <v>43000</v>
      </c>
      <c r="S737" s="39" t="n"/>
      <c r="T737" s="39" t="n"/>
      <c r="Y737" s="39" t="n"/>
      <c r="Z737" s="39" t="n"/>
      <c r="AA737" t="inlineStr">
        <is>
          <t>Petronila Tisnado Meneses</t>
        </is>
      </c>
      <c r="AB737" t="inlineStr">
        <is>
          <t>01207150</t>
        </is>
      </c>
      <c r="AC737" t="inlineStr">
        <is>
          <t>Jr. Jose de La Mar Nº 460 Barrio San Josè</t>
        </is>
      </c>
      <c r="AD737" t="n">
        <v>0</v>
      </c>
      <c r="AE737" t="inlineStr">
        <is>
          <t>989735959</t>
        </is>
      </c>
      <c r="AF737" t="inlineStr">
        <is>
          <t>lupequis60@hotmail.com</t>
        </is>
      </c>
      <c r="AG737" t="inlineStr">
        <is>
          <t>PUNO</t>
        </is>
      </c>
      <c r="AH737" t="inlineStr">
        <is>
          <t>PUNO</t>
        </is>
      </c>
      <c r="AI737" s="116" t="n">
        <v>46203</v>
      </c>
      <c r="AJ737" s="116" t="n">
        <v>46164</v>
      </c>
      <c r="AK737" t="inlineStr">
        <is>
          <t>SALDO FINANCIAR</t>
        </is>
      </c>
      <c r="AL737" t="n">
        <v>9</v>
      </c>
      <c r="AM737" t="n">
        <v>14300</v>
      </c>
      <c r="AN737" t="n">
        <v>0</v>
      </c>
      <c r="AO737" t="n">
        <v>0</v>
      </c>
      <c r="AP737" s="39" t="n">
        <v>14300</v>
      </c>
      <c r="AQ737" s="39" t="n">
        <v>14300</v>
      </c>
      <c r="AR737" s="39" t="n">
        <v>0</v>
      </c>
      <c r="AS737" t="n">
        <v>0</v>
      </c>
      <c r="AT737" t="inlineStr">
        <is>
          <t>Crédito Directo</t>
        </is>
      </c>
      <c r="AU737" t="inlineStr">
        <is>
          <t>Scotiabank Perú</t>
        </is>
      </c>
      <c r="AV737" t="inlineStr">
        <is>
          <t>0004071419</t>
        </is>
      </c>
      <c r="AW737" t="inlineStr">
        <is>
          <t>TRANSFERENCIA BANCARIA</t>
        </is>
      </c>
      <c r="AY737" t="inlineStr">
        <is>
          <t>172844</t>
        </is>
      </c>
      <c r="AZ737" t="inlineStr">
        <is>
          <t>Si</t>
        </is>
      </c>
      <c r="BB737" t="n">
        <v>4</v>
      </c>
      <c r="BC737" t="inlineStr">
        <is>
          <t>CANCELADO</t>
        </is>
      </c>
      <c r="BN737" t="inlineStr">
        <is>
          <t>Si</t>
        </is>
      </c>
      <c r="BO737" s="117" t="n">
        <v>46178.34305555555</v>
      </c>
      <c r="BP737" t="inlineStr">
        <is>
          <t>Magaly Guevara Perez</t>
        </is>
      </c>
      <c r="BR737" t="n">
        <v>9</v>
      </c>
      <c r="BS737" t="inlineStr">
        <is>
          <t>08/06/2026 11:47</t>
        </is>
      </c>
      <c r="BT737" t="n">
        <v>0</v>
      </c>
      <c r="BX737" t="inlineStr">
        <is>
          <t>Cobranzas_2026.csv</t>
        </is>
      </c>
      <c r="BY737" t="n">
        <v>2026</v>
      </c>
      <c r="BZ737" t="inlineStr">
        <is>
          <t>01/01/2024</t>
        </is>
      </c>
      <c r="CA737" t="inlineStr">
        <is>
          <t>30/09/2031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405</t>
        </is>
      </c>
      <c r="G738" s="39" t="n">
        <v>392000</v>
      </c>
      <c r="H738" s="39" t="n">
        <v>392000</v>
      </c>
      <c r="I738" t="inlineStr">
        <is>
          <t>Edificio</t>
        </is>
      </c>
      <c r="J738" t="inlineStr">
        <is>
          <t>A</t>
        </is>
      </c>
      <c r="K738" t="inlineStr">
        <is>
          <t>Estacionamiento</t>
        </is>
      </c>
      <c r="L738" t="inlineStr">
        <is>
          <t>E 29 - D 13</t>
        </is>
      </c>
      <c r="M738" s="39" t="n">
        <v>43000</v>
      </c>
      <c r="N738" s="39" t="n">
        <v>43000</v>
      </c>
      <c r="S738" s="39" t="n"/>
      <c r="T738" s="39" t="n"/>
      <c r="Y738" s="39" t="n"/>
      <c r="Z738" s="39" t="n"/>
      <c r="AA738" t="inlineStr">
        <is>
          <t>Petronila Tisnado Meneses</t>
        </is>
      </c>
      <c r="AB738" t="inlineStr">
        <is>
          <t>01207150</t>
        </is>
      </c>
      <c r="AC738" t="inlineStr">
        <is>
          <t>Jr. Jose de La Mar Nº 460 Barrio San Josè</t>
        </is>
      </c>
      <c r="AD738" t="n">
        <v>0</v>
      </c>
      <c r="AE738" t="inlineStr">
        <is>
          <t>989735959</t>
        </is>
      </c>
      <c r="AF738" t="inlineStr">
        <is>
          <t>lupequis60@hotmail.com</t>
        </is>
      </c>
      <c r="AG738" t="inlineStr">
        <is>
          <t>PUNO</t>
        </is>
      </c>
      <c r="AH738" t="inlineStr">
        <is>
          <t>PUNO</t>
        </is>
      </c>
      <c r="AI738" s="116" t="n">
        <v>46234</v>
      </c>
      <c r="AJ738" s="116" t="n">
        <v>46223</v>
      </c>
      <c r="AK738" t="inlineStr">
        <is>
          <t>SALDO FINANCIAR</t>
        </is>
      </c>
      <c r="AL738" t="n">
        <v>10</v>
      </c>
      <c r="AM738" t="n">
        <v>14300</v>
      </c>
      <c r="AN738" t="n">
        <v>0</v>
      </c>
      <c r="AO738" t="n">
        <v>0</v>
      </c>
      <c r="AP738" s="39" t="n">
        <v>14300</v>
      </c>
      <c r="AQ738" s="39" t="n">
        <v>14300</v>
      </c>
      <c r="AR738" s="39" t="n">
        <v>0</v>
      </c>
      <c r="AS738" t="n">
        <v>0</v>
      </c>
      <c r="AT738" t="inlineStr">
        <is>
          <t>Crédito Directo</t>
        </is>
      </c>
      <c r="AU738" t="inlineStr">
        <is>
          <t>Scotiabank Perú</t>
        </is>
      </c>
      <c r="AV738" t="inlineStr">
        <is>
          <t>0004071419</t>
        </is>
      </c>
      <c r="AW738" t="inlineStr">
        <is>
          <t>TRANSFERENCIA BANCARIA</t>
        </is>
      </c>
      <c r="AY738" t="inlineStr">
        <is>
          <t>4071419</t>
        </is>
      </c>
      <c r="AZ738" t="inlineStr">
        <is>
          <t>No</t>
        </is>
      </c>
      <c r="BB738" t="n">
        <v>4</v>
      </c>
      <c r="BC738" t="inlineStr">
        <is>
          <t>CANCELADO</t>
        </is>
      </c>
      <c r="BN738" t="inlineStr">
        <is>
          <t>Si</t>
        </is>
      </c>
      <c r="BO738" s="117" t="n">
        <v>46178.34305555555</v>
      </c>
      <c r="BP738" t="inlineStr">
        <is>
          <t>Magaly Guevara Perez</t>
        </is>
      </c>
      <c r="BR738" t="n">
        <v>9</v>
      </c>
      <c r="BS738" t="inlineStr">
        <is>
          <t>18/08/2026 17:17</t>
        </is>
      </c>
      <c r="BT738" t="n">
        <v>0</v>
      </c>
      <c r="BX738" t="inlineStr">
        <is>
          <t>Cobranzas_2026.csv</t>
        </is>
      </c>
      <c r="BY738" t="n">
        <v>2026</v>
      </c>
      <c r="BZ738" t="inlineStr">
        <is>
          <t>01/01/2024</t>
        </is>
      </c>
      <c r="CA738" t="inlineStr">
        <is>
          <t>30/09/2031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405</t>
        </is>
      </c>
      <c r="G739" s="39" t="n">
        <v>392000</v>
      </c>
      <c r="H739" s="39" t="n">
        <v>392000</v>
      </c>
      <c r="I739" t="inlineStr">
        <is>
          <t>Edificio</t>
        </is>
      </c>
      <c r="J739" t="inlineStr">
        <is>
          <t>A</t>
        </is>
      </c>
      <c r="K739" t="inlineStr">
        <is>
          <t>Estacionamiento</t>
        </is>
      </c>
      <c r="L739" t="inlineStr">
        <is>
          <t>E 29 - D 13</t>
        </is>
      </c>
      <c r="M739" s="39" t="n">
        <v>43000</v>
      </c>
      <c r="N739" s="39" t="n">
        <v>43000</v>
      </c>
      <c r="S739" s="39" t="n"/>
      <c r="T739" s="39" t="n"/>
      <c r="Y739" s="39" t="n"/>
      <c r="Z739" s="39" t="n"/>
      <c r="AA739" t="inlineStr">
        <is>
          <t>Petronila Tisnado Meneses</t>
        </is>
      </c>
      <c r="AB739" t="inlineStr">
        <is>
          <t>01207150</t>
        </is>
      </c>
      <c r="AC739" t="inlineStr">
        <is>
          <t>Jr. Jose de La Mar Nº 460 Barrio San Josè</t>
        </is>
      </c>
      <c r="AD739" t="n">
        <v>0</v>
      </c>
      <c r="AE739" t="inlineStr">
        <is>
          <t>989735959</t>
        </is>
      </c>
      <c r="AF739" t="inlineStr">
        <is>
          <t>lupequis60@hotmail.com</t>
        </is>
      </c>
      <c r="AG739" t="inlineStr">
        <is>
          <t>PUNO</t>
        </is>
      </c>
      <c r="AH739" t="inlineStr">
        <is>
          <t>PUNO</t>
        </is>
      </c>
      <c r="AI739" s="116" t="n">
        <v>46265</v>
      </c>
      <c r="AJ739" s="116" t="n">
        <v>46223</v>
      </c>
      <c r="AK739" t="inlineStr">
        <is>
          <t>SALDO FINANCIAR</t>
        </is>
      </c>
      <c r="AL739" t="n">
        <v>11</v>
      </c>
      <c r="AM739" t="n">
        <v>14300</v>
      </c>
      <c r="AN739" t="n">
        <v>0</v>
      </c>
      <c r="AO739" t="n">
        <v>0</v>
      </c>
      <c r="AP739" s="39" t="n">
        <v>14300</v>
      </c>
      <c r="AQ739" s="39" t="n">
        <v>14300</v>
      </c>
      <c r="AR739" s="39" t="n">
        <v>0</v>
      </c>
      <c r="AS739" t="n">
        <v>0</v>
      </c>
      <c r="AT739" t="inlineStr">
        <is>
          <t>Crédito Directo</t>
        </is>
      </c>
      <c r="AU739" t="inlineStr">
        <is>
          <t>Scotiabank Perú</t>
        </is>
      </c>
      <c r="AV739" t="inlineStr">
        <is>
          <t>0004071419</t>
        </is>
      </c>
      <c r="AW739" t="inlineStr">
        <is>
          <t>TRANSFERENCIA BANCARIA</t>
        </is>
      </c>
      <c r="AY739" t="inlineStr">
        <is>
          <t>4071419</t>
        </is>
      </c>
      <c r="AZ739" t="inlineStr">
        <is>
          <t>No</t>
        </is>
      </c>
      <c r="BB739" t="n">
        <v>4</v>
      </c>
      <c r="BC739" t="inlineStr">
        <is>
          <t>CANCELADO</t>
        </is>
      </c>
      <c r="BN739" t="inlineStr">
        <is>
          <t>Si</t>
        </is>
      </c>
      <c r="BO739" s="117" t="n">
        <v>46178.34305555555</v>
      </c>
      <c r="BP739" t="inlineStr">
        <is>
          <t>Magaly Guevara Perez</t>
        </is>
      </c>
      <c r="BR739" t="n">
        <v>9</v>
      </c>
      <c r="BS739" t="inlineStr">
        <is>
          <t>18/08/2026 17:17</t>
        </is>
      </c>
      <c r="BT739" t="n">
        <v>0</v>
      </c>
      <c r="BX739" t="inlineStr">
        <is>
          <t>Cobranzas_2026.csv</t>
        </is>
      </c>
      <c r="BY739" t="n">
        <v>2026</v>
      </c>
      <c r="BZ739" t="inlineStr">
        <is>
          <t>01/01/2024</t>
        </is>
      </c>
      <c r="CA739" t="inlineStr">
        <is>
          <t>30/09/2031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405</t>
        </is>
      </c>
      <c r="G740" s="39" t="n">
        <v>392000</v>
      </c>
      <c r="H740" s="39" t="n">
        <v>392000</v>
      </c>
      <c r="I740" t="inlineStr">
        <is>
          <t>Edificio</t>
        </is>
      </c>
      <c r="J740" t="inlineStr">
        <is>
          <t>A</t>
        </is>
      </c>
      <c r="K740" t="inlineStr">
        <is>
          <t>Estacionamiento</t>
        </is>
      </c>
      <c r="L740" t="inlineStr">
        <is>
          <t>E 29 - D 13</t>
        </is>
      </c>
      <c r="M740" s="39" t="n">
        <v>43000</v>
      </c>
      <c r="N740" s="39" t="n">
        <v>43000</v>
      </c>
      <c r="S740" s="39" t="n"/>
      <c r="T740" s="39" t="n"/>
      <c r="Y740" s="39" t="n"/>
      <c r="Z740" s="39" t="n"/>
      <c r="AA740" t="inlineStr">
        <is>
          <t>Petronila Tisnado Meneses</t>
        </is>
      </c>
      <c r="AB740" t="inlineStr">
        <is>
          <t>01207150</t>
        </is>
      </c>
      <c r="AC740" t="inlineStr">
        <is>
          <t>Jr. Jose de La Mar Nº 460 Barrio San Josè</t>
        </is>
      </c>
      <c r="AD740" t="n">
        <v>0</v>
      </c>
      <c r="AE740" t="inlineStr">
        <is>
          <t>989735959</t>
        </is>
      </c>
      <c r="AF740" t="inlineStr">
        <is>
          <t>lupequis60@hotmail.com</t>
        </is>
      </c>
      <c r="AG740" t="inlineStr">
        <is>
          <t>PUNO</t>
        </is>
      </c>
      <c r="AH740" t="inlineStr">
        <is>
          <t>PUNO</t>
        </is>
      </c>
      <c r="AI740" s="116" t="n">
        <v>46295</v>
      </c>
      <c r="AJ740" s="116" t="n"/>
      <c r="AK740" t="inlineStr">
        <is>
          <t>SALDO FINANCIAR</t>
        </is>
      </c>
      <c r="AL740" t="n">
        <v>12</v>
      </c>
      <c r="AM740" t="n">
        <v>14300</v>
      </c>
      <c r="AN740" t="n">
        <v>0</v>
      </c>
      <c r="AO740" t="n">
        <v>0</v>
      </c>
      <c r="AP740" s="39" t="n">
        <v>14300</v>
      </c>
      <c r="AQ740" s="39" t="n">
        <v>0</v>
      </c>
      <c r="AR740" s="39" t="n">
        <v>14300</v>
      </c>
      <c r="AT740" t="inlineStr">
        <is>
          <t>Crédito Directo</t>
        </is>
      </c>
      <c r="AZ740" t="inlineStr">
        <is>
          <t>No</t>
        </is>
      </c>
      <c r="BC740" t="inlineStr">
        <is>
          <t>VENCIDO</t>
        </is>
      </c>
      <c r="BN740" t="inlineStr">
        <is>
          <t>No</t>
        </is>
      </c>
      <c r="BO740" s="117" t="n">
        <v>46178.34305555555</v>
      </c>
      <c r="BP740" t="inlineStr">
        <is>
          <t>Magaly Guevara Perez</t>
        </is>
      </c>
      <c r="BR740" t="n">
        <v>9</v>
      </c>
      <c r="BT740" t="n">
        <v>0</v>
      </c>
      <c r="BX740" t="inlineStr">
        <is>
          <t>Cobranzas_2026.csv</t>
        </is>
      </c>
      <c r="BY740" t="n">
        <v>2026</v>
      </c>
      <c r="BZ740" t="inlineStr">
        <is>
          <t>01/01/2024</t>
        </is>
      </c>
      <c r="CA740" t="inlineStr">
        <is>
          <t>30/09/2031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405</t>
        </is>
      </c>
      <c r="G741" s="39" t="n">
        <v>392000</v>
      </c>
      <c r="H741" s="39" t="n">
        <v>392000</v>
      </c>
      <c r="I741" t="inlineStr">
        <is>
          <t>Edificio</t>
        </is>
      </c>
      <c r="J741" t="inlineStr">
        <is>
          <t>A</t>
        </is>
      </c>
      <c r="K741" t="inlineStr">
        <is>
          <t>Estacionamiento</t>
        </is>
      </c>
      <c r="L741" t="inlineStr">
        <is>
          <t>E 29 - D 13</t>
        </is>
      </c>
      <c r="M741" s="39" t="n">
        <v>43000</v>
      </c>
      <c r="N741" s="39" t="n">
        <v>43000</v>
      </c>
      <c r="S741" s="39" t="n"/>
      <c r="T741" s="39" t="n"/>
      <c r="Y741" s="39" t="n"/>
      <c r="Z741" s="39" t="n"/>
      <c r="AA741" t="inlineStr">
        <is>
          <t>Petronila Tisnado Meneses</t>
        </is>
      </c>
      <c r="AB741" t="inlineStr">
        <is>
          <t>01207150</t>
        </is>
      </c>
      <c r="AC741" t="inlineStr">
        <is>
          <t>Jr. Jose de La Mar Nº 460 Barrio San Josè</t>
        </is>
      </c>
      <c r="AD741" t="n">
        <v>0</v>
      </c>
      <c r="AE741" t="inlineStr">
        <is>
          <t>989735959</t>
        </is>
      </c>
      <c r="AF741" t="inlineStr">
        <is>
          <t>lupequis60@hotmail.com</t>
        </is>
      </c>
      <c r="AG741" t="inlineStr">
        <is>
          <t>PUNO</t>
        </is>
      </c>
      <c r="AH741" t="inlineStr">
        <is>
          <t>PUNO</t>
        </is>
      </c>
      <c r="AI741" s="116" t="n">
        <v>46326</v>
      </c>
      <c r="AJ741" s="116" t="n"/>
      <c r="AK741" t="inlineStr">
        <is>
          <t>SALDO FINANCIAR</t>
        </is>
      </c>
      <c r="AL741" t="n">
        <v>13</v>
      </c>
      <c r="AM741" t="n">
        <v>14300</v>
      </c>
      <c r="AN741" t="n">
        <v>0</v>
      </c>
      <c r="AO741" t="n">
        <v>0</v>
      </c>
      <c r="AP741" s="39" t="n">
        <v>14300</v>
      </c>
      <c r="AQ741" s="39" t="n">
        <v>0</v>
      </c>
      <c r="AR741" s="39" t="n">
        <v>14300</v>
      </c>
      <c r="AT741" t="inlineStr">
        <is>
          <t>Crédito Directo</t>
        </is>
      </c>
      <c r="AZ741" t="inlineStr">
        <is>
          <t>No</t>
        </is>
      </c>
      <c r="BC741" t="inlineStr">
        <is>
          <t>PENDIENTE</t>
        </is>
      </c>
      <c r="BN741" t="inlineStr">
        <is>
          <t>No</t>
        </is>
      </c>
      <c r="BO741" s="117" t="n">
        <v>46178.34305555555</v>
      </c>
      <c r="BP741" t="inlineStr">
        <is>
          <t>Magaly Guevara Perez</t>
        </is>
      </c>
      <c r="BR741" t="n">
        <v>9</v>
      </c>
      <c r="BT741" t="n">
        <v>0</v>
      </c>
      <c r="BX741" t="inlineStr">
        <is>
          <t>Cobranzas_2026.csv</t>
        </is>
      </c>
      <c r="BY741" t="n">
        <v>2026</v>
      </c>
      <c r="BZ741" t="inlineStr">
        <is>
          <t>01/01/2024</t>
        </is>
      </c>
      <c r="CA741" t="inlineStr">
        <is>
          <t>30/09/2031</t>
        </is>
      </c>
    </row>
    <row r="742">
      <c r="A742" t="inlineStr">
        <is>
          <t>RESIDENCIAL VENECIA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405</t>
        </is>
      </c>
      <c r="G742" s="39" t="n">
        <v>392000</v>
      </c>
      <c r="H742" s="39" t="n">
        <v>392000</v>
      </c>
      <c r="I742" t="inlineStr">
        <is>
          <t>Edificio</t>
        </is>
      </c>
      <c r="J742" t="inlineStr">
        <is>
          <t>A</t>
        </is>
      </c>
      <c r="K742" t="inlineStr">
        <is>
          <t>Estacionamiento</t>
        </is>
      </c>
      <c r="L742" t="inlineStr">
        <is>
          <t>E 29 - D 13</t>
        </is>
      </c>
      <c r="M742" s="39" t="n">
        <v>43000</v>
      </c>
      <c r="N742" s="39" t="n">
        <v>43000</v>
      </c>
      <c r="S742" s="39" t="n"/>
      <c r="T742" s="39" t="n"/>
      <c r="Y742" s="39" t="n"/>
      <c r="Z742" s="39" t="n"/>
      <c r="AA742" t="inlineStr">
        <is>
          <t>Petronila Tisnado Meneses</t>
        </is>
      </c>
      <c r="AB742" t="inlineStr">
        <is>
          <t>01207150</t>
        </is>
      </c>
      <c r="AC742" t="inlineStr">
        <is>
          <t>Jr. Jose de La Mar Nº 460 Barrio San Josè</t>
        </is>
      </c>
      <c r="AD742" t="n">
        <v>0</v>
      </c>
      <c r="AE742" t="inlineStr">
        <is>
          <t>989735959</t>
        </is>
      </c>
      <c r="AF742" t="inlineStr">
        <is>
          <t>lupequis60@hotmail.com</t>
        </is>
      </c>
      <c r="AG742" t="inlineStr">
        <is>
          <t>PUNO</t>
        </is>
      </c>
      <c r="AH742" t="inlineStr">
        <is>
          <t>PUNO</t>
        </is>
      </c>
      <c r="AI742" s="116" t="n">
        <v>46356</v>
      </c>
      <c r="AJ742" s="116" t="n"/>
      <c r="AK742" t="inlineStr">
        <is>
          <t>SALDO FINANCIAR</t>
        </is>
      </c>
      <c r="AL742" t="n">
        <v>14</v>
      </c>
      <c r="AM742" t="n">
        <v>14300</v>
      </c>
      <c r="AN742" t="n">
        <v>0</v>
      </c>
      <c r="AO742" t="n">
        <v>0</v>
      </c>
      <c r="AP742" s="39" t="n">
        <v>14300</v>
      </c>
      <c r="AQ742" s="39" t="n">
        <v>0</v>
      </c>
      <c r="AR742" s="39" t="n">
        <v>14300</v>
      </c>
      <c r="AT742" t="inlineStr">
        <is>
          <t>Crédito Directo</t>
        </is>
      </c>
      <c r="AZ742" t="inlineStr">
        <is>
          <t>No</t>
        </is>
      </c>
      <c r="BC742" t="inlineStr">
        <is>
          <t>PENDIENTE</t>
        </is>
      </c>
      <c r="BN742" t="inlineStr">
        <is>
          <t>No</t>
        </is>
      </c>
      <c r="BO742" s="117" t="n">
        <v>46178.34305555555</v>
      </c>
      <c r="BP742" t="inlineStr">
        <is>
          <t>Magaly Guevara Perez</t>
        </is>
      </c>
      <c r="BR742" t="n">
        <v>9</v>
      </c>
      <c r="BT742" t="n">
        <v>0</v>
      </c>
      <c r="BX742" t="inlineStr">
        <is>
          <t>Cobranzas_2026.csv</t>
        </is>
      </c>
      <c r="BY742" t="n">
        <v>2026</v>
      </c>
      <c r="BZ742" t="inlineStr">
        <is>
          <t>01/01/2024</t>
        </is>
      </c>
      <c r="CA742" t="inlineStr">
        <is>
          <t>30/09/2031</t>
        </is>
      </c>
    </row>
    <row r="743">
      <c r="A743" t="inlineStr">
        <is>
          <t>RESIDENCIAL VENECIA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405</t>
        </is>
      </c>
      <c r="G743" s="39" t="n">
        <v>392000</v>
      </c>
      <c r="H743" s="39" t="n">
        <v>392000</v>
      </c>
      <c r="I743" t="inlineStr">
        <is>
          <t>Edificio</t>
        </is>
      </c>
      <c r="J743" t="inlineStr">
        <is>
          <t>A</t>
        </is>
      </c>
      <c r="K743" t="inlineStr">
        <is>
          <t>Estacionamiento</t>
        </is>
      </c>
      <c r="L743" t="inlineStr">
        <is>
          <t>E 29 - D 13</t>
        </is>
      </c>
      <c r="M743" s="39" t="n">
        <v>43000</v>
      </c>
      <c r="N743" s="39" t="n">
        <v>43000</v>
      </c>
      <c r="S743" s="39" t="n"/>
      <c r="T743" s="39" t="n"/>
      <c r="Y743" s="39" t="n"/>
      <c r="Z743" s="39" t="n"/>
      <c r="AA743" t="inlineStr">
        <is>
          <t>Petronila Tisnado Meneses</t>
        </is>
      </c>
      <c r="AB743" t="inlineStr">
        <is>
          <t>01207150</t>
        </is>
      </c>
      <c r="AC743" t="inlineStr">
        <is>
          <t>Jr. Jose de La Mar Nº 460 Barrio San Josè</t>
        </is>
      </c>
      <c r="AD743" t="n">
        <v>0</v>
      </c>
      <c r="AE743" t="inlineStr">
        <is>
          <t>989735959</t>
        </is>
      </c>
      <c r="AF743" t="inlineStr">
        <is>
          <t>lupequis60@hotmail.com</t>
        </is>
      </c>
      <c r="AG743" t="inlineStr">
        <is>
          <t>PUNO</t>
        </is>
      </c>
      <c r="AH743" t="inlineStr">
        <is>
          <t>PUNO</t>
        </is>
      </c>
      <c r="AI743" s="116" t="n">
        <v>46387</v>
      </c>
      <c r="AJ743" s="116" t="n"/>
      <c r="AK743" t="inlineStr">
        <is>
          <t>SALDO FINANCIAR</t>
        </is>
      </c>
      <c r="AL743" t="n">
        <v>15</v>
      </c>
      <c r="AM743" t="n">
        <v>14300</v>
      </c>
      <c r="AN743" t="n">
        <v>0</v>
      </c>
      <c r="AO743" t="n">
        <v>0</v>
      </c>
      <c r="AP743" s="39" t="n">
        <v>14300</v>
      </c>
      <c r="AQ743" s="39" t="n">
        <v>0</v>
      </c>
      <c r="AR743" s="39" t="n">
        <v>14300</v>
      </c>
      <c r="AT743" t="inlineStr">
        <is>
          <t>Crédito Directo</t>
        </is>
      </c>
      <c r="AZ743" t="inlineStr">
        <is>
          <t>No</t>
        </is>
      </c>
      <c r="BC743" t="inlineStr">
        <is>
          <t>PENDIENTE</t>
        </is>
      </c>
      <c r="BN743" t="inlineStr">
        <is>
          <t>No</t>
        </is>
      </c>
      <c r="BO743" s="117" t="n">
        <v>46178.34305555555</v>
      </c>
      <c r="BP743" t="inlineStr">
        <is>
          <t>Magaly Guevara Perez</t>
        </is>
      </c>
      <c r="BR743" t="n">
        <v>9</v>
      </c>
      <c r="BT743" t="n">
        <v>0</v>
      </c>
      <c r="BX743" t="inlineStr">
        <is>
          <t>Cobranzas_2026.csv</t>
        </is>
      </c>
      <c r="BY743" t="n">
        <v>2026</v>
      </c>
      <c r="BZ743" t="inlineStr">
        <is>
          <t>01/01/2024</t>
        </is>
      </c>
      <c r="CA743" t="inlineStr">
        <is>
          <t>30/09/2031</t>
        </is>
      </c>
    </row>
    <row r="744">
      <c r="A744" t="inlineStr">
        <is>
          <t>RESIDENCIAL VENECIA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705</t>
        </is>
      </c>
      <c r="G744" s="39" t="n">
        <v>442000</v>
      </c>
      <c r="H744" s="39" t="n">
        <v>416000</v>
      </c>
      <c r="M744" s="39" t="n"/>
      <c r="N744" s="39" t="n"/>
      <c r="S744" s="39" t="n"/>
      <c r="T744" s="39" t="n"/>
      <c r="Y744" s="39" t="n"/>
      <c r="Z744" s="39" t="n"/>
      <c r="AA744" t="inlineStr">
        <is>
          <t>RENZO VALDERRAMA REYES</t>
        </is>
      </c>
      <c r="AB744" t="inlineStr">
        <is>
          <t>45416570</t>
        </is>
      </c>
      <c r="AC744" t="inlineStr">
        <is>
          <t>Jr. Almudena 194</t>
        </is>
      </c>
      <c r="AD744" t="n">
        <v>0</v>
      </c>
      <c r="AE744" t="inlineStr">
        <is>
          <t>932290459</t>
        </is>
      </c>
      <c r="AF744" t="inlineStr">
        <is>
          <t>rvalderrama2488@hotmail.com</t>
        </is>
      </c>
      <c r="AG744" t="inlineStr">
        <is>
          <t>LIMA</t>
        </is>
      </c>
      <c r="AH744" t="inlineStr">
        <is>
          <t>SAN LUIS</t>
        </is>
      </c>
      <c r="AI744" s="116" t="n">
        <v>46158</v>
      </c>
      <c r="AJ744" s="116" t="n">
        <v>46158</v>
      </c>
      <c r="AK744" t="inlineStr">
        <is>
          <t>SEPARACION</t>
        </is>
      </c>
      <c r="AL744" t="n">
        <v>1</v>
      </c>
      <c r="AM744" t="n">
        <v>3000</v>
      </c>
      <c r="AN744" t="n">
        <v>0</v>
      </c>
      <c r="AO744" t="n">
        <v>0</v>
      </c>
      <c r="AP744" s="39" t="n">
        <v>3000</v>
      </c>
      <c r="AQ744" s="39" t="n">
        <v>3000</v>
      </c>
      <c r="AR744" s="39" t="n">
        <v>0</v>
      </c>
      <c r="AS744" t="n">
        <v>0</v>
      </c>
      <c r="AT744" t="inlineStr">
        <is>
          <t>Crédito Hipotecario</t>
        </is>
      </c>
      <c r="AU744" t="inlineStr">
        <is>
          <t>Scotiabank Perú</t>
        </is>
      </c>
      <c r="AV744" t="inlineStr">
        <is>
          <t>0004071419</t>
        </is>
      </c>
      <c r="AW744" t="inlineStr">
        <is>
          <t>TRANSFERENCIA BANCARIA</t>
        </is>
      </c>
      <c r="AY744" t="inlineStr">
        <is>
          <t>7844655550510</t>
        </is>
      </c>
      <c r="AZ744" t="inlineStr">
        <is>
          <t>No</t>
        </is>
      </c>
      <c r="BB744" t="n">
        <v>4</v>
      </c>
      <c r="BC744" t="inlineStr">
        <is>
          <t>CANCELADO</t>
        </is>
      </c>
      <c r="BN744" t="inlineStr">
        <is>
          <t>Si</t>
        </is>
      </c>
      <c r="BO744" s="117" t="n">
        <v>46185.57291666666</v>
      </c>
      <c r="BP744" t="inlineStr">
        <is>
          <t xml:space="preserve">Glenda Solano </t>
        </is>
      </c>
      <c r="BR744" t="n">
        <v>18</v>
      </c>
      <c r="BS744" t="inlineStr">
        <is>
          <t>16/05/2026 19:32</t>
        </is>
      </c>
      <c r="BT744" t="n">
        <v>0</v>
      </c>
      <c r="BX744" t="inlineStr">
        <is>
          <t>Cobranzas_2026.csv</t>
        </is>
      </c>
      <c r="BY744" t="n">
        <v>2026</v>
      </c>
      <c r="BZ744" t="inlineStr">
        <is>
          <t>01/01/2024</t>
        </is>
      </c>
      <c r="CA744" t="inlineStr">
        <is>
          <t>30/09/2031</t>
        </is>
      </c>
    </row>
    <row r="745">
      <c r="A745" t="inlineStr">
        <is>
          <t>RESIDENCIAL VENECIA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705</t>
        </is>
      </c>
      <c r="G745" s="39" t="n">
        <v>442000</v>
      </c>
      <c r="H745" s="39" t="n">
        <v>416000</v>
      </c>
      <c r="M745" s="39" t="n"/>
      <c r="N745" s="39" t="n"/>
      <c r="S745" s="39" t="n"/>
      <c r="T745" s="39" t="n"/>
      <c r="Y745" s="39" t="n"/>
      <c r="Z745" s="39" t="n"/>
      <c r="AA745" t="inlineStr">
        <is>
          <t>RENZO VALDERRAMA REYES</t>
        </is>
      </c>
      <c r="AB745" t="inlineStr">
        <is>
          <t>45416570</t>
        </is>
      </c>
      <c r="AC745" t="inlineStr">
        <is>
          <t>Jr. Almudena 194</t>
        </is>
      </c>
      <c r="AD745" t="n">
        <v>0</v>
      </c>
      <c r="AE745" t="inlineStr">
        <is>
          <t>932290459</t>
        </is>
      </c>
      <c r="AF745" t="inlineStr">
        <is>
          <t>rvalderrama2488@hotmail.com</t>
        </is>
      </c>
      <c r="AG745" t="inlineStr">
        <is>
          <t>LIMA</t>
        </is>
      </c>
      <c r="AH745" t="inlineStr">
        <is>
          <t>SAN LUIS</t>
        </is>
      </c>
      <c r="AI745" s="116" t="n">
        <v>46185</v>
      </c>
      <c r="AJ745" s="116" t="n">
        <v>46185</v>
      </c>
      <c r="AK745" t="inlineStr">
        <is>
          <t>CUOTA INICIAL</t>
        </is>
      </c>
      <c r="AL745" t="n">
        <v>1</v>
      </c>
      <c r="AM745" t="n">
        <v>23400</v>
      </c>
      <c r="AN745" t="n">
        <v>0</v>
      </c>
      <c r="AO745" t="n">
        <v>0</v>
      </c>
      <c r="AP745" s="39" t="n">
        <v>23400</v>
      </c>
      <c r="AQ745" s="39" t="n">
        <v>23400</v>
      </c>
      <c r="AR745" s="39" t="n">
        <v>0</v>
      </c>
      <c r="AS745" t="n">
        <v>0</v>
      </c>
      <c r="AT745" t="inlineStr">
        <is>
          <t>Crédito Hipotecario</t>
        </is>
      </c>
      <c r="AU745" t="inlineStr">
        <is>
          <t>Scotiabank Perú</t>
        </is>
      </c>
      <c r="AV745" t="inlineStr">
        <is>
          <t>0004071419</t>
        </is>
      </c>
      <c r="AW745" t="inlineStr">
        <is>
          <t>TRANSFERENCIA BANCARIA</t>
        </is>
      </c>
      <c r="AY745" t="inlineStr">
        <is>
          <t>395586</t>
        </is>
      </c>
      <c r="AZ745" t="inlineStr">
        <is>
          <t>No</t>
        </is>
      </c>
      <c r="BB745" t="n">
        <v>4</v>
      </c>
      <c r="BC745" t="inlineStr">
        <is>
          <t>CANCELADO</t>
        </is>
      </c>
      <c r="BN745" t="inlineStr">
        <is>
          <t>Si</t>
        </is>
      </c>
      <c r="BO745" s="117" t="n">
        <v>46185.57291666666</v>
      </c>
      <c r="BP745" t="inlineStr">
        <is>
          <t xml:space="preserve">Glenda Solano </t>
        </is>
      </c>
      <c r="BR745" t="n">
        <v>18</v>
      </c>
      <c r="BS745" t="inlineStr">
        <is>
          <t>02/07/2026 13:43</t>
        </is>
      </c>
      <c r="BT745" t="n">
        <v>0</v>
      </c>
      <c r="BX745" t="inlineStr">
        <is>
          <t>Cobranzas_2026.csv</t>
        </is>
      </c>
      <c r="BY745" t="n">
        <v>2026</v>
      </c>
      <c r="BZ745" t="inlineStr">
        <is>
          <t>01/01/2024</t>
        </is>
      </c>
      <c r="CA745" t="inlineStr">
        <is>
          <t>30/09/2031</t>
        </is>
      </c>
    </row>
    <row r="746">
      <c r="A746" t="inlineStr">
        <is>
          <t>RESIDENCIAL VENECIA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705</t>
        </is>
      </c>
      <c r="G746" s="39" t="n">
        <v>442000</v>
      </c>
      <c r="H746" s="39" t="n">
        <v>416000</v>
      </c>
      <c r="M746" s="39" t="n"/>
      <c r="N746" s="39" t="n"/>
      <c r="S746" s="39" t="n"/>
      <c r="T746" s="39" t="n"/>
      <c r="Y746" s="39" t="n"/>
      <c r="Z746" s="39" t="n"/>
      <c r="AA746" t="inlineStr">
        <is>
          <t>RENZO VALDERRAMA REYES</t>
        </is>
      </c>
      <c r="AB746" t="inlineStr">
        <is>
          <t>45416570</t>
        </is>
      </c>
      <c r="AC746" t="inlineStr">
        <is>
          <t>Jr. Almudena 194</t>
        </is>
      </c>
      <c r="AD746" t="n">
        <v>0</v>
      </c>
      <c r="AE746" t="inlineStr">
        <is>
          <t>932290459</t>
        </is>
      </c>
      <c r="AF746" t="inlineStr">
        <is>
          <t>rvalderrama2488@hotmail.com</t>
        </is>
      </c>
      <c r="AG746" t="inlineStr">
        <is>
          <t>LIMA</t>
        </is>
      </c>
      <c r="AH746" t="inlineStr">
        <is>
          <t>SAN LUIS</t>
        </is>
      </c>
      <c r="AI746" s="116" t="n">
        <v>46356</v>
      </c>
      <c r="AJ746" s="116" t="n"/>
      <c r="AK746" t="inlineStr">
        <is>
          <t>CUOTA INICIAL</t>
        </is>
      </c>
      <c r="AL746" t="n">
        <v>2</v>
      </c>
      <c r="AM746" t="n">
        <v>15200</v>
      </c>
      <c r="AN746" t="n">
        <v>0</v>
      </c>
      <c r="AO746" t="n">
        <v>0</v>
      </c>
      <c r="AP746" s="39" t="n">
        <v>15200</v>
      </c>
      <c r="AQ746" s="39" t="n">
        <v>0</v>
      </c>
      <c r="AR746" s="39" t="n">
        <v>15200</v>
      </c>
      <c r="AT746" t="inlineStr">
        <is>
          <t>Crédito Hipotecario</t>
        </is>
      </c>
      <c r="AZ746" t="inlineStr">
        <is>
          <t>No</t>
        </is>
      </c>
      <c r="BC746" t="inlineStr">
        <is>
          <t>PENDIENTE</t>
        </is>
      </c>
      <c r="BN746" t="inlineStr">
        <is>
          <t>No</t>
        </is>
      </c>
      <c r="BO746" s="117" t="n">
        <v>46185.57291666666</v>
      </c>
      <c r="BP746" t="inlineStr">
        <is>
          <t xml:space="preserve">Glenda Solano </t>
        </is>
      </c>
      <c r="BR746" t="n">
        <v>18</v>
      </c>
      <c r="BT746" t="n">
        <v>0</v>
      </c>
      <c r="BX746" t="inlineStr">
        <is>
          <t>Cobranzas_2026.csv</t>
        </is>
      </c>
      <c r="BY746" t="n">
        <v>2026</v>
      </c>
      <c r="BZ746" t="inlineStr">
        <is>
          <t>01/01/2024</t>
        </is>
      </c>
      <c r="CA746" t="inlineStr">
        <is>
          <t>30/09/2031</t>
        </is>
      </c>
    </row>
    <row r="747">
      <c r="A747" t="inlineStr">
        <is>
          <t>RESIDENCIAL VENECIA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705</t>
        </is>
      </c>
      <c r="G747" s="39" t="n">
        <v>442000</v>
      </c>
      <c r="H747" s="39" t="n">
        <v>416000</v>
      </c>
      <c r="M747" s="39" t="n"/>
      <c r="N747" s="39" t="n"/>
      <c r="S747" s="39" t="n"/>
      <c r="T747" s="39" t="n"/>
      <c r="Y747" s="39" t="n"/>
      <c r="Z747" s="39" t="n"/>
      <c r="AA747" t="inlineStr">
        <is>
          <t>RENZO VALDERRAMA REYES</t>
        </is>
      </c>
      <c r="AB747" t="inlineStr">
        <is>
          <t>45416570</t>
        </is>
      </c>
      <c r="AC747" t="inlineStr">
        <is>
          <t>Jr. Almudena 194</t>
        </is>
      </c>
      <c r="AD747" t="n">
        <v>0</v>
      </c>
      <c r="AE747" t="inlineStr">
        <is>
          <t>932290459</t>
        </is>
      </c>
      <c r="AF747" t="inlineStr">
        <is>
          <t>rvalderrama2488@hotmail.com</t>
        </is>
      </c>
      <c r="AG747" t="inlineStr">
        <is>
          <t>LIMA</t>
        </is>
      </c>
      <c r="AH747" t="inlineStr">
        <is>
          <t>SAN LUIS</t>
        </is>
      </c>
      <c r="AI747" s="116" t="n">
        <v>46387</v>
      </c>
      <c r="AJ747" s="116" t="n"/>
      <c r="AK747" t="inlineStr">
        <is>
          <t>SALDO FINANCIAR</t>
        </is>
      </c>
      <c r="AL747" t="n">
        <v>1</v>
      </c>
      <c r="AM747" t="n">
        <v>374400</v>
      </c>
      <c r="AN747" t="n">
        <v>0</v>
      </c>
      <c r="AO747" t="n">
        <v>0</v>
      </c>
      <c r="AP747" s="39" t="n">
        <v>374400</v>
      </c>
      <c r="AQ747" s="39" t="n">
        <v>0</v>
      </c>
      <c r="AR747" s="39" t="n">
        <v>374400</v>
      </c>
      <c r="AT747" t="inlineStr">
        <is>
          <t>Crédito Hipotecario</t>
        </is>
      </c>
      <c r="AZ747" t="inlineStr">
        <is>
          <t>No</t>
        </is>
      </c>
      <c r="BC747" t="inlineStr">
        <is>
          <t>PENDIENTE</t>
        </is>
      </c>
      <c r="BN747" t="inlineStr">
        <is>
          <t>No</t>
        </is>
      </c>
      <c r="BO747" s="117" t="n">
        <v>46185.57291666666</v>
      </c>
      <c r="BP747" t="inlineStr">
        <is>
          <t xml:space="preserve">Glenda Solano </t>
        </is>
      </c>
      <c r="BR747" t="n">
        <v>18</v>
      </c>
      <c r="BT747" t="n">
        <v>0</v>
      </c>
      <c r="BX747" t="inlineStr">
        <is>
          <t>Cobranzas_2026.csv</t>
        </is>
      </c>
      <c r="BY747" t="n">
        <v>2026</v>
      </c>
      <c r="BZ747" t="inlineStr">
        <is>
          <t>01/01/2024</t>
        </is>
      </c>
      <c r="CA747" t="inlineStr">
        <is>
          <t>30/09/2031</t>
        </is>
      </c>
    </row>
    <row r="748">
      <c r="A748" t="inlineStr">
        <is>
          <t>RESIDENCIAL PRADA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804</t>
        </is>
      </c>
      <c r="G748" s="39" t="n">
        <v>478700</v>
      </c>
      <c r="H748" s="39" t="n">
        <v>417000</v>
      </c>
      <c r="I748" t="inlineStr">
        <is>
          <t>Edificio</t>
        </is>
      </c>
      <c r="J748" t="inlineStr">
        <is>
          <t>A</t>
        </is>
      </c>
      <c r="K748" t="inlineStr">
        <is>
          <t>Estacionamiento</t>
        </is>
      </c>
      <c r="L748" t="inlineStr">
        <is>
          <t>E 42 - D 33</t>
        </is>
      </c>
      <c r="M748" s="39" t="n">
        <v>61000</v>
      </c>
      <c r="N748" s="39" t="n">
        <v>61000</v>
      </c>
      <c r="S748" s="39" t="n"/>
      <c r="T748" s="39" t="n"/>
      <c r="Y748" s="39" t="n"/>
      <c r="Z748" s="39" t="n"/>
      <c r="AA748" t="inlineStr">
        <is>
          <t>RICARDO DANIEL ESPINOZA ANCHAYGUA</t>
        </is>
      </c>
      <c r="AB748" t="inlineStr">
        <is>
          <t>71229453</t>
        </is>
      </c>
      <c r="AC748" t="inlineStr">
        <is>
          <t>CALLE CALESA</t>
        </is>
      </c>
      <c r="AD748" t="n">
        <v>0</v>
      </c>
      <c r="AE748" t="inlineStr">
        <is>
          <t>999698265</t>
        </is>
      </c>
      <c r="AF748" t="inlineStr">
        <is>
          <t>RMENDOZA@GMAIL.COM</t>
        </is>
      </c>
      <c r="AG748" t="inlineStr">
        <is>
          <t>LIMA</t>
        </is>
      </c>
      <c r="AH748" t="inlineStr">
        <is>
          <t>LA MOLINA</t>
        </is>
      </c>
      <c r="AI748" s="116" t="n">
        <v>46159</v>
      </c>
      <c r="AJ748" s="116" t="n">
        <v>46159</v>
      </c>
      <c r="AK748" t="inlineStr">
        <is>
          <t>SEPARACION</t>
        </is>
      </c>
      <c r="AL748" t="n">
        <v>1</v>
      </c>
      <c r="AM748" t="n">
        <v>3000</v>
      </c>
      <c r="AN748" t="n">
        <v>0</v>
      </c>
      <c r="AO748" t="n">
        <v>0</v>
      </c>
      <c r="AP748" s="39" t="n">
        <v>3000</v>
      </c>
      <c r="AQ748" s="39" t="n">
        <v>3000</v>
      </c>
      <c r="AR748" s="39" t="n">
        <v>0</v>
      </c>
      <c r="AS748" t="n">
        <v>0</v>
      </c>
      <c r="AT748" t="inlineStr">
        <is>
          <t>Crédito Hipotecario</t>
        </is>
      </c>
      <c r="AU748" t="inlineStr">
        <is>
          <t>Scotiabank Perú</t>
        </is>
      </c>
      <c r="AV748" t="inlineStr">
        <is>
          <t>000-2768484</t>
        </is>
      </c>
      <c r="AW748" t="inlineStr">
        <is>
          <t>TRANSFERENCIA BANCARIA</t>
        </is>
      </c>
      <c r="AY748" t="inlineStr">
        <is>
          <t>184</t>
        </is>
      </c>
      <c r="AZ748" t="inlineStr">
        <is>
          <t>No</t>
        </is>
      </c>
      <c r="BB748" t="n">
        <v>4</v>
      </c>
      <c r="BC748" t="inlineStr">
        <is>
          <t>CANCELADO</t>
        </is>
      </c>
      <c r="BN748" t="inlineStr">
        <is>
          <t>Si</t>
        </is>
      </c>
      <c r="BO748" s="117" t="n">
        <v>46172.70694444444</v>
      </c>
      <c r="BP748" t="inlineStr">
        <is>
          <t xml:space="preserve">Glenda Solano </t>
        </is>
      </c>
      <c r="BR748" t="n">
        <v>30</v>
      </c>
      <c r="BS748" t="inlineStr">
        <is>
          <t>26/06/2026 14:18</t>
        </is>
      </c>
      <c r="BT748" t="n">
        <v>0</v>
      </c>
      <c r="BX748" t="inlineStr">
        <is>
          <t>Cobranzas_2026.csv</t>
        </is>
      </c>
      <c r="BY748" t="n">
        <v>2026</v>
      </c>
      <c r="BZ748" t="inlineStr">
        <is>
          <t>01/01/2024</t>
        </is>
      </c>
      <c r="CA748" t="inlineStr">
        <is>
          <t>30/09/2031</t>
        </is>
      </c>
    </row>
    <row r="749">
      <c r="A749" t="inlineStr">
        <is>
          <t>RESIDENCIAL PRADA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804</t>
        </is>
      </c>
      <c r="G749" s="39" t="n">
        <v>478700</v>
      </c>
      <c r="H749" s="39" t="n">
        <v>417000</v>
      </c>
      <c r="I749" t="inlineStr">
        <is>
          <t>Edificio</t>
        </is>
      </c>
      <c r="J749" t="inlineStr">
        <is>
          <t>A</t>
        </is>
      </c>
      <c r="K749" t="inlineStr">
        <is>
          <t>Estacionamiento</t>
        </is>
      </c>
      <c r="L749" t="inlineStr">
        <is>
          <t>E 42 - D 33</t>
        </is>
      </c>
      <c r="M749" s="39" t="n">
        <v>61000</v>
      </c>
      <c r="N749" s="39" t="n">
        <v>61000</v>
      </c>
      <c r="S749" s="39" t="n"/>
      <c r="T749" s="39" t="n"/>
      <c r="Y749" s="39" t="n"/>
      <c r="Z749" s="39" t="n"/>
      <c r="AA749" t="inlineStr">
        <is>
          <t>RICARDO DANIEL ESPINOZA ANCHAYGUA</t>
        </is>
      </c>
      <c r="AB749" t="inlineStr">
        <is>
          <t>71229453</t>
        </is>
      </c>
      <c r="AC749" t="inlineStr">
        <is>
          <t>CALLE CALESA</t>
        </is>
      </c>
      <c r="AD749" t="n">
        <v>0</v>
      </c>
      <c r="AE749" t="inlineStr">
        <is>
          <t>999698265</t>
        </is>
      </c>
      <c r="AF749" t="inlineStr">
        <is>
          <t>RMENDOZA@GMAIL.COM</t>
        </is>
      </c>
      <c r="AG749" t="inlineStr">
        <is>
          <t>LIMA</t>
        </is>
      </c>
      <c r="AH749" t="inlineStr">
        <is>
          <t>LA MOLINA</t>
        </is>
      </c>
      <c r="AI749" s="116" t="n">
        <v>46172</v>
      </c>
      <c r="AJ749" s="116" t="n">
        <v>46170</v>
      </c>
      <c r="AK749" t="inlineStr">
        <is>
          <t>CUOTA INICIAL</t>
        </is>
      </c>
      <c r="AL749" t="n">
        <v>1</v>
      </c>
      <c r="AM749" t="n">
        <v>47000</v>
      </c>
      <c r="AN749" t="n">
        <v>0</v>
      </c>
      <c r="AO749" t="n">
        <v>0</v>
      </c>
      <c r="AP749" s="39" t="n">
        <v>47000</v>
      </c>
      <c r="AQ749" s="39" t="n">
        <v>10000</v>
      </c>
      <c r="AR749" s="39" t="n">
        <v>0</v>
      </c>
      <c r="AS749" t="n">
        <v>0</v>
      </c>
      <c r="AT749" t="inlineStr">
        <is>
          <t>Crédito Hipotecario</t>
        </is>
      </c>
      <c r="AU749" t="inlineStr">
        <is>
          <t>Scotiabank Perú</t>
        </is>
      </c>
      <c r="AV749" t="inlineStr">
        <is>
          <t>000-2768484</t>
        </is>
      </c>
      <c r="AW749" t="inlineStr">
        <is>
          <t>TRANSFERENCIA BANCARIA</t>
        </is>
      </c>
      <c r="AY749" t="inlineStr">
        <is>
          <t>7844655545806</t>
        </is>
      </c>
      <c r="AZ749" t="inlineStr">
        <is>
          <t>No</t>
        </is>
      </c>
      <c r="BB749" t="n">
        <v>4</v>
      </c>
      <c r="BC749" t="inlineStr">
        <is>
          <t>CANCELADO</t>
        </is>
      </c>
      <c r="BN749" t="inlineStr">
        <is>
          <t>Si</t>
        </is>
      </c>
      <c r="BO749" s="117" t="n">
        <v>46172.70694444444</v>
      </c>
      <c r="BP749" t="inlineStr">
        <is>
          <t xml:space="preserve">Glenda Solano </t>
        </is>
      </c>
      <c r="BR749" t="n">
        <v>30</v>
      </c>
      <c r="BS749" t="inlineStr">
        <is>
          <t>26/06/2026 14:20</t>
        </is>
      </c>
      <c r="BT749" t="n">
        <v>0</v>
      </c>
      <c r="BX749" t="inlineStr">
        <is>
          <t>Cobranzas_2026.csv</t>
        </is>
      </c>
      <c r="BY749" t="n">
        <v>2026</v>
      </c>
      <c r="BZ749" t="inlineStr">
        <is>
          <t>01/01/2024</t>
        </is>
      </c>
      <c r="CA749" t="inlineStr">
        <is>
          <t>30/09/2031</t>
        </is>
      </c>
    </row>
    <row r="750">
      <c r="A750" t="inlineStr">
        <is>
          <t>RESIDENCIAL PRADA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804</t>
        </is>
      </c>
      <c r="G750" s="39" t="n">
        <v>478700</v>
      </c>
      <c r="H750" s="39" t="n">
        <v>417000</v>
      </c>
      <c r="I750" t="inlineStr">
        <is>
          <t>Edificio</t>
        </is>
      </c>
      <c r="J750" t="inlineStr">
        <is>
          <t>A</t>
        </is>
      </c>
      <c r="K750" t="inlineStr">
        <is>
          <t>Estacionamiento</t>
        </is>
      </c>
      <c r="L750" t="inlineStr">
        <is>
          <t>E 42 - D 33</t>
        </is>
      </c>
      <c r="M750" s="39" t="n">
        <v>61000</v>
      </c>
      <c r="N750" s="39" t="n">
        <v>61000</v>
      </c>
      <c r="S750" s="39" t="n"/>
      <c r="T750" s="39" t="n"/>
      <c r="Y750" s="39" t="n"/>
      <c r="Z750" s="39" t="n"/>
      <c r="AA750" t="inlineStr">
        <is>
          <t>RICARDO DANIEL ESPINOZA ANCHAYGUA</t>
        </is>
      </c>
      <c r="AB750" t="inlineStr">
        <is>
          <t>71229453</t>
        </is>
      </c>
      <c r="AC750" t="inlineStr">
        <is>
          <t>CALLE CALESA</t>
        </is>
      </c>
      <c r="AD750" t="n">
        <v>0</v>
      </c>
      <c r="AE750" t="inlineStr">
        <is>
          <t>999698265</t>
        </is>
      </c>
      <c r="AF750" t="inlineStr">
        <is>
          <t>RMENDOZA@GMAIL.COM</t>
        </is>
      </c>
      <c r="AG750" t="inlineStr">
        <is>
          <t>LIMA</t>
        </is>
      </c>
      <c r="AH750" t="inlineStr">
        <is>
          <t>LA MOLINA</t>
        </is>
      </c>
      <c r="AI750" s="116" t="n">
        <v>46172</v>
      </c>
      <c r="AJ750" s="116" t="n">
        <v>46170</v>
      </c>
      <c r="AK750" t="inlineStr">
        <is>
          <t>CUOTA INICIAL</t>
        </is>
      </c>
      <c r="AL750" t="n">
        <v>1</v>
      </c>
      <c r="AM750" t="n">
        <v>0</v>
      </c>
      <c r="AN750" t="n">
        <v>0</v>
      </c>
      <c r="AO750" t="n">
        <v>0</v>
      </c>
      <c r="AP750" s="39" t="n">
        <v>0</v>
      </c>
      <c r="AQ750" s="39" t="n">
        <v>20000</v>
      </c>
      <c r="AR750" s="39" t="n">
        <v>0</v>
      </c>
      <c r="AS750" t="n">
        <v>0</v>
      </c>
      <c r="AT750" t="inlineStr">
        <is>
          <t>Crédito Hipotecario</t>
        </is>
      </c>
      <c r="AU750" t="inlineStr">
        <is>
          <t>Scotiabank Perú</t>
        </is>
      </c>
      <c r="AV750" t="inlineStr">
        <is>
          <t>000-2768484</t>
        </is>
      </c>
      <c r="AW750" t="inlineStr">
        <is>
          <t>TRANSFERENCIA BANCARIA</t>
        </is>
      </c>
      <c r="AY750" t="inlineStr">
        <is>
          <t>7844655545781</t>
        </is>
      </c>
      <c r="AZ750" t="inlineStr">
        <is>
          <t>No</t>
        </is>
      </c>
      <c r="BB750" t="n">
        <v>4</v>
      </c>
      <c r="BC750" t="inlineStr">
        <is>
          <t>CANCELADO</t>
        </is>
      </c>
      <c r="BN750" t="inlineStr">
        <is>
          <t>Si</t>
        </is>
      </c>
      <c r="BO750" s="117" t="n">
        <v>46172.70694444444</v>
      </c>
      <c r="BP750" t="inlineStr">
        <is>
          <t xml:space="preserve">Glenda Solano </t>
        </is>
      </c>
      <c r="BR750" t="n">
        <v>30</v>
      </c>
      <c r="BS750" t="inlineStr">
        <is>
          <t>26/06/2026 14:21</t>
        </is>
      </c>
      <c r="BT750" t="n">
        <v>0</v>
      </c>
      <c r="BX750" t="inlineStr">
        <is>
          <t>Cobranzas_2026.csv</t>
        </is>
      </c>
      <c r="BY750" t="n">
        <v>2026</v>
      </c>
      <c r="BZ750" t="inlineStr">
        <is>
          <t>01/01/2024</t>
        </is>
      </c>
      <c r="CA750" t="inlineStr">
        <is>
          <t>30/09/2031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804</t>
        </is>
      </c>
      <c r="G751" s="39" t="n">
        <v>478700</v>
      </c>
      <c r="H751" s="39" t="n">
        <v>417000</v>
      </c>
      <c r="I751" t="inlineStr">
        <is>
          <t>Edificio</t>
        </is>
      </c>
      <c r="J751" t="inlineStr">
        <is>
          <t>A</t>
        </is>
      </c>
      <c r="K751" t="inlineStr">
        <is>
          <t>Estacionamiento</t>
        </is>
      </c>
      <c r="L751" t="inlineStr">
        <is>
          <t>E 42 - D 33</t>
        </is>
      </c>
      <c r="M751" s="39" t="n">
        <v>61000</v>
      </c>
      <c r="N751" s="39" t="n">
        <v>61000</v>
      </c>
      <c r="S751" s="39" t="n"/>
      <c r="T751" s="39" t="n"/>
      <c r="Y751" s="39" t="n"/>
      <c r="Z751" s="39" t="n"/>
      <c r="AA751" t="inlineStr">
        <is>
          <t>RICARDO DANIEL ESPINOZA ANCHAYGUA</t>
        </is>
      </c>
      <c r="AB751" t="inlineStr">
        <is>
          <t>71229453</t>
        </is>
      </c>
      <c r="AC751" t="inlineStr">
        <is>
          <t>CALLE CALESA</t>
        </is>
      </c>
      <c r="AD751" t="n">
        <v>0</v>
      </c>
      <c r="AE751" t="inlineStr">
        <is>
          <t>999698265</t>
        </is>
      </c>
      <c r="AF751" t="inlineStr">
        <is>
          <t>RMENDOZA@GMAIL.COM</t>
        </is>
      </c>
      <c r="AG751" t="inlineStr">
        <is>
          <t>LIMA</t>
        </is>
      </c>
      <c r="AH751" t="inlineStr">
        <is>
          <t>LA MOLINA</t>
        </is>
      </c>
      <c r="AI751" s="116" t="n">
        <v>46172</v>
      </c>
      <c r="AJ751" s="116" t="n">
        <v>46171</v>
      </c>
      <c r="AK751" t="inlineStr">
        <is>
          <t>CUOTA INICIAL</t>
        </is>
      </c>
      <c r="AL751" t="n">
        <v>1</v>
      </c>
      <c r="AM751" t="n">
        <v>0</v>
      </c>
      <c r="AN751" t="n">
        <v>0</v>
      </c>
      <c r="AO751" t="n">
        <v>0</v>
      </c>
      <c r="AP751" s="39" t="n">
        <v>0</v>
      </c>
      <c r="AQ751" s="39" t="n">
        <v>17000</v>
      </c>
      <c r="AR751" s="39" t="n">
        <v>0</v>
      </c>
      <c r="AS751" t="n">
        <v>0</v>
      </c>
      <c r="AT751" t="inlineStr">
        <is>
          <t>Crédito Hipotecario</t>
        </is>
      </c>
      <c r="AU751" t="inlineStr">
        <is>
          <t>Scotiabank Perú</t>
        </is>
      </c>
      <c r="AV751" t="inlineStr">
        <is>
          <t>000-2768484</t>
        </is>
      </c>
      <c r="AW751" t="inlineStr">
        <is>
          <t>TRANSFERENCIA BANCARIA</t>
        </is>
      </c>
      <c r="AY751" t="inlineStr">
        <is>
          <t>7844655524245</t>
        </is>
      </c>
      <c r="AZ751" t="inlineStr">
        <is>
          <t>No</t>
        </is>
      </c>
      <c r="BB751" t="n">
        <v>4</v>
      </c>
      <c r="BC751" t="inlineStr">
        <is>
          <t>CANCELADO</t>
        </is>
      </c>
      <c r="BN751" t="inlineStr">
        <is>
          <t>Si</t>
        </is>
      </c>
      <c r="BO751" s="117" t="n">
        <v>46172.70694444444</v>
      </c>
      <c r="BP751" t="inlineStr">
        <is>
          <t xml:space="preserve">Glenda Solano </t>
        </is>
      </c>
      <c r="BR751" t="n">
        <v>30</v>
      </c>
      <c r="BS751" t="inlineStr">
        <is>
          <t>26/06/2026 14:22</t>
        </is>
      </c>
      <c r="BT751" t="n">
        <v>0</v>
      </c>
      <c r="BX751" t="inlineStr">
        <is>
          <t>Cobranzas_2026.csv</t>
        </is>
      </c>
      <c r="BY751" t="n">
        <v>2026</v>
      </c>
      <c r="BZ751" t="inlineStr">
        <is>
          <t>01/01/2024</t>
        </is>
      </c>
      <c r="CA751" t="inlineStr">
        <is>
          <t>30/09/2031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804</t>
        </is>
      </c>
      <c r="G752" s="39" t="n">
        <v>478700</v>
      </c>
      <c r="H752" s="39" t="n">
        <v>417000</v>
      </c>
      <c r="I752" t="inlineStr">
        <is>
          <t>Edificio</t>
        </is>
      </c>
      <c r="J752" t="inlineStr">
        <is>
          <t>A</t>
        </is>
      </c>
      <c r="K752" t="inlineStr">
        <is>
          <t>Estacionamiento</t>
        </is>
      </c>
      <c r="L752" t="inlineStr">
        <is>
          <t>E 42 - D 33</t>
        </is>
      </c>
      <c r="M752" s="39" t="n">
        <v>61000</v>
      </c>
      <c r="N752" s="39" t="n">
        <v>61000</v>
      </c>
      <c r="S752" s="39" t="n"/>
      <c r="T752" s="39" t="n"/>
      <c r="Y752" s="39" t="n"/>
      <c r="Z752" s="39" t="n"/>
      <c r="AA752" t="inlineStr">
        <is>
          <t>RICARDO DANIEL ESPINOZA ANCHAYGUA</t>
        </is>
      </c>
      <c r="AB752" t="inlineStr">
        <is>
          <t>71229453</t>
        </is>
      </c>
      <c r="AC752" t="inlineStr">
        <is>
          <t>CALLE CALESA</t>
        </is>
      </c>
      <c r="AD752" t="n">
        <v>0</v>
      </c>
      <c r="AE752" t="inlineStr">
        <is>
          <t>999698265</t>
        </is>
      </c>
      <c r="AF752" t="inlineStr">
        <is>
          <t>RMENDOZA@GMAIL.COM</t>
        </is>
      </c>
      <c r="AG752" t="inlineStr">
        <is>
          <t>LIMA</t>
        </is>
      </c>
      <c r="AH752" t="inlineStr">
        <is>
          <t>LA MOLINA</t>
        </is>
      </c>
      <c r="AI752" s="116" t="n">
        <v>46203</v>
      </c>
      <c r="AJ752" s="116" t="n">
        <v>46196</v>
      </c>
      <c r="AK752" t="inlineStr">
        <is>
          <t>CUOTA INICIAL</t>
        </is>
      </c>
      <c r="AL752" t="n">
        <v>2</v>
      </c>
      <c r="AM752" t="n">
        <v>50000</v>
      </c>
      <c r="AN752" t="n">
        <v>0</v>
      </c>
      <c r="AO752" t="n">
        <v>0</v>
      </c>
      <c r="AP752" s="39" t="n">
        <v>50000</v>
      </c>
      <c r="AQ752" s="39" t="n">
        <v>50000</v>
      </c>
      <c r="AR752" s="39" t="n">
        <v>0</v>
      </c>
      <c r="AS752" t="n">
        <v>0</v>
      </c>
      <c r="AT752" t="inlineStr">
        <is>
          <t>Crédito Hipotecario</t>
        </is>
      </c>
      <c r="AU752" t="inlineStr">
        <is>
          <t>Scotiabank Perú</t>
        </is>
      </c>
      <c r="AV752" t="inlineStr">
        <is>
          <t>000-2768484</t>
        </is>
      </c>
      <c r="AW752" t="inlineStr">
        <is>
          <t>TRANSFERENCIA BANCARIA</t>
        </is>
      </c>
      <c r="AY752" t="inlineStr">
        <is>
          <t>U101199</t>
        </is>
      </c>
      <c r="AZ752" t="inlineStr">
        <is>
          <t>No</t>
        </is>
      </c>
      <c r="BB752" t="n">
        <v>4</v>
      </c>
      <c r="BC752" t="inlineStr">
        <is>
          <t>CANCELADO</t>
        </is>
      </c>
      <c r="BN752" t="inlineStr">
        <is>
          <t>Si</t>
        </is>
      </c>
      <c r="BO752" s="117" t="n">
        <v>46172.70694444444</v>
      </c>
      <c r="BP752" t="inlineStr">
        <is>
          <t xml:space="preserve">Glenda Solano </t>
        </is>
      </c>
      <c r="BR752" t="n">
        <v>30</v>
      </c>
      <c r="BS752" t="inlineStr">
        <is>
          <t>26/06/2026 14:26</t>
        </is>
      </c>
      <c r="BT752" t="n">
        <v>0</v>
      </c>
      <c r="BX752" t="inlineStr">
        <is>
          <t>Cobranzas_2026.csv</t>
        </is>
      </c>
      <c r="BY752" t="n">
        <v>2026</v>
      </c>
      <c r="BZ752" t="inlineStr">
        <is>
          <t>01/01/2024</t>
        </is>
      </c>
      <c r="CA752" t="inlineStr">
        <is>
          <t>30/09/2031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804</t>
        </is>
      </c>
      <c r="G753" s="39" t="n">
        <v>478700</v>
      </c>
      <c r="H753" s="39" t="n">
        <v>417000</v>
      </c>
      <c r="I753" t="inlineStr">
        <is>
          <t>Edificio</t>
        </is>
      </c>
      <c r="J753" t="inlineStr">
        <is>
          <t>A</t>
        </is>
      </c>
      <c r="K753" t="inlineStr">
        <is>
          <t>Estacionamiento</t>
        </is>
      </c>
      <c r="L753" t="inlineStr">
        <is>
          <t>E 42 - D 33</t>
        </is>
      </c>
      <c r="M753" s="39" t="n">
        <v>61000</v>
      </c>
      <c r="N753" s="39" t="n">
        <v>61000</v>
      </c>
      <c r="S753" s="39" t="n"/>
      <c r="T753" s="39" t="n"/>
      <c r="Y753" s="39" t="n"/>
      <c r="Z753" s="39" t="n"/>
      <c r="AA753" t="inlineStr">
        <is>
          <t>RICARDO DANIEL ESPINOZA ANCHAYGUA</t>
        </is>
      </c>
      <c r="AB753" t="inlineStr">
        <is>
          <t>71229453</t>
        </is>
      </c>
      <c r="AC753" t="inlineStr">
        <is>
          <t>CALLE CALESA</t>
        </is>
      </c>
      <c r="AD753" t="n">
        <v>0</v>
      </c>
      <c r="AE753" t="inlineStr">
        <is>
          <t>999698265</t>
        </is>
      </c>
      <c r="AF753" t="inlineStr">
        <is>
          <t>RMENDOZA@GMAIL.COM</t>
        </is>
      </c>
      <c r="AG753" t="inlineStr">
        <is>
          <t>LIMA</t>
        </is>
      </c>
      <c r="AH753" t="inlineStr">
        <is>
          <t>LA MOLINA</t>
        </is>
      </c>
      <c r="AI753" s="116" t="n">
        <v>46203</v>
      </c>
      <c r="AJ753" s="116" t="n">
        <v>46198</v>
      </c>
      <c r="AK753" t="inlineStr">
        <is>
          <t>SALDO FINANCIAR</t>
        </is>
      </c>
      <c r="AL753" t="n">
        <v>1</v>
      </c>
      <c r="AM753" t="n">
        <v>0</v>
      </c>
      <c r="AN753" t="n">
        <v>0</v>
      </c>
      <c r="AO753" t="n">
        <v>0</v>
      </c>
      <c r="AP753" s="39" t="n">
        <v>189000</v>
      </c>
      <c r="AQ753" s="39" t="n">
        <v>178000</v>
      </c>
      <c r="AR753" s="39" t="n">
        <v>0</v>
      </c>
      <c r="AS753" t="n">
        <v>0</v>
      </c>
      <c r="AT753" t="inlineStr">
        <is>
          <t>Crédito Hipotecario</t>
        </is>
      </c>
      <c r="AU753" t="inlineStr">
        <is>
          <t>Scotiabank Perú</t>
        </is>
      </c>
      <c r="AV753" t="inlineStr">
        <is>
          <t>000-2768484</t>
        </is>
      </c>
      <c r="AW753" t="inlineStr">
        <is>
          <t>TRANSFERENCIA BANCARIA</t>
        </is>
      </c>
      <c r="AY753" t="inlineStr">
        <is>
          <t>U26606</t>
        </is>
      </c>
      <c r="AZ753" t="inlineStr">
        <is>
          <t>No</t>
        </is>
      </c>
      <c r="BB753" t="n">
        <v>4</v>
      </c>
      <c r="BC753" t="inlineStr">
        <is>
          <t>CANCELADO</t>
        </is>
      </c>
      <c r="BN753" t="inlineStr">
        <is>
          <t>Si</t>
        </is>
      </c>
      <c r="BO753" s="117" t="n">
        <v>46172.70694444444</v>
      </c>
      <c r="BP753" t="inlineStr">
        <is>
          <t xml:space="preserve">Glenda Solano </t>
        </is>
      </c>
      <c r="BR753" t="n">
        <v>30</v>
      </c>
      <c r="BS753" t="inlineStr">
        <is>
          <t>26/06/2026 14:27</t>
        </is>
      </c>
      <c r="BT753" t="n">
        <v>0</v>
      </c>
      <c r="BX753" t="inlineStr">
        <is>
          <t>Cobranzas_2026.csv</t>
        </is>
      </c>
      <c r="BY753" t="n">
        <v>2026</v>
      </c>
      <c r="BZ753" t="inlineStr">
        <is>
          <t>01/01/2024</t>
        </is>
      </c>
      <c r="CA753" t="inlineStr">
        <is>
          <t>30/09/2031</t>
        </is>
      </c>
    </row>
    <row r="754">
      <c r="A754" t="inlineStr">
        <is>
          <t>RESIDENCIAL PRADA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804</t>
        </is>
      </c>
      <c r="G754" s="39" t="n">
        <v>478700</v>
      </c>
      <c r="H754" s="39" t="n">
        <v>417000</v>
      </c>
      <c r="I754" t="inlineStr">
        <is>
          <t>Edificio</t>
        </is>
      </c>
      <c r="J754" t="inlineStr">
        <is>
          <t>A</t>
        </is>
      </c>
      <c r="K754" t="inlineStr">
        <is>
          <t>Estacionamiento</t>
        </is>
      </c>
      <c r="L754" t="inlineStr">
        <is>
          <t>E 42 - D 33</t>
        </is>
      </c>
      <c r="M754" s="39" t="n">
        <v>61000</v>
      </c>
      <c r="N754" s="39" t="n">
        <v>61000</v>
      </c>
      <c r="S754" s="39" t="n"/>
      <c r="T754" s="39" t="n"/>
      <c r="Y754" s="39" t="n"/>
      <c r="Z754" s="39" t="n"/>
      <c r="AA754" t="inlineStr">
        <is>
          <t>RICARDO DANIEL ESPINOZA ANCHAYGUA</t>
        </is>
      </c>
      <c r="AB754" t="inlineStr">
        <is>
          <t>71229453</t>
        </is>
      </c>
      <c r="AC754" t="inlineStr">
        <is>
          <t>CALLE CALESA</t>
        </is>
      </c>
      <c r="AD754" t="n">
        <v>0</v>
      </c>
      <c r="AE754" t="inlineStr">
        <is>
          <t>999698265</t>
        </is>
      </c>
      <c r="AF754" t="inlineStr">
        <is>
          <t>RMENDOZA@GMAIL.COM</t>
        </is>
      </c>
      <c r="AG754" t="inlineStr">
        <is>
          <t>LIMA</t>
        </is>
      </c>
      <c r="AH754" t="inlineStr">
        <is>
          <t>LA MOLINA</t>
        </is>
      </c>
      <c r="AI754" s="116" t="n">
        <v>46203</v>
      </c>
      <c r="AJ754" s="116" t="n">
        <v>46247</v>
      </c>
      <c r="AK754" t="inlineStr">
        <is>
          <t>SALDO FINANCIAR</t>
        </is>
      </c>
      <c r="AL754" t="n">
        <v>1</v>
      </c>
      <c r="AM754" t="n">
        <v>189000</v>
      </c>
      <c r="AN754" t="n">
        <v>0</v>
      </c>
      <c r="AO754" t="n">
        <v>0</v>
      </c>
      <c r="AP754" s="39" t="n">
        <v>0</v>
      </c>
      <c r="AQ754" s="39" t="n">
        <v>11000</v>
      </c>
      <c r="AR754" s="39" t="n">
        <v>0</v>
      </c>
      <c r="AS754" t="n">
        <v>0</v>
      </c>
      <c r="AT754" t="inlineStr">
        <is>
          <t>Crédito Hipotecario</t>
        </is>
      </c>
      <c r="AU754" t="inlineStr">
        <is>
          <t>Scotiabank Perú</t>
        </is>
      </c>
      <c r="AV754" t="inlineStr">
        <is>
          <t>000-2768484</t>
        </is>
      </c>
      <c r="AW754" t="inlineStr">
        <is>
          <t>TRANSFERENCIA BANCARIA</t>
        </is>
      </c>
      <c r="AY754" t="inlineStr">
        <is>
          <t>EB01291</t>
        </is>
      </c>
      <c r="AZ754" t="inlineStr">
        <is>
          <t>No</t>
        </is>
      </c>
      <c r="BA754" t="inlineStr">
        <is>
          <t>OTROS</t>
        </is>
      </c>
      <c r="BB754" t="n">
        <v>4</v>
      </c>
      <c r="BC754" t="inlineStr">
        <is>
          <t>CANCELADO</t>
        </is>
      </c>
      <c r="BN754" t="inlineStr">
        <is>
          <t>Si</t>
        </is>
      </c>
      <c r="BO754" s="117" t="n">
        <v>46172.70694444444</v>
      </c>
      <c r="BP754" t="inlineStr">
        <is>
          <t xml:space="preserve">Glenda Solano </t>
        </is>
      </c>
      <c r="BR754" t="n">
        <v>30</v>
      </c>
      <c r="BS754" t="inlineStr">
        <is>
          <t>18/08/2026 12:01</t>
        </is>
      </c>
      <c r="BT754" t="n">
        <v>0</v>
      </c>
      <c r="BX754" t="inlineStr">
        <is>
          <t>Cobranzas_2026.csv</t>
        </is>
      </c>
      <c r="BY754" t="n">
        <v>2026</v>
      </c>
      <c r="BZ754" t="inlineStr">
        <is>
          <t>01/01/2024</t>
        </is>
      </c>
      <c r="CA754" t="inlineStr">
        <is>
          <t>30/09/2031</t>
        </is>
      </c>
    </row>
    <row r="755">
      <c r="A755" t="inlineStr">
        <is>
          <t>RESIDENCIAL PRADA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804</t>
        </is>
      </c>
      <c r="G755" s="39" t="n">
        <v>478700</v>
      </c>
      <c r="H755" s="39" t="n">
        <v>417000</v>
      </c>
      <c r="I755" t="inlineStr">
        <is>
          <t>Edificio</t>
        </is>
      </c>
      <c r="J755" t="inlineStr">
        <is>
          <t>A</t>
        </is>
      </c>
      <c r="K755" t="inlineStr">
        <is>
          <t>Estacionamiento</t>
        </is>
      </c>
      <c r="L755" t="inlineStr">
        <is>
          <t>E 42 - D 33</t>
        </is>
      </c>
      <c r="M755" s="39" t="n">
        <v>61000</v>
      </c>
      <c r="N755" s="39" t="n">
        <v>61000</v>
      </c>
      <c r="S755" s="39" t="n"/>
      <c r="T755" s="39" t="n"/>
      <c r="Y755" s="39" t="n"/>
      <c r="Z755" s="39" t="n"/>
      <c r="AA755" t="inlineStr">
        <is>
          <t>RICARDO DANIEL ESPINOZA ANCHAYGUA</t>
        </is>
      </c>
      <c r="AB755" t="inlineStr">
        <is>
          <t>71229453</t>
        </is>
      </c>
      <c r="AC755" t="inlineStr">
        <is>
          <t>CALLE CALESA</t>
        </is>
      </c>
      <c r="AD755" t="n">
        <v>0</v>
      </c>
      <c r="AE755" t="inlineStr">
        <is>
          <t>999698265</t>
        </is>
      </c>
      <c r="AF755" t="inlineStr">
        <is>
          <t>RMENDOZA@GMAIL.COM</t>
        </is>
      </c>
      <c r="AG755" t="inlineStr">
        <is>
          <t>LIMA</t>
        </is>
      </c>
      <c r="AH755" t="inlineStr">
        <is>
          <t>LA MOLINA</t>
        </is>
      </c>
      <c r="AI755" s="116" t="n">
        <v>46233</v>
      </c>
      <c r="AJ755" s="116" t="n">
        <v>46247</v>
      </c>
      <c r="AK755" t="inlineStr">
        <is>
          <t>SALDO FINANCIAR</t>
        </is>
      </c>
      <c r="AL755" t="n">
        <v>2</v>
      </c>
      <c r="AM755" t="n">
        <v>189000</v>
      </c>
      <c r="AN755" t="n">
        <v>0</v>
      </c>
      <c r="AO755" t="n">
        <v>0</v>
      </c>
      <c r="AP755" s="39" t="n">
        <v>189000</v>
      </c>
      <c r="AQ755" s="39" t="n">
        <v>189000</v>
      </c>
      <c r="AR755" s="39" t="n">
        <v>0</v>
      </c>
      <c r="AS755" t="n">
        <v>0</v>
      </c>
      <c r="AT755" t="inlineStr">
        <is>
          <t>Crédito Hipotecario</t>
        </is>
      </c>
      <c r="AU755" t="inlineStr">
        <is>
          <t>Scotiabank Perú</t>
        </is>
      </c>
      <c r="AV755" t="inlineStr">
        <is>
          <t>000-2768484</t>
        </is>
      </c>
      <c r="AW755" t="inlineStr">
        <is>
          <t>TRANSFERENCIA BANCARIA</t>
        </is>
      </c>
      <c r="AY755" t="inlineStr">
        <is>
          <t>EB01291</t>
        </is>
      </c>
      <c r="AZ755" t="inlineStr">
        <is>
          <t>No</t>
        </is>
      </c>
      <c r="BA755" t="inlineStr">
        <is>
          <t>OTROS</t>
        </is>
      </c>
      <c r="BB755" t="n">
        <v>4</v>
      </c>
      <c r="BC755" t="inlineStr">
        <is>
          <t>CANCELADO</t>
        </is>
      </c>
      <c r="BN755" t="inlineStr">
        <is>
          <t>Si</t>
        </is>
      </c>
      <c r="BO755" s="117" t="n">
        <v>46172.70694444444</v>
      </c>
      <c r="BP755" t="inlineStr">
        <is>
          <t xml:space="preserve">Glenda Solano </t>
        </is>
      </c>
      <c r="BR755" t="n">
        <v>30</v>
      </c>
      <c r="BS755" t="inlineStr">
        <is>
          <t>18/08/2026 12:01</t>
        </is>
      </c>
      <c r="BT755" t="n">
        <v>0</v>
      </c>
      <c r="BX755" t="inlineStr">
        <is>
          <t>Cobranzas_2026.csv</t>
        </is>
      </c>
      <c r="BY755" t="n">
        <v>2026</v>
      </c>
      <c r="BZ755" t="inlineStr">
        <is>
          <t>01/01/2024</t>
        </is>
      </c>
      <c r="CA755" t="inlineStr">
        <is>
          <t>30/09/2031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1503</t>
        </is>
      </c>
      <c r="G756" s="39" t="n">
        <v>504700</v>
      </c>
      <c r="H756" s="39" t="n">
        <v>455000</v>
      </c>
      <c r="I756" t="inlineStr">
        <is>
          <t>Edificio</t>
        </is>
      </c>
      <c r="J756" t="inlineStr">
        <is>
          <t>A</t>
        </is>
      </c>
      <c r="K756" t="inlineStr">
        <is>
          <t>Estacionamiento</t>
        </is>
      </c>
      <c r="L756" t="inlineStr">
        <is>
          <t>E 01</t>
        </is>
      </c>
      <c r="M756" s="39" t="n">
        <v>47500</v>
      </c>
      <c r="N756" s="39" t="n">
        <v>47500</v>
      </c>
      <c r="S756" s="39" t="n"/>
      <c r="T756" s="39" t="n"/>
      <c r="Y756" s="39" t="n"/>
      <c r="Z756" s="39" t="n"/>
      <c r="AA756" t="inlineStr">
        <is>
          <t>Rita Hermelinda Monje Casafranca</t>
        </is>
      </c>
      <c r="AB756" t="inlineStr">
        <is>
          <t>23959890</t>
        </is>
      </c>
      <c r="AC756" t="inlineStr">
        <is>
          <t>Av. Gregorio Escobedo 570, Dpto N°1602</t>
        </is>
      </c>
      <c r="AD756" t="n">
        <v>0</v>
      </c>
      <c r="AE756" t="inlineStr">
        <is>
          <t>984620296</t>
        </is>
      </c>
      <c r="AF756" t="inlineStr">
        <is>
          <t>rhmc1611@gmail.com</t>
        </is>
      </c>
      <c r="AG756" t="inlineStr">
        <is>
          <t>LIMA</t>
        </is>
      </c>
      <c r="AH756" t="inlineStr">
        <is>
          <t>JESUS MARIA</t>
        </is>
      </c>
      <c r="AI756" s="116" t="n">
        <v>46167</v>
      </c>
      <c r="AJ756" s="116" t="n">
        <v>46167</v>
      </c>
      <c r="AK756" t="inlineStr">
        <is>
          <t>SEPARACION</t>
        </is>
      </c>
      <c r="AL756" t="n">
        <v>1</v>
      </c>
      <c r="AM756" t="n">
        <v>3000</v>
      </c>
      <c r="AN756" t="n">
        <v>0</v>
      </c>
      <c r="AO756" t="n">
        <v>0</v>
      </c>
      <c r="AP756" s="39" t="n">
        <v>3000</v>
      </c>
      <c r="AQ756" s="39" t="n">
        <v>3000</v>
      </c>
      <c r="AR756" s="39" t="n">
        <v>0</v>
      </c>
      <c r="AS756" t="n">
        <v>0</v>
      </c>
      <c r="AT756" t="inlineStr">
        <is>
          <t>Crédito Directo</t>
        </is>
      </c>
      <c r="AU756" t="inlineStr">
        <is>
          <t>Banco de Credito del Perú</t>
        </is>
      </c>
      <c r="AV756" t="inlineStr">
        <is>
          <t>194-7325779-0-65</t>
        </is>
      </c>
      <c r="AW756" t="inlineStr">
        <is>
          <t>TRANSFERENCIA BANCARIA</t>
        </is>
      </c>
      <c r="AY756" t="inlineStr">
        <is>
          <t>03078443</t>
        </is>
      </c>
      <c r="AZ756" t="inlineStr">
        <is>
          <t>No</t>
        </is>
      </c>
      <c r="BB756" t="n">
        <v>4</v>
      </c>
      <c r="BC756" t="inlineStr">
        <is>
          <t>CANCELADO</t>
        </is>
      </c>
      <c r="BN756" t="inlineStr">
        <is>
          <t>Si</t>
        </is>
      </c>
      <c r="BO756" s="117" t="n">
        <v>46165.40555555555</v>
      </c>
      <c r="BP756" t="inlineStr">
        <is>
          <t>Kenny Salazar S</t>
        </is>
      </c>
      <c r="BR756" t="n">
        <v>47</v>
      </c>
      <c r="BS756" t="inlineStr">
        <is>
          <t>11/09/2026 08:50</t>
        </is>
      </c>
      <c r="BT756" t="n">
        <v>0</v>
      </c>
      <c r="BX756" t="inlineStr">
        <is>
          <t>Cobranzas_2026.csv</t>
        </is>
      </c>
      <c r="BY756" t="n">
        <v>2026</v>
      </c>
      <c r="BZ756" t="inlineStr">
        <is>
          <t>01/01/2024</t>
        </is>
      </c>
      <c r="CA756" t="inlineStr">
        <is>
          <t>30/09/2031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1503</t>
        </is>
      </c>
      <c r="G757" s="39" t="n">
        <v>504700</v>
      </c>
      <c r="H757" s="39" t="n">
        <v>455000</v>
      </c>
      <c r="I757" t="inlineStr">
        <is>
          <t>Edificio</t>
        </is>
      </c>
      <c r="J757" t="inlineStr">
        <is>
          <t>A</t>
        </is>
      </c>
      <c r="K757" t="inlineStr">
        <is>
          <t>Estacionamiento</t>
        </is>
      </c>
      <c r="L757" t="inlineStr">
        <is>
          <t>E 01</t>
        </is>
      </c>
      <c r="M757" s="39" t="n">
        <v>47500</v>
      </c>
      <c r="N757" s="39" t="n">
        <v>47500</v>
      </c>
      <c r="S757" s="39" t="n"/>
      <c r="T757" s="39" t="n"/>
      <c r="Y757" s="39" t="n"/>
      <c r="Z757" s="39" t="n"/>
      <c r="AA757" t="inlineStr">
        <is>
          <t>Rita Hermelinda Monje Casafranca</t>
        </is>
      </c>
      <c r="AB757" t="inlineStr">
        <is>
          <t>23959890</t>
        </is>
      </c>
      <c r="AC757" t="inlineStr">
        <is>
          <t>Av. Gregorio Escobedo 570, Dpto N°1602</t>
        </is>
      </c>
      <c r="AD757" t="n">
        <v>0</v>
      </c>
      <c r="AE757" t="inlineStr">
        <is>
          <t>984620296</t>
        </is>
      </c>
      <c r="AF757" t="inlineStr">
        <is>
          <t>rhmc1611@gmail.com</t>
        </is>
      </c>
      <c r="AG757" t="inlineStr">
        <is>
          <t>LIMA</t>
        </is>
      </c>
      <c r="AH757" t="inlineStr">
        <is>
          <t>JESUS MARIA</t>
        </is>
      </c>
      <c r="AI757" s="116" t="n">
        <v>46167</v>
      </c>
      <c r="AJ757" s="116" t="n">
        <v>46167</v>
      </c>
      <c r="AK757" t="inlineStr">
        <is>
          <t>CUOTA INICIAL</t>
        </is>
      </c>
      <c r="AL757" t="n">
        <v>1</v>
      </c>
      <c r="AM757" t="n">
        <v>22000</v>
      </c>
      <c r="AN757" t="n">
        <v>0</v>
      </c>
      <c r="AO757" t="n">
        <v>0</v>
      </c>
      <c r="AP757" s="39" t="n">
        <v>22000</v>
      </c>
      <c r="AQ757" s="39" t="n">
        <v>22000</v>
      </c>
      <c r="AR757" s="39" t="n">
        <v>0</v>
      </c>
      <c r="AS757" t="n">
        <v>0</v>
      </c>
      <c r="AT757" t="inlineStr">
        <is>
          <t>Crédito Directo</t>
        </is>
      </c>
      <c r="AU757" t="inlineStr">
        <is>
          <t>Banco de Credito del Perú</t>
        </is>
      </c>
      <c r="AV757" t="inlineStr">
        <is>
          <t>194-7325779-0-65</t>
        </is>
      </c>
      <c r="AW757" t="inlineStr">
        <is>
          <t>TRANSFERENCIA BANCARIA</t>
        </is>
      </c>
      <c r="AY757" t="inlineStr">
        <is>
          <t>03078443</t>
        </is>
      </c>
      <c r="AZ757" t="inlineStr">
        <is>
          <t>No</t>
        </is>
      </c>
      <c r="BB757" t="n">
        <v>4</v>
      </c>
      <c r="BC757" t="inlineStr">
        <is>
          <t>CANCELADO</t>
        </is>
      </c>
      <c r="BN757" t="inlineStr">
        <is>
          <t>Si</t>
        </is>
      </c>
      <c r="BO757" s="117" t="n">
        <v>46165.40555555555</v>
      </c>
      <c r="BP757" t="inlineStr">
        <is>
          <t>Kenny Salazar S</t>
        </is>
      </c>
      <c r="BR757" t="n">
        <v>47</v>
      </c>
      <c r="BS757" t="inlineStr">
        <is>
          <t>11/09/2026 08:50</t>
        </is>
      </c>
      <c r="BT757" t="n">
        <v>0</v>
      </c>
      <c r="BX757" t="inlineStr">
        <is>
          <t>Cobranzas_2026.csv</t>
        </is>
      </c>
      <c r="BY757" t="n">
        <v>2026</v>
      </c>
      <c r="BZ757" t="inlineStr">
        <is>
          <t>01/01/2024</t>
        </is>
      </c>
      <c r="CA757" t="inlineStr">
        <is>
          <t>30/09/2031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1503</t>
        </is>
      </c>
      <c r="G758" s="39" t="n">
        <v>504700</v>
      </c>
      <c r="H758" s="39" t="n">
        <v>455000</v>
      </c>
      <c r="I758" t="inlineStr">
        <is>
          <t>Edificio</t>
        </is>
      </c>
      <c r="J758" t="inlineStr">
        <is>
          <t>A</t>
        </is>
      </c>
      <c r="K758" t="inlineStr">
        <is>
          <t>Estacionamiento</t>
        </is>
      </c>
      <c r="L758" t="inlineStr">
        <is>
          <t>E 01</t>
        </is>
      </c>
      <c r="M758" s="39" t="n">
        <v>47500</v>
      </c>
      <c r="N758" s="39" t="n">
        <v>47500</v>
      </c>
      <c r="S758" s="39" t="n"/>
      <c r="T758" s="39" t="n"/>
      <c r="Y758" s="39" t="n"/>
      <c r="Z758" s="39" t="n"/>
      <c r="AA758" t="inlineStr">
        <is>
          <t>Rita Hermelinda Monje Casafranca</t>
        </is>
      </c>
      <c r="AB758" t="inlineStr">
        <is>
          <t>23959890</t>
        </is>
      </c>
      <c r="AC758" t="inlineStr">
        <is>
          <t>Av. Gregorio Escobedo 570, Dpto N°1602</t>
        </is>
      </c>
      <c r="AD758" t="n">
        <v>0</v>
      </c>
      <c r="AE758" t="inlineStr">
        <is>
          <t>984620296</t>
        </is>
      </c>
      <c r="AF758" t="inlineStr">
        <is>
          <t>rhmc1611@gmail.com</t>
        </is>
      </c>
      <c r="AG758" t="inlineStr">
        <is>
          <t>LIMA</t>
        </is>
      </c>
      <c r="AH758" t="inlineStr">
        <is>
          <t>JESUS MARIA</t>
        </is>
      </c>
      <c r="AI758" s="116" t="n">
        <v>46188</v>
      </c>
      <c r="AJ758" s="116" t="n">
        <v>46174</v>
      </c>
      <c r="AK758" t="inlineStr">
        <is>
          <t>CUOTA INICIAL</t>
        </is>
      </c>
      <c r="AL758" t="n">
        <v>2</v>
      </c>
      <c r="AM758" t="n">
        <v>25250</v>
      </c>
      <c r="AN758" t="n">
        <v>0</v>
      </c>
      <c r="AO758" t="n">
        <v>0</v>
      </c>
      <c r="AP758" s="39" t="n">
        <v>25250</v>
      </c>
      <c r="AQ758" s="39" t="n">
        <v>25250</v>
      </c>
      <c r="AR758" s="39" t="n">
        <v>0</v>
      </c>
      <c r="AS758" t="n">
        <v>0</v>
      </c>
      <c r="AT758" t="inlineStr">
        <is>
          <t>Crédito Directo</t>
        </is>
      </c>
      <c r="AU758" t="inlineStr">
        <is>
          <t>Banco de Credito del Perú</t>
        </is>
      </c>
      <c r="AV758" t="inlineStr">
        <is>
          <t>194-7325779-0-65</t>
        </is>
      </c>
      <c r="AW758" t="inlineStr">
        <is>
          <t>TRANSFERENCIA BANCARIA</t>
        </is>
      </c>
      <c r="AY758" t="inlineStr">
        <is>
          <t>04176966</t>
        </is>
      </c>
      <c r="AZ758" t="inlineStr">
        <is>
          <t>No</t>
        </is>
      </c>
      <c r="BB758" t="n">
        <v>4</v>
      </c>
      <c r="BC758" t="inlineStr">
        <is>
          <t>CANCELADO</t>
        </is>
      </c>
      <c r="BN758" t="inlineStr">
        <is>
          <t>Si</t>
        </is>
      </c>
      <c r="BO758" s="117" t="n">
        <v>46165.40555555555</v>
      </c>
      <c r="BP758" t="inlineStr">
        <is>
          <t>Kenny Salazar S</t>
        </is>
      </c>
      <c r="BR758" t="n">
        <v>47</v>
      </c>
      <c r="BS758" t="inlineStr">
        <is>
          <t>11/09/2026 08:50</t>
        </is>
      </c>
      <c r="BT758" t="n">
        <v>0</v>
      </c>
      <c r="BX758" t="inlineStr">
        <is>
          <t>Cobranzas_2026.csv</t>
        </is>
      </c>
      <c r="BY758" t="n">
        <v>2026</v>
      </c>
      <c r="BZ758" t="inlineStr">
        <is>
          <t>01/01/2024</t>
        </is>
      </c>
      <c r="CA758" t="inlineStr">
        <is>
          <t>30/09/2031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1503</t>
        </is>
      </c>
      <c r="G759" s="39" t="n">
        <v>504700</v>
      </c>
      <c r="H759" s="39" t="n">
        <v>455000</v>
      </c>
      <c r="I759" t="inlineStr">
        <is>
          <t>Edificio</t>
        </is>
      </c>
      <c r="J759" t="inlineStr">
        <is>
          <t>A</t>
        </is>
      </c>
      <c r="K759" t="inlineStr">
        <is>
          <t>Estacionamiento</t>
        </is>
      </c>
      <c r="L759" t="inlineStr">
        <is>
          <t>E 01</t>
        </is>
      </c>
      <c r="M759" s="39" t="n">
        <v>47500</v>
      </c>
      <c r="N759" s="39" t="n">
        <v>47500</v>
      </c>
      <c r="S759" s="39" t="n"/>
      <c r="T759" s="39" t="n"/>
      <c r="Y759" s="39" t="n"/>
      <c r="Z759" s="39" t="n"/>
      <c r="AA759" t="inlineStr">
        <is>
          <t>Rita Hermelinda Monje Casafranca</t>
        </is>
      </c>
      <c r="AB759" t="inlineStr">
        <is>
          <t>23959890</t>
        </is>
      </c>
      <c r="AC759" t="inlineStr">
        <is>
          <t>Av. Gregorio Escobedo 570, Dpto N°1602</t>
        </is>
      </c>
      <c r="AD759" t="n">
        <v>0</v>
      </c>
      <c r="AE759" t="inlineStr">
        <is>
          <t>984620296</t>
        </is>
      </c>
      <c r="AF759" t="inlineStr">
        <is>
          <t>rhmc1611@gmail.com</t>
        </is>
      </c>
      <c r="AG759" t="inlineStr">
        <is>
          <t>LIMA</t>
        </is>
      </c>
      <c r="AH759" t="inlineStr">
        <is>
          <t>JESUS MARIA</t>
        </is>
      </c>
      <c r="AI759" s="116" t="n">
        <v>46386</v>
      </c>
      <c r="AJ759" s="116" t="n"/>
      <c r="AK759" t="inlineStr">
        <is>
          <t>CUOTA INICIAL</t>
        </is>
      </c>
      <c r="AL759" t="n">
        <v>3</v>
      </c>
      <c r="AM759" t="n">
        <v>50000</v>
      </c>
      <c r="AN759" t="n">
        <v>0</v>
      </c>
      <c r="AO759" t="n">
        <v>0</v>
      </c>
      <c r="AP759" s="39" t="n">
        <v>50000</v>
      </c>
      <c r="AQ759" s="39" t="n">
        <v>0</v>
      </c>
      <c r="AR759" s="39" t="n">
        <v>50000</v>
      </c>
      <c r="AT759" t="inlineStr">
        <is>
          <t>Crédito Directo</t>
        </is>
      </c>
      <c r="AZ759" t="inlineStr">
        <is>
          <t>No</t>
        </is>
      </c>
      <c r="BC759" t="inlineStr">
        <is>
          <t>PENDIENTE</t>
        </is>
      </c>
      <c r="BN759" t="inlineStr">
        <is>
          <t>No</t>
        </is>
      </c>
      <c r="BO759" s="117" t="n">
        <v>46165.40555555555</v>
      </c>
      <c r="BP759" t="inlineStr">
        <is>
          <t>Kenny Salazar S</t>
        </is>
      </c>
      <c r="BR759" t="n">
        <v>47</v>
      </c>
      <c r="BT759" t="n">
        <v>0</v>
      </c>
      <c r="BX759" t="inlineStr">
        <is>
          <t>Cobranzas_2026.csv</t>
        </is>
      </c>
      <c r="BY759" t="n">
        <v>2026</v>
      </c>
      <c r="BZ759" t="inlineStr">
        <is>
          <t>01/01/2024</t>
        </is>
      </c>
      <c r="CA759" t="inlineStr">
        <is>
          <t>30/09/2031</t>
        </is>
      </c>
    </row>
    <row r="760">
      <c r="A760" t="inlineStr">
        <is>
          <t>RESIDENCIAL VENECIA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602</t>
        </is>
      </c>
      <c r="G760" s="39" t="n">
        <v>573000</v>
      </c>
      <c r="H760" s="39" t="n">
        <v>573000</v>
      </c>
      <c r="I760" t="inlineStr">
        <is>
          <t>Edificio</t>
        </is>
      </c>
      <c r="J760" t="inlineStr">
        <is>
          <t>A</t>
        </is>
      </c>
      <c r="K760" t="inlineStr">
        <is>
          <t>Estacionamiento</t>
        </is>
      </c>
      <c r="L760" t="inlineStr">
        <is>
          <t>E 24 - D 5</t>
        </is>
      </c>
      <c r="M760" s="39" t="n">
        <v>51000</v>
      </c>
      <c r="N760" s="39" t="n">
        <v>51000</v>
      </c>
      <c r="S760" s="39" t="n"/>
      <c r="T760" s="39" t="n"/>
      <c r="Y760" s="39" t="n"/>
      <c r="Z760" s="39" t="n"/>
      <c r="AA760" t="inlineStr">
        <is>
          <t>Rocio Chuquimango Valencia</t>
        </is>
      </c>
      <c r="AB760" t="inlineStr">
        <is>
          <t>26707781</t>
        </is>
      </c>
      <c r="AC760" t="inlineStr">
        <is>
          <t xml:space="preserve">AV.ATAHUALPA 337.INT 2 </t>
        </is>
      </c>
      <c r="AD760" t="n">
        <v>0</v>
      </c>
      <c r="AE760" t="inlineStr">
        <is>
          <t>976685767</t>
        </is>
      </c>
      <c r="AF760" t="inlineStr">
        <is>
          <t>rocio-0511@hotmail.com</t>
        </is>
      </c>
      <c r="AG760" t="inlineStr">
        <is>
          <t>CAJAMARCA</t>
        </is>
      </c>
      <c r="AH760" t="inlineStr">
        <is>
          <t>CAJAMARCA</t>
        </is>
      </c>
      <c r="AI760" s="116" t="n">
        <v>46203</v>
      </c>
      <c r="AJ760" s="116" t="n">
        <v>45937</v>
      </c>
      <c r="AK760" t="inlineStr">
        <is>
          <t>CUOTA INICIAL</t>
        </is>
      </c>
      <c r="AL760" t="n">
        <v>3</v>
      </c>
      <c r="AM760" t="n">
        <v>119900</v>
      </c>
      <c r="AN760" t="n">
        <v>0</v>
      </c>
      <c r="AO760" t="n">
        <v>0</v>
      </c>
      <c r="AP760" s="39" t="n">
        <v>119900</v>
      </c>
      <c r="AQ760" s="39" t="n">
        <v>12500</v>
      </c>
      <c r="AR760" s="39" t="n">
        <v>107400</v>
      </c>
      <c r="AS760" t="n">
        <v>0</v>
      </c>
      <c r="AT760" t="inlineStr">
        <is>
          <t>Crédito Directo</t>
        </is>
      </c>
      <c r="AU760" t="inlineStr">
        <is>
          <t>Scotiabank Perú</t>
        </is>
      </c>
      <c r="AV760" t="inlineStr">
        <is>
          <t>0004071419</t>
        </is>
      </c>
      <c r="AW760" t="inlineStr">
        <is>
          <t>TRANSFERENCIA BANCARIA</t>
        </is>
      </c>
      <c r="AY760" t="inlineStr">
        <is>
          <t>5521243</t>
        </is>
      </c>
      <c r="AZ760" t="inlineStr">
        <is>
          <t>No</t>
        </is>
      </c>
      <c r="BB760" t="n">
        <v>4</v>
      </c>
      <c r="BC760" t="inlineStr">
        <is>
          <t>VENCIDO - PARC. CANCELADO</t>
        </is>
      </c>
      <c r="BN760" t="inlineStr">
        <is>
          <t>Si</t>
        </is>
      </c>
      <c r="BO760" s="117" t="n">
        <v>45898.34652777778</v>
      </c>
      <c r="BP760" t="inlineStr">
        <is>
          <t>Magaly Guevara Perez</t>
        </is>
      </c>
      <c r="BR760" t="n">
        <v>12</v>
      </c>
      <c r="BS760" t="inlineStr">
        <is>
          <t>02/09/2026 15:18</t>
        </is>
      </c>
      <c r="BT760" t="n">
        <v>0</v>
      </c>
      <c r="BX760" t="inlineStr">
        <is>
          <t>Cobranzas_2026.csv</t>
        </is>
      </c>
      <c r="BY760" t="n">
        <v>2026</v>
      </c>
      <c r="BZ760" t="inlineStr">
        <is>
          <t>01/01/2024</t>
        </is>
      </c>
      <c r="CA760" t="inlineStr">
        <is>
          <t>30/09/2031</t>
        </is>
      </c>
    </row>
    <row r="761">
      <c r="A761" t="inlineStr">
        <is>
          <t>RESIDENCIAL VENECIA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602</t>
        </is>
      </c>
      <c r="G761" s="39" t="n">
        <v>573000</v>
      </c>
      <c r="H761" s="39" t="n">
        <v>573000</v>
      </c>
      <c r="I761" t="inlineStr">
        <is>
          <t>Edificio</t>
        </is>
      </c>
      <c r="J761" t="inlineStr">
        <is>
          <t>A</t>
        </is>
      </c>
      <c r="K761" t="inlineStr">
        <is>
          <t>Estacionamiento</t>
        </is>
      </c>
      <c r="L761" t="inlineStr">
        <is>
          <t>E 24 - D 5</t>
        </is>
      </c>
      <c r="M761" s="39" t="n">
        <v>51000</v>
      </c>
      <c r="N761" s="39" t="n">
        <v>51000</v>
      </c>
      <c r="S761" s="39" t="n"/>
      <c r="T761" s="39" t="n"/>
      <c r="Y761" s="39" t="n"/>
      <c r="Z761" s="39" t="n"/>
      <c r="AA761" t="inlineStr">
        <is>
          <t>Rocio Chuquimango Valencia</t>
        </is>
      </c>
      <c r="AB761" t="inlineStr">
        <is>
          <t>26707781</t>
        </is>
      </c>
      <c r="AC761" t="inlineStr">
        <is>
          <t xml:space="preserve">AV.ATAHUALPA 337.INT 2 </t>
        </is>
      </c>
      <c r="AD761" t="n">
        <v>0</v>
      </c>
      <c r="AE761" t="inlineStr">
        <is>
          <t>976685767</t>
        </is>
      </c>
      <c r="AF761" t="inlineStr">
        <is>
          <t>rocio-0511@hotmail.com</t>
        </is>
      </c>
      <c r="AG761" t="inlineStr">
        <is>
          <t>CAJAMARCA</t>
        </is>
      </c>
      <c r="AH761" t="inlineStr">
        <is>
          <t>CAJAMARCA</t>
        </is>
      </c>
      <c r="AI761" s="116" t="n">
        <v>46234</v>
      </c>
      <c r="AJ761" s="116" t="n"/>
      <c r="AK761" t="inlineStr">
        <is>
          <t>SALDO FINANCIAR</t>
        </is>
      </c>
      <c r="AL761" t="n">
        <v>1</v>
      </c>
      <c r="AM761" t="n">
        <v>24266.67</v>
      </c>
      <c r="AN761" t="n">
        <v>0</v>
      </c>
      <c r="AO761" t="n">
        <v>0</v>
      </c>
      <c r="AP761" s="39" t="n">
        <v>24266.67</v>
      </c>
      <c r="AQ761" s="39" t="n">
        <v>0</v>
      </c>
      <c r="AR761" s="39" t="n">
        <v>24266.67</v>
      </c>
      <c r="AT761" t="inlineStr">
        <is>
          <t>Crédito Directo</t>
        </is>
      </c>
      <c r="AZ761" t="inlineStr">
        <is>
          <t>No</t>
        </is>
      </c>
      <c r="BC761" t="inlineStr">
        <is>
          <t>VENCIDO</t>
        </is>
      </c>
      <c r="BN761" t="inlineStr">
        <is>
          <t>No</t>
        </is>
      </c>
      <c r="BO761" s="117" t="n">
        <v>45898.34652777778</v>
      </c>
      <c r="BP761" t="inlineStr">
        <is>
          <t>Magaly Guevara Perez</t>
        </is>
      </c>
      <c r="BR761" t="n">
        <v>12</v>
      </c>
      <c r="BT761" t="n">
        <v>0</v>
      </c>
      <c r="BX761" t="inlineStr">
        <is>
          <t>Cobranzas_2026.csv</t>
        </is>
      </c>
      <c r="BY761" t="n">
        <v>2026</v>
      </c>
      <c r="BZ761" t="inlineStr">
        <is>
          <t>01/01/2024</t>
        </is>
      </c>
      <c r="CA761" t="inlineStr">
        <is>
          <t>30/09/2031</t>
        </is>
      </c>
    </row>
    <row r="762">
      <c r="A762" t="inlineStr">
        <is>
          <t>RESIDENCIAL VENECIA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602</t>
        </is>
      </c>
      <c r="G762" s="39" t="n">
        <v>573000</v>
      </c>
      <c r="H762" s="39" t="n">
        <v>573000</v>
      </c>
      <c r="I762" t="inlineStr">
        <is>
          <t>Edificio</t>
        </is>
      </c>
      <c r="J762" t="inlineStr">
        <is>
          <t>A</t>
        </is>
      </c>
      <c r="K762" t="inlineStr">
        <is>
          <t>Estacionamiento</t>
        </is>
      </c>
      <c r="L762" t="inlineStr">
        <is>
          <t>E 24 - D 5</t>
        </is>
      </c>
      <c r="M762" s="39" t="n">
        <v>51000</v>
      </c>
      <c r="N762" s="39" t="n">
        <v>51000</v>
      </c>
      <c r="S762" s="39" t="n"/>
      <c r="T762" s="39" t="n"/>
      <c r="Y762" s="39" t="n"/>
      <c r="Z762" s="39" t="n"/>
      <c r="AA762" t="inlineStr">
        <is>
          <t>Rocio Chuquimango Valencia</t>
        </is>
      </c>
      <c r="AB762" t="inlineStr">
        <is>
          <t>26707781</t>
        </is>
      </c>
      <c r="AC762" t="inlineStr">
        <is>
          <t xml:space="preserve">AV.ATAHUALPA 337.INT 2 </t>
        </is>
      </c>
      <c r="AD762" t="n">
        <v>0</v>
      </c>
      <c r="AE762" t="inlineStr">
        <is>
          <t>976685767</t>
        </is>
      </c>
      <c r="AF762" t="inlineStr">
        <is>
          <t>rocio-0511@hotmail.com</t>
        </is>
      </c>
      <c r="AG762" t="inlineStr">
        <is>
          <t>CAJAMARCA</t>
        </is>
      </c>
      <c r="AH762" t="inlineStr">
        <is>
          <t>CAJAMARCA</t>
        </is>
      </c>
      <c r="AI762" s="116" t="n">
        <v>46265</v>
      </c>
      <c r="AJ762" s="116" t="n"/>
      <c r="AK762" t="inlineStr">
        <is>
          <t>SALDO FINANCIAR</t>
        </is>
      </c>
      <c r="AL762" t="n">
        <v>2</v>
      </c>
      <c r="AM762" t="n">
        <v>24266.67</v>
      </c>
      <c r="AN762" t="n">
        <v>0</v>
      </c>
      <c r="AO762" t="n">
        <v>0</v>
      </c>
      <c r="AP762" s="39" t="n">
        <v>24266.67</v>
      </c>
      <c r="AQ762" s="39" t="n">
        <v>0</v>
      </c>
      <c r="AR762" s="39" t="n">
        <v>24266.67</v>
      </c>
      <c r="AT762" t="inlineStr">
        <is>
          <t>Crédito Directo</t>
        </is>
      </c>
      <c r="AZ762" t="inlineStr">
        <is>
          <t>No</t>
        </is>
      </c>
      <c r="BC762" t="inlineStr">
        <is>
          <t>VENCIDO</t>
        </is>
      </c>
      <c r="BN762" t="inlineStr">
        <is>
          <t>No</t>
        </is>
      </c>
      <c r="BO762" s="117" t="n">
        <v>45898.34652777778</v>
      </c>
      <c r="BP762" t="inlineStr">
        <is>
          <t>Magaly Guevara Perez</t>
        </is>
      </c>
      <c r="BR762" t="n">
        <v>12</v>
      </c>
      <c r="BT762" t="n">
        <v>0</v>
      </c>
      <c r="BX762" t="inlineStr">
        <is>
          <t>Cobranzas_2026.csv</t>
        </is>
      </c>
      <c r="BY762" t="n">
        <v>2026</v>
      </c>
      <c r="BZ762" t="inlineStr">
        <is>
          <t>01/01/2024</t>
        </is>
      </c>
      <c r="CA762" t="inlineStr">
        <is>
          <t>30/09/2031</t>
        </is>
      </c>
    </row>
    <row r="763">
      <c r="A763" t="inlineStr">
        <is>
          <t>RESIDENCIAL VENECIA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602</t>
        </is>
      </c>
      <c r="G763" s="39" t="n">
        <v>573000</v>
      </c>
      <c r="H763" s="39" t="n">
        <v>573000</v>
      </c>
      <c r="I763" t="inlineStr">
        <is>
          <t>Edificio</t>
        </is>
      </c>
      <c r="J763" t="inlineStr">
        <is>
          <t>A</t>
        </is>
      </c>
      <c r="K763" t="inlineStr">
        <is>
          <t>Estacionamiento</t>
        </is>
      </c>
      <c r="L763" t="inlineStr">
        <is>
          <t>E 24 - D 5</t>
        </is>
      </c>
      <c r="M763" s="39" t="n">
        <v>51000</v>
      </c>
      <c r="N763" s="39" t="n">
        <v>51000</v>
      </c>
      <c r="S763" s="39" t="n"/>
      <c r="T763" s="39" t="n"/>
      <c r="Y763" s="39" t="n"/>
      <c r="Z763" s="39" t="n"/>
      <c r="AA763" t="inlineStr">
        <is>
          <t>Rocio Chuquimango Valencia</t>
        </is>
      </c>
      <c r="AB763" t="inlineStr">
        <is>
          <t>26707781</t>
        </is>
      </c>
      <c r="AC763" t="inlineStr">
        <is>
          <t xml:space="preserve">AV.ATAHUALPA 337.INT 2 </t>
        </is>
      </c>
      <c r="AD763" t="n">
        <v>0</v>
      </c>
      <c r="AE763" t="inlineStr">
        <is>
          <t>976685767</t>
        </is>
      </c>
      <c r="AF763" t="inlineStr">
        <is>
          <t>rocio-0511@hotmail.com</t>
        </is>
      </c>
      <c r="AG763" t="inlineStr">
        <is>
          <t>CAJAMARCA</t>
        </is>
      </c>
      <c r="AH763" t="inlineStr">
        <is>
          <t>CAJAMARCA</t>
        </is>
      </c>
      <c r="AI763" s="116" t="n">
        <v>46295</v>
      </c>
      <c r="AJ763" s="116" t="n"/>
      <c r="AK763" t="inlineStr">
        <is>
          <t>SALDO FINANCIAR</t>
        </is>
      </c>
      <c r="AL763" t="n">
        <v>3</v>
      </c>
      <c r="AM763" t="n">
        <v>24266.67</v>
      </c>
      <c r="AN763" t="n">
        <v>0</v>
      </c>
      <c r="AO763" t="n">
        <v>0</v>
      </c>
      <c r="AP763" s="39" t="n">
        <v>24266.67</v>
      </c>
      <c r="AQ763" s="39" t="n">
        <v>0</v>
      </c>
      <c r="AR763" s="39" t="n">
        <v>24266.67</v>
      </c>
      <c r="AT763" t="inlineStr">
        <is>
          <t>Crédito Directo</t>
        </is>
      </c>
      <c r="AZ763" t="inlineStr">
        <is>
          <t>No</t>
        </is>
      </c>
      <c r="BC763" t="inlineStr">
        <is>
          <t>VENCIDO</t>
        </is>
      </c>
      <c r="BN763" t="inlineStr">
        <is>
          <t>No</t>
        </is>
      </c>
      <c r="BO763" s="117" t="n">
        <v>45898.34652777778</v>
      </c>
      <c r="BP763" t="inlineStr">
        <is>
          <t>Magaly Guevara Perez</t>
        </is>
      </c>
      <c r="BR763" t="n">
        <v>12</v>
      </c>
      <c r="BT763" t="n">
        <v>0</v>
      </c>
      <c r="BX763" t="inlineStr">
        <is>
          <t>Cobranzas_2026.csv</t>
        </is>
      </c>
      <c r="BY763" t="n">
        <v>2026</v>
      </c>
      <c r="BZ763" t="inlineStr">
        <is>
          <t>01/01/2024</t>
        </is>
      </c>
      <c r="CA763" t="inlineStr">
        <is>
          <t>30/09/2031</t>
        </is>
      </c>
    </row>
    <row r="764">
      <c r="A764" t="inlineStr">
        <is>
          <t>RESIDENCIAL VENECIA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602</t>
        </is>
      </c>
      <c r="G764" s="39" t="n">
        <v>573000</v>
      </c>
      <c r="H764" s="39" t="n">
        <v>573000</v>
      </c>
      <c r="I764" t="inlineStr">
        <is>
          <t>Edificio</t>
        </is>
      </c>
      <c r="J764" t="inlineStr">
        <is>
          <t>A</t>
        </is>
      </c>
      <c r="K764" t="inlineStr">
        <is>
          <t>Estacionamiento</t>
        </is>
      </c>
      <c r="L764" t="inlineStr">
        <is>
          <t>E 24 - D 5</t>
        </is>
      </c>
      <c r="M764" s="39" t="n">
        <v>51000</v>
      </c>
      <c r="N764" s="39" t="n">
        <v>51000</v>
      </c>
      <c r="S764" s="39" t="n"/>
      <c r="T764" s="39" t="n"/>
      <c r="Y764" s="39" t="n"/>
      <c r="Z764" s="39" t="n"/>
      <c r="AA764" t="inlineStr">
        <is>
          <t>Rocio Chuquimango Valencia</t>
        </is>
      </c>
      <c r="AB764" t="inlineStr">
        <is>
          <t>26707781</t>
        </is>
      </c>
      <c r="AC764" t="inlineStr">
        <is>
          <t xml:space="preserve">AV.ATAHUALPA 337.INT 2 </t>
        </is>
      </c>
      <c r="AD764" t="n">
        <v>0</v>
      </c>
      <c r="AE764" t="inlineStr">
        <is>
          <t>976685767</t>
        </is>
      </c>
      <c r="AF764" t="inlineStr">
        <is>
          <t>rocio-0511@hotmail.com</t>
        </is>
      </c>
      <c r="AG764" t="inlineStr">
        <is>
          <t>CAJAMARCA</t>
        </is>
      </c>
      <c r="AH764" t="inlineStr">
        <is>
          <t>CAJAMARCA</t>
        </is>
      </c>
      <c r="AI764" s="116" t="n">
        <v>46326</v>
      </c>
      <c r="AJ764" s="116" t="n"/>
      <c r="AK764" t="inlineStr">
        <is>
          <t>SALDO FINANCIAR</t>
        </is>
      </c>
      <c r="AL764" t="n">
        <v>4</v>
      </c>
      <c r="AM764" t="n">
        <v>24266.67</v>
      </c>
      <c r="AN764" t="n">
        <v>0</v>
      </c>
      <c r="AO764" t="n">
        <v>0</v>
      </c>
      <c r="AP764" s="39" t="n">
        <v>24266.67</v>
      </c>
      <c r="AQ764" s="39" t="n">
        <v>0</v>
      </c>
      <c r="AR764" s="39" t="n">
        <v>24266.67</v>
      </c>
      <c r="AT764" t="inlineStr">
        <is>
          <t>Crédito Directo</t>
        </is>
      </c>
      <c r="AZ764" t="inlineStr">
        <is>
          <t>No</t>
        </is>
      </c>
      <c r="BC764" t="inlineStr">
        <is>
          <t>PENDIENTE</t>
        </is>
      </c>
      <c r="BN764" t="inlineStr">
        <is>
          <t>No</t>
        </is>
      </c>
      <c r="BO764" s="117" t="n">
        <v>45898.34652777778</v>
      </c>
      <c r="BP764" t="inlineStr">
        <is>
          <t>Magaly Guevara Perez</t>
        </is>
      </c>
      <c r="BR764" t="n">
        <v>12</v>
      </c>
      <c r="BT764" t="n">
        <v>0</v>
      </c>
      <c r="BX764" t="inlineStr">
        <is>
          <t>Cobranzas_2026.csv</t>
        </is>
      </c>
      <c r="BY764" t="n">
        <v>2026</v>
      </c>
      <c r="BZ764" t="inlineStr">
        <is>
          <t>01/01/2024</t>
        </is>
      </c>
      <c r="CA764" t="inlineStr">
        <is>
          <t>30/09/2031</t>
        </is>
      </c>
    </row>
    <row r="765">
      <c r="A765" t="inlineStr">
        <is>
          <t>RESIDENCIAL VENECIA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602</t>
        </is>
      </c>
      <c r="G765" s="39" t="n">
        <v>573000</v>
      </c>
      <c r="H765" s="39" t="n">
        <v>573000</v>
      </c>
      <c r="I765" t="inlineStr">
        <is>
          <t>Edificio</t>
        </is>
      </c>
      <c r="J765" t="inlineStr">
        <is>
          <t>A</t>
        </is>
      </c>
      <c r="K765" t="inlineStr">
        <is>
          <t>Estacionamiento</t>
        </is>
      </c>
      <c r="L765" t="inlineStr">
        <is>
          <t>E 24 - D 5</t>
        </is>
      </c>
      <c r="M765" s="39" t="n">
        <v>51000</v>
      </c>
      <c r="N765" s="39" t="n">
        <v>51000</v>
      </c>
      <c r="S765" s="39" t="n"/>
      <c r="T765" s="39" t="n"/>
      <c r="Y765" s="39" t="n"/>
      <c r="Z765" s="39" t="n"/>
      <c r="AA765" t="inlineStr">
        <is>
          <t>Rocio Chuquimango Valencia</t>
        </is>
      </c>
      <c r="AB765" t="inlineStr">
        <is>
          <t>26707781</t>
        </is>
      </c>
      <c r="AC765" t="inlineStr">
        <is>
          <t xml:space="preserve">AV.ATAHUALPA 337.INT 2 </t>
        </is>
      </c>
      <c r="AD765" t="n">
        <v>0</v>
      </c>
      <c r="AE765" t="inlineStr">
        <is>
          <t>976685767</t>
        </is>
      </c>
      <c r="AF765" t="inlineStr">
        <is>
          <t>rocio-0511@hotmail.com</t>
        </is>
      </c>
      <c r="AG765" t="inlineStr">
        <is>
          <t>CAJAMARCA</t>
        </is>
      </c>
      <c r="AH765" t="inlineStr">
        <is>
          <t>CAJAMARCA</t>
        </is>
      </c>
      <c r="AI765" s="116" t="n">
        <v>46356</v>
      </c>
      <c r="AJ765" s="116" t="n"/>
      <c r="AK765" t="inlineStr">
        <is>
          <t>SALDO FINANCIAR</t>
        </is>
      </c>
      <c r="AL765" t="n">
        <v>5</v>
      </c>
      <c r="AM765" t="n">
        <v>24266.67</v>
      </c>
      <c r="AN765" t="n">
        <v>0</v>
      </c>
      <c r="AO765" t="n">
        <v>0</v>
      </c>
      <c r="AP765" s="39" t="n">
        <v>24266.67</v>
      </c>
      <c r="AQ765" s="39" t="n">
        <v>0</v>
      </c>
      <c r="AR765" s="39" t="n">
        <v>24266.67</v>
      </c>
      <c r="AT765" t="inlineStr">
        <is>
          <t>Crédito Directo</t>
        </is>
      </c>
      <c r="AZ765" t="inlineStr">
        <is>
          <t>No</t>
        </is>
      </c>
      <c r="BC765" t="inlineStr">
        <is>
          <t>PENDIENTE</t>
        </is>
      </c>
      <c r="BN765" t="inlineStr">
        <is>
          <t>No</t>
        </is>
      </c>
      <c r="BO765" s="117" t="n">
        <v>45898.34652777778</v>
      </c>
      <c r="BP765" t="inlineStr">
        <is>
          <t>Magaly Guevara Perez</t>
        </is>
      </c>
      <c r="BR765" t="n">
        <v>12</v>
      </c>
      <c r="BT765" t="n">
        <v>0</v>
      </c>
      <c r="BX765" t="inlineStr">
        <is>
          <t>Cobranzas_2026.csv</t>
        </is>
      </c>
      <c r="BY765" t="n">
        <v>2026</v>
      </c>
      <c r="BZ765" t="inlineStr">
        <is>
          <t>01/01/2024</t>
        </is>
      </c>
      <c r="CA765" t="inlineStr">
        <is>
          <t>30/09/2031</t>
        </is>
      </c>
    </row>
    <row r="766">
      <c r="A766" t="inlineStr">
        <is>
          <t>RESIDENCIAL VENECIA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602</t>
        </is>
      </c>
      <c r="G766" s="39" t="n">
        <v>573000</v>
      </c>
      <c r="H766" s="39" t="n">
        <v>573000</v>
      </c>
      <c r="I766" t="inlineStr">
        <is>
          <t>Edificio</t>
        </is>
      </c>
      <c r="J766" t="inlineStr">
        <is>
          <t>A</t>
        </is>
      </c>
      <c r="K766" t="inlineStr">
        <is>
          <t>Estacionamiento</t>
        </is>
      </c>
      <c r="L766" t="inlineStr">
        <is>
          <t>E 24 - D 5</t>
        </is>
      </c>
      <c r="M766" s="39" t="n">
        <v>51000</v>
      </c>
      <c r="N766" s="39" t="n">
        <v>51000</v>
      </c>
      <c r="S766" s="39" t="n"/>
      <c r="T766" s="39" t="n"/>
      <c r="Y766" s="39" t="n"/>
      <c r="Z766" s="39" t="n"/>
      <c r="AA766" t="inlineStr">
        <is>
          <t>Rocio Chuquimango Valencia</t>
        </is>
      </c>
      <c r="AB766" t="inlineStr">
        <is>
          <t>26707781</t>
        </is>
      </c>
      <c r="AC766" t="inlineStr">
        <is>
          <t xml:space="preserve">AV.ATAHUALPA 337.INT 2 </t>
        </is>
      </c>
      <c r="AD766" t="n">
        <v>0</v>
      </c>
      <c r="AE766" t="inlineStr">
        <is>
          <t>976685767</t>
        </is>
      </c>
      <c r="AF766" t="inlineStr">
        <is>
          <t>rocio-0511@hotmail.com</t>
        </is>
      </c>
      <c r="AG766" t="inlineStr">
        <is>
          <t>CAJAMARCA</t>
        </is>
      </c>
      <c r="AH766" t="inlineStr">
        <is>
          <t>CAJAMARCA</t>
        </is>
      </c>
      <c r="AI766" s="116" t="n">
        <v>46387</v>
      </c>
      <c r="AJ766" s="116" t="n"/>
      <c r="AK766" t="inlineStr">
        <is>
          <t>SALDO FINANCIAR</t>
        </is>
      </c>
      <c r="AL766" t="n">
        <v>6</v>
      </c>
      <c r="AM766" t="n">
        <v>24266.67</v>
      </c>
      <c r="AN766" t="n">
        <v>0</v>
      </c>
      <c r="AO766" t="n">
        <v>0</v>
      </c>
      <c r="AP766" s="39" t="n">
        <v>24266.67</v>
      </c>
      <c r="AQ766" s="39" t="n">
        <v>0</v>
      </c>
      <c r="AR766" s="39" t="n">
        <v>24266.67</v>
      </c>
      <c r="AT766" t="inlineStr">
        <is>
          <t>Crédito Directo</t>
        </is>
      </c>
      <c r="AZ766" t="inlineStr">
        <is>
          <t>No</t>
        </is>
      </c>
      <c r="BC766" t="inlineStr">
        <is>
          <t>PENDIENTE</t>
        </is>
      </c>
      <c r="BN766" t="inlineStr">
        <is>
          <t>No</t>
        </is>
      </c>
      <c r="BO766" s="117" t="n">
        <v>45898.34652777778</v>
      </c>
      <c r="BP766" t="inlineStr">
        <is>
          <t>Magaly Guevara Perez</t>
        </is>
      </c>
      <c r="BR766" t="n">
        <v>12</v>
      </c>
      <c r="BT766" t="n">
        <v>0</v>
      </c>
      <c r="BX766" t="inlineStr">
        <is>
          <t>Cobranzas_2026.csv</t>
        </is>
      </c>
      <c r="BY766" t="n">
        <v>2026</v>
      </c>
      <c r="BZ766" t="inlineStr">
        <is>
          <t>01/01/2024</t>
        </is>
      </c>
      <c r="CA766" t="inlineStr">
        <is>
          <t>30/09/2031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905</t>
        </is>
      </c>
      <c r="G767" s="39" t="n">
        <v>532100</v>
      </c>
      <c r="H767" s="39" t="n">
        <v>510000</v>
      </c>
      <c r="M767" s="39" t="n"/>
      <c r="N767" s="39" t="n"/>
      <c r="S767" s="39" t="n"/>
      <c r="T767" s="39" t="n"/>
      <c r="Y767" s="39" t="n"/>
      <c r="Z767" s="39" t="n"/>
      <c r="AA767" t="inlineStr">
        <is>
          <t>Rocio del Pilar Quispe Vivanco</t>
        </is>
      </c>
      <c r="AB767" t="inlineStr">
        <is>
          <t>46571077</t>
        </is>
      </c>
      <c r="AC767" t="inlineStr">
        <is>
          <t>Calle 49 MZ UU2 Lt.14 Urb. La Floresta</t>
        </is>
      </c>
      <c r="AD767" t="n">
        <v>0</v>
      </c>
      <c r="AE767" t="inlineStr">
        <is>
          <t>942198649</t>
        </is>
      </c>
      <c r="AF767" t="inlineStr">
        <is>
          <t>chio22011@hotmail.com</t>
        </is>
      </c>
      <c r="AG767" t="inlineStr">
        <is>
          <t>LIMA</t>
        </is>
      </c>
      <c r="AH767" t="inlineStr">
        <is>
          <t>LOS OLIVOS</t>
        </is>
      </c>
      <c r="AI767" s="116" t="n">
        <v>46166</v>
      </c>
      <c r="AJ767" s="116" t="n">
        <v>46166</v>
      </c>
      <c r="AK767" t="inlineStr">
        <is>
          <t>SEPARACION</t>
        </is>
      </c>
      <c r="AL767" t="n">
        <v>1</v>
      </c>
      <c r="AM767" t="n">
        <v>3000</v>
      </c>
      <c r="AN767" t="n">
        <v>0</v>
      </c>
      <c r="AO767" t="n">
        <v>0</v>
      </c>
      <c r="AP767" s="39" t="n">
        <v>3000</v>
      </c>
      <c r="AQ767" s="39" t="n">
        <v>3000</v>
      </c>
      <c r="AR767" s="39" t="n">
        <v>0</v>
      </c>
      <c r="AS767" t="n">
        <v>0</v>
      </c>
      <c r="AT767" t="inlineStr">
        <is>
          <t>Ahorro</t>
        </is>
      </c>
      <c r="AU767" t="inlineStr">
        <is>
          <t>Banco de Credito del Perú</t>
        </is>
      </c>
      <c r="AV767" t="inlineStr">
        <is>
          <t>002-19400732577906596</t>
        </is>
      </c>
      <c r="AW767" t="inlineStr">
        <is>
          <t>TRANSFERENCIA BANCARIA</t>
        </is>
      </c>
      <c r="AY767" t="inlineStr">
        <is>
          <t>4926</t>
        </is>
      </c>
      <c r="AZ767" t="inlineStr">
        <is>
          <t>No</t>
        </is>
      </c>
      <c r="BB767" t="n">
        <v>4</v>
      </c>
      <c r="BC767" t="inlineStr">
        <is>
          <t>CANCELADO</t>
        </is>
      </c>
      <c r="BN767" t="inlineStr">
        <is>
          <t>Si</t>
        </is>
      </c>
      <c r="BO767" s="117" t="n">
        <v>46174.33611111111</v>
      </c>
      <c r="BP767" t="inlineStr">
        <is>
          <t>Carla Michue M</t>
        </is>
      </c>
      <c r="BR767" t="n">
        <v>43</v>
      </c>
      <c r="BS767" t="inlineStr">
        <is>
          <t>28/05/2026 15:37</t>
        </is>
      </c>
      <c r="BT767" t="n">
        <v>0</v>
      </c>
      <c r="BX767" t="inlineStr">
        <is>
          <t>Cobranzas_2026.csv</t>
        </is>
      </c>
      <c r="BY767" t="n">
        <v>2026</v>
      </c>
      <c r="BZ767" t="inlineStr">
        <is>
          <t>01/01/2024</t>
        </is>
      </c>
      <c r="CA767" t="inlineStr">
        <is>
          <t>30/09/2031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905</t>
        </is>
      </c>
      <c r="G768" s="39" t="n">
        <v>532100</v>
      </c>
      <c r="H768" s="39" t="n">
        <v>510000</v>
      </c>
      <c r="M768" s="39" t="n"/>
      <c r="N768" s="39" t="n"/>
      <c r="S768" s="39" t="n"/>
      <c r="T768" s="39" t="n"/>
      <c r="Y768" s="39" t="n"/>
      <c r="Z768" s="39" t="n"/>
      <c r="AA768" t="inlineStr">
        <is>
          <t>Rocio del Pilar Quispe Vivanco</t>
        </is>
      </c>
      <c r="AB768" t="inlineStr">
        <is>
          <t>46571077</t>
        </is>
      </c>
      <c r="AC768" t="inlineStr">
        <is>
          <t>Calle 49 MZ UU2 Lt.14 Urb. La Floresta</t>
        </is>
      </c>
      <c r="AD768" t="n">
        <v>0</v>
      </c>
      <c r="AE768" t="inlineStr">
        <is>
          <t>942198649</t>
        </is>
      </c>
      <c r="AF768" t="inlineStr">
        <is>
          <t>chio22011@hotmail.com</t>
        </is>
      </c>
      <c r="AG768" t="inlineStr">
        <is>
          <t>LIMA</t>
        </is>
      </c>
      <c r="AH768" t="inlineStr">
        <is>
          <t>LOS OLIVOS</t>
        </is>
      </c>
      <c r="AI768" s="116" t="n">
        <v>46188</v>
      </c>
      <c r="AJ768" s="116" t="n">
        <v>46174</v>
      </c>
      <c r="AK768" t="inlineStr">
        <is>
          <t>CUOTA INICIAL</t>
        </is>
      </c>
      <c r="AL768" t="n">
        <v>1</v>
      </c>
      <c r="AM768" t="n">
        <v>57000</v>
      </c>
      <c r="AN768" t="n">
        <v>0</v>
      </c>
      <c r="AO768" t="n">
        <v>0</v>
      </c>
      <c r="AP768" s="39" t="n">
        <v>57000</v>
      </c>
      <c r="AQ768" s="39" t="n">
        <v>57000</v>
      </c>
      <c r="AR768" s="39" t="n">
        <v>0</v>
      </c>
      <c r="AS768" t="n">
        <v>0</v>
      </c>
      <c r="AT768" t="inlineStr">
        <is>
          <t>Ahorro</t>
        </is>
      </c>
      <c r="AU768" t="inlineStr">
        <is>
          <t>Banco de Credito del Perú</t>
        </is>
      </c>
      <c r="AV768" t="inlineStr">
        <is>
          <t>194-7325779-0-65</t>
        </is>
      </c>
      <c r="AW768" t="inlineStr">
        <is>
          <t>TRANSFERENCIA BANCARIA</t>
        </is>
      </c>
      <c r="AY768" t="inlineStr">
        <is>
          <t>0835217</t>
        </is>
      </c>
      <c r="AZ768" t="inlineStr">
        <is>
          <t>No</t>
        </is>
      </c>
      <c r="BB768" t="n">
        <v>4</v>
      </c>
      <c r="BC768" t="inlineStr">
        <is>
          <t>CANCELADO</t>
        </is>
      </c>
      <c r="BN768" t="inlineStr">
        <is>
          <t>Si</t>
        </is>
      </c>
      <c r="BO768" s="117" t="n">
        <v>46174.33611111111</v>
      </c>
      <c r="BP768" t="inlineStr">
        <is>
          <t>Carla Michue M</t>
        </is>
      </c>
      <c r="BR768" t="n">
        <v>43</v>
      </c>
      <c r="BS768" t="inlineStr">
        <is>
          <t>17/08/2026 13:50</t>
        </is>
      </c>
      <c r="BT768" t="n">
        <v>0</v>
      </c>
      <c r="BX768" t="inlineStr">
        <is>
          <t>Cobranzas_2026.csv</t>
        </is>
      </c>
      <c r="BY768" t="n">
        <v>2026</v>
      </c>
      <c r="BZ768" t="inlineStr">
        <is>
          <t>01/01/2024</t>
        </is>
      </c>
      <c r="CA768" t="inlineStr">
        <is>
          <t>30/09/2031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905</t>
        </is>
      </c>
      <c r="G769" s="39" t="n">
        <v>532100</v>
      </c>
      <c r="H769" s="39" t="n">
        <v>510000</v>
      </c>
      <c r="M769" s="39" t="n"/>
      <c r="N769" s="39" t="n"/>
      <c r="S769" s="39" t="n"/>
      <c r="T769" s="39" t="n"/>
      <c r="Y769" s="39" t="n"/>
      <c r="Z769" s="39" t="n"/>
      <c r="AA769" t="inlineStr">
        <is>
          <t>Rocio del Pilar Quispe Vivanco</t>
        </is>
      </c>
      <c r="AB769" t="inlineStr">
        <is>
          <t>46571077</t>
        </is>
      </c>
      <c r="AC769" t="inlineStr">
        <is>
          <t>Calle 49 MZ UU2 Lt.14 Urb. La Floresta</t>
        </is>
      </c>
      <c r="AD769" t="n">
        <v>0</v>
      </c>
      <c r="AE769" t="inlineStr">
        <is>
          <t>942198649</t>
        </is>
      </c>
      <c r="AF769" t="inlineStr">
        <is>
          <t>chio22011@hotmail.com</t>
        </is>
      </c>
      <c r="AG769" t="inlineStr">
        <is>
          <t>LIMA</t>
        </is>
      </c>
      <c r="AH769" t="inlineStr">
        <is>
          <t>LOS OLIVOS</t>
        </is>
      </c>
      <c r="AI769" s="116" t="n">
        <v>46356</v>
      </c>
      <c r="AJ769" s="116" t="n"/>
      <c r="AK769" t="inlineStr">
        <is>
          <t>CUOTA INICIAL</t>
        </is>
      </c>
      <c r="AL769" t="n">
        <v>2</v>
      </c>
      <c r="AM769" t="n">
        <v>42000</v>
      </c>
      <c r="AN769" t="n">
        <v>0</v>
      </c>
      <c r="AO769" t="n">
        <v>0</v>
      </c>
      <c r="AP769" s="39" t="n">
        <v>42000</v>
      </c>
      <c r="AQ769" s="39" t="n">
        <v>0</v>
      </c>
      <c r="AR769" s="39" t="n">
        <v>42000</v>
      </c>
      <c r="AT769" t="inlineStr">
        <is>
          <t>Ahorro</t>
        </is>
      </c>
      <c r="AZ769" t="inlineStr">
        <is>
          <t>No</t>
        </is>
      </c>
      <c r="BC769" t="inlineStr">
        <is>
          <t>PENDIENTE</t>
        </is>
      </c>
      <c r="BN769" t="inlineStr">
        <is>
          <t>No</t>
        </is>
      </c>
      <c r="BO769" s="117" t="n">
        <v>46174.33611111111</v>
      </c>
      <c r="BP769" t="inlineStr">
        <is>
          <t>Carla Michue M</t>
        </is>
      </c>
      <c r="BR769" t="n">
        <v>43</v>
      </c>
      <c r="BT769" t="n">
        <v>0</v>
      </c>
      <c r="BX769" t="inlineStr">
        <is>
          <t>Cobranzas_2026.csv</t>
        </is>
      </c>
      <c r="BY769" t="n">
        <v>2026</v>
      </c>
      <c r="BZ769" t="inlineStr">
        <is>
          <t>01/01/2024</t>
        </is>
      </c>
      <c r="CA769" t="inlineStr">
        <is>
          <t>30/09/2031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Estacionamiento</t>
        </is>
      </c>
      <c r="F770" t="inlineStr">
        <is>
          <t>E 33 - D 22</t>
        </is>
      </c>
      <c r="G770" s="39" t="n">
        <v>51000</v>
      </c>
      <c r="H770" s="39" t="n">
        <v>51000</v>
      </c>
      <c r="M770" s="39" t="n"/>
      <c r="N770" s="39" t="n"/>
      <c r="S770" s="39" t="n"/>
      <c r="T770" s="39" t="n"/>
      <c r="Y770" s="39" t="n"/>
      <c r="Z770" s="39" t="n"/>
      <c r="AA770" t="inlineStr">
        <is>
          <t>Rocio del Pilar Quispe Vivanco</t>
        </is>
      </c>
      <c r="AB770" t="inlineStr">
        <is>
          <t>46571077</t>
        </is>
      </c>
      <c r="AC770" t="inlineStr">
        <is>
          <t>Calle 49 MZ UU2 Lt.14 Urb. La Floresta</t>
        </is>
      </c>
      <c r="AD770" t="n">
        <v>0</v>
      </c>
      <c r="AE770" t="inlineStr">
        <is>
          <t>942198649</t>
        </is>
      </c>
      <c r="AF770" t="inlineStr">
        <is>
          <t>chio22011@hotmail.com</t>
        </is>
      </c>
      <c r="AG770" t="inlineStr">
        <is>
          <t>LIMA</t>
        </is>
      </c>
      <c r="AH770" t="inlineStr">
        <is>
          <t>LOS OLIVOS</t>
        </is>
      </c>
      <c r="AI770" s="116" t="n">
        <v>46166</v>
      </c>
      <c r="AJ770" s="116" t="n">
        <v>46166</v>
      </c>
      <c r="AK770" t="inlineStr">
        <is>
          <t>SEPARACION</t>
        </is>
      </c>
      <c r="AL770" t="n">
        <v>1</v>
      </c>
      <c r="AM770" t="n">
        <v>3000</v>
      </c>
      <c r="AN770" t="n">
        <v>0</v>
      </c>
      <c r="AO770" t="n">
        <v>0</v>
      </c>
      <c r="AP770" s="39" t="n">
        <v>3000</v>
      </c>
      <c r="AQ770" s="39" t="n">
        <v>5</v>
      </c>
      <c r="AR770" s="39" t="n">
        <v>990</v>
      </c>
      <c r="AS770" t="n">
        <v>0</v>
      </c>
      <c r="AT770" t="inlineStr">
        <is>
          <t>Crédito Directo</t>
        </is>
      </c>
      <c r="AU770" t="inlineStr">
        <is>
          <t>Banco de Credito del Perú</t>
        </is>
      </c>
      <c r="AV770" t="inlineStr">
        <is>
          <t>002-19400732577906596</t>
        </is>
      </c>
      <c r="AY770" t="inlineStr">
        <is>
          <t>00004927000000000</t>
        </is>
      </c>
      <c r="AZ770" t="inlineStr">
        <is>
          <t>No</t>
        </is>
      </c>
      <c r="BB770" t="n">
        <v>4</v>
      </c>
      <c r="BC770" t="inlineStr">
        <is>
          <t>VENCIDO - PARC. CANCELADO</t>
        </is>
      </c>
      <c r="BH770" t="inlineStr">
        <is>
          <t>29/08/2026 00:00</t>
        </is>
      </c>
      <c r="BI770" t="n">
        <v>5000</v>
      </c>
      <c r="BJ770" t="n">
        <v>100</v>
      </c>
      <c r="BL770" t="inlineStr">
        <is>
          <t>29/08/2026 19:44</t>
        </is>
      </c>
      <c r="BM770" t="inlineStr">
        <is>
          <t>Carla Michue M</t>
        </is>
      </c>
      <c r="BN770" t="inlineStr">
        <is>
          <t>Si</t>
        </is>
      </c>
      <c r="BO770" s="117" t="n">
        <v>46171.55763888889</v>
      </c>
      <c r="BP770" t="inlineStr">
        <is>
          <t>Carla Michue M</t>
        </is>
      </c>
      <c r="BR770" t="n">
        <v>49</v>
      </c>
      <c r="BS770" t="inlineStr">
        <is>
          <t>29/08/2026 19:54</t>
        </is>
      </c>
      <c r="BT770" t="n">
        <v>0</v>
      </c>
      <c r="BX770" t="inlineStr">
        <is>
          <t>Cobranzas_2026.csv</t>
        </is>
      </c>
      <c r="BY770" t="n">
        <v>2026</v>
      </c>
      <c r="BZ770" t="inlineStr">
        <is>
          <t>01/01/2024</t>
        </is>
      </c>
      <c r="CA770" t="inlineStr">
        <is>
          <t>30/09/2031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Estacionamiento</t>
        </is>
      </c>
      <c r="F771" t="inlineStr">
        <is>
          <t>E 33 - D 22</t>
        </is>
      </c>
      <c r="G771" s="39" t="n">
        <v>51000</v>
      </c>
      <c r="H771" s="39" t="n">
        <v>51000</v>
      </c>
      <c r="M771" s="39" t="n"/>
      <c r="N771" s="39" t="n"/>
      <c r="S771" s="39" t="n"/>
      <c r="T771" s="39" t="n"/>
      <c r="Y771" s="39" t="n"/>
      <c r="Z771" s="39" t="n"/>
      <c r="AA771" t="inlineStr">
        <is>
          <t>Rocio del Pilar Quispe Vivanco</t>
        </is>
      </c>
      <c r="AB771" t="inlineStr">
        <is>
          <t>46571077</t>
        </is>
      </c>
      <c r="AC771" t="inlineStr">
        <is>
          <t>Calle 49 MZ UU2 Lt.14 Urb. La Floresta</t>
        </is>
      </c>
      <c r="AD771" t="n">
        <v>0</v>
      </c>
      <c r="AE771" t="inlineStr">
        <is>
          <t>942198649</t>
        </is>
      </c>
      <c r="AF771" t="inlineStr">
        <is>
          <t>chio22011@hotmail.com</t>
        </is>
      </c>
      <c r="AG771" t="inlineStr">
        <is>
          <t>LIMA</t>
        </is>
      </c>
      <c r="AH771" t="inlineStr">
        <is>
          <t>LOS OLIVOS</t>
        </is>
      </c>
      <c r="AI771" s="116" t="n">
        <v>46166</v>
      </c>
      <c r="AJ771" s="116" t="n">
        <v>46263</v>
      </c>
      <c r="AK771" t="inlineStr">
        <is>
          <t>SEPARACION</t>
        </is>
      </c>
      <c r="AL771" t="n">
        <v>1</v>
      </c>
      <c r="AM771" t="n">
        <v>0</v>
      </c>
      <c r="AN771" t="n">
        <v>0</v>
      </c>
      <c r="AO771" t="n">
        <v>0</v>
      </c>
      <c r="AP771" s="39" t="n">
        <v>0</v>
      </c>
      <c r="AQ771" s="39" t="n">
        <v>2005</v>
      </c>
      <c r="AR771" s="39" t="n">
        <v>0</v>
      </c>
      <c r="AS771" t="n">
        <v>0</v>
      </c>
      <c r="AT771" t="inlineStr">
        <is>
          <t>Crédito Directo</t>
        </is>
      </c>
      <c r="AU771" t="inlineStr">
        <is>
          <t>Banco de Credito del Perú</t>
        </is>
      </c>
      <c r="AV771" t="inlineStr">
        <is>
          <t>194-7325779-0-65</t>
        </is>
      </c>
      <c r="AW771" t="inlineStr">
        <is>
          <t>TRANSFERENCIA BANCARIA</t>
        </is>
      </c>
      <c r="AY771" t="inlineStr">
        <is>
          <t>0004927000000000</t>
        </is>
      </c>
      <c r="AZ771" t="inlineStr">
        <is>
          <t>No</t>
        </is>
      </c>
      <c r="BB771" t="n">
        <v>4</v>
      </c>
      <c r="BC771" t="inlineStr">
        <is>
          <t>VENCIDO</t>
        </is>
      </c>
      <c r="BH771" t="inlineStr">
        <is>
          <t>29/08/2026 00:00</t>
        </is>
      </c>
      <c r="BI771" t="n">
        <v>5000</v>
      </c>
      <c r="BJ771" t="n">
        <v>100</v>
      </c>
      <c r="BL771" t="inlineStr">
        <is>
          <t>29/08/2026 19:44</t>
        </is>
      </c>
      <c r="BM771" t="inlineStr">
        <is>
          <t>Carla Michue M</t>
        </is>
      </c>
      <c r="BN771" t="inlineStr">
        <is>
          <t>Si</t>
        </is>
      </c>
      <c r="BO771" s="117" t="n">
        <v>46171.55763888889</v>
      </c>
      <c r="BP771" t="inlineStr">
        <is>
          <t>Carla Michue M</t>
        </is>
      </c>
      <c r="BR771" t="n">
        <v>49</v>
      </c>
      <c r="BS771" t="inlineStr">
        <is>
          <t>29/08/2026 19:59</t>
        </is>
      </c>
      <c r="BT771" t="n">
        <v>0</v>
      </c>
      <c r="BX771" t="inlineStr">
        <is>
          <t>Cobranzas_2026.csv</t>
        </is>
      </c>
      <c r="BY771" t="n">
        <v>2026</v>
      </c>
      <c r="BZ771" t="inlineStr">
        <is>
          <t>01/01/2024</t>
        </is>
      </c>
      <c r="CA771" t="inlineStr">
        <is>
          <t>30/09/2031</t>
        </is>
      </c>
    </row>
    <row r="772">
      <c r="A772" t="inlineStr">
        <is>
          <t>RESIDENCIAL BEYOND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33 - D 22</t>
        </is>
      </c>
      <c r="G772" s="39" t="n">
        <v>51000</v>
      </c>
      <c r="H772" s="39" t="n">
        <v>51000</v>
      </c>
      <c r="M772" s="39" t="n"/>
      <c r="N772" s="39" t="n"/>
      <c r="S772" s="39" t="n"/>
      <c r="T772" s="39" t="n"/>
      <c r="Y772" s="39" t="n"/>
      <c r="Z772" s="39" t="n"/>
      <c r="AA772" t="inlineStr">
        <is>
          <t>Rocio del Pilar Quispe Vivanco</t>
        </is>
      </c>
      <c r="AB772" t="inlineStr">
        <is>
          <t>46571077</t>
        </is>
      </c>
      <c r="AC772" t="inlineStr">
        <is>
          <t>Calle 49 MZ UU2 Lt.14 Urb. La Floresta</t>
        </is>
      </c>
      <c r="AD772" t="n">
        <v>0</v>
      </c>
      <c r="AE772" t="inlineStr">
        <is>
          <t>942198649</t>
        </is>
      </c>
      <c r="AF772" t="inlineStr">
        <is>
          <t>chio22011@hotmail.com</t>
        </is>
      </c>
      <c r="AG772" t="inlineStr">
        <is>
          <t>LIMA</t>
        </is>
      </c>
      <c r="AH772" t="inlineStr">
        <is>
          <t>LOS OLIVOS</t>
        </is>
      </c>
      <c r="AI772" s="116" t="n">
        <v>46186</v>
      </c>
      <c r="AJ772" s="116" t="n"/>
      <c r="AK772" t="inlineStr">
        <is>
          <t>CUOTA INICIAL</t>
        </is>
      </c>
      <c r="AL772" t="n">
        <v>1</v>
      </c>
      <c r="AM772" t="n">
        <v>2000</v>
      </c>
      <c r="AN772" t="n">
        <v>0</v>
      </c>
      <c r="AO772" t="n">
        <v>0</v>
      </c>
      <c r="AP772" s="39" t="n">
        <v>2000</v>
      </c>
      <c r="AQ772" s="39" t="n">
        <v>0</v>
      </c>
      <c r="AR772" s="39" t="n">
        <v>2000</v>
      </c>
      <c r="AT772" t="inlineStr">
        <is>
          <t>Crédito Directo</t>
        </is>
      </c>
      <c r="AZ772" t="inlineStr">
        <is>
          <t>No</t>
        </is>
      </c>
      <c r="BC772" t="inlineStr">
        <is>
          <t>VENCIDO</t>
        </is>
      </c>
      <c r="BN772" t="inlineStr">
        <is>
          <t>No</t>
        </is>
      </c>
      <c r="BO772" s="117" t="n">
        <v>46171.55763888889</v>
      </c>
      <c r="BP772" t="inlineStr">
        <is>
          <t>Carla Michue M</t>
        </is>
      </c>
      <c r="BR772" t="n">
        <v>49</v>
      </c>
      <c r="BT772" t="n">
        <v>0</v>
      </c>
      <c r="BX772" t="inlineStr">
        <is>
          <t>Cobranzas_2026.csv</t>
        </is>
      </c>
      <c r="BY772" t="n">
        <v>2026</v>
      </c>
      <c r="BZ772" t="inlineStr">
        <is>
          <t>01/01/2024</t>
        </is>
      </c>
      <c r="CA772" t="inlineStr">
        <is>
          <t>30/09/2031</t>
        </is>
      </c>
    </row>
    <row r="773">
      <c r="A773" t="inlineStr">
        <is>
          <t>RESIDENCIAL BEYOND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33 - D 22</t>
        </is>
      </c>
      <c r="G773" s="39" t="n">
        <v>51000</v>
      </c>
      <c r="H773" s="39" t="n">
        <v>51000</v>
      </c>
      <c r="M773" s="39" t="n"/>
      <c r="N773" s="39" t="n"/>
      <c r="S773" s="39" t="n"/>
      <c r="T773" s="39" t="n"/>
      <c r="Y773" s="39" t="n"/>
      <c r="Z773" s="39" t="n"/>
      <c r="AA773" t="inlineStr">
        <is>
          <t>Rocio del Pilar Quispe Vivanco</t>
        </is>
      </c>
      <c r="AB773" t="inlineStr">
        <is>
          <t>46571077</t>
        </is>
      </c>
      <c r="AC773" t="inlineStr">
        <is>
          <t>Calle 49 MZ UU2 Lt.14 Urb. La Floresta</t>
        </is>
      </c>
      <c r="AD773" t="n">
        <v>0</v>
      </c>
      <c r="AE773" t="inlineStr">
        <is>
          <t>942198649</t>
        </is>
      </c>
      <c r="AF773" t="inlineStr">
        <is>
          <t>chio22011@hotmail.com</t>
        </is>
      </c>
      <c r="AG773" t="inlineStr">
        <is>
          <t>LIMA</t>
        </is>
      </c>
      <c r="AH773" t="inlineStr">
        <is>
          <t>LOS OLIVOS</t>
        </is>
      </c>
      <c r="AI773" s="116" t="n">
        <v>46216</v>
      </c>
      <c r="AJ773" s="116" t="n"/>
      <c r="AK773" t="inlineStr">
        <is>
          <t>SALDO FINANCIAR</t>
        </is>
      </c>
      <c r="AL773" t="n">
        <v>1</v>
      </c>
      <c r="AM773" t="n">
        <v>2000</v>
      </c>
      <c r="AN773" t="n">
        <v>0</v>
      </c>
      <c r="AO773" t="n">
        <v>0</v>
      </c>
      <c r="AP773" s="39" t="n">
        <v>2000</v>
      </c>
      <c r="AQ773" s="39" t="n">
        <v>0</v>
      </c>
      <c r="AR773" s="39" t="n">
        <v>2000</v>
      </c>
      <c r="AT773" t="inlineStr">
        <is>
          <t>Crédito Directo</t>
        </is>
      </c>
      <c r="AZ773" t="inlineStr">
        <is>
          <t>No</t>
        </is>
      </c>
      <c r="BC773" t="inlineStr">
        <is>
          <t>VENCIDO</t>
        </is>
      </c>
      <c r="BN773" t="inlineStr">
        <is>
          <t>No</t>
        </is>
      </c>
      <c r="BO773" s="117" t="n">
        <v>46171.55763888889</v>
      </c>
      <c r="BP773" t="inlineStr">
        <is>
          <t>Carla Michue M</t>
        </is>
      </c>
      <c r="BR773" t="n">
        <v>49</v>
      </c>
      <c r="BT773" t="n">
        <v>0</v>
      </c>
      <c r="BX773" t="inlineStr">
        <is>
          <t>Cobranzas_2026.csv</t>
        </is>
      </c>
      <c r="BY773" t="n">
        <v>2026</v>
      </c>
      <c r="BZ773" t="inlineStr">
        <is>
          <t>01/01/2024</t>
        </is>
      </c>
      <c r="CA773" t="inlineStr">
        <is>
          <t>30/09/2031</t>
        </is>
      </c>
    </row>
    <row r="774">
      <c r="A774" t="inlineStr">
        <is>
          <t>RESIDENCIAL BEYOND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33 - D 22</t>
        </is>
      </c>
      <c r="G774" s="39" t="n">
        <v>51000</v>
      </c>
      <c r="H774" s="39" t="n">
        <v>51000</v>
      </c>
      <c r="M774" s="39" t="n"/>
      <c r="N774" s="39" t="n"/>
      <c r="S774" s="39" t="n"/>
      <c r="T774" s="39" t="n"/>
      <c r="Y774" s="39" t="n"/>
      <c r="Z774" s="39" t="n"/>
      <c r="AA774" t="inlineStr">
        <is>
          <t>Rocio del Pilar Quispe Vivanco</t>
        </is>
      </c>
      <c r="AB774" t="inlineStr">
        <is>
          <t>46571077</t>
        </is>
      </c>
      <c r="AC774" t="inlineStr">
        <is>
          <t>Calle 49 MZ UU2 Lt.14 Urb. La Floresta</t>
        </is>
      </c>
      <c r="AD774" t="n">
        <v>0</v>
      </c>
      <c r="AE774" t="inlineStr">
        <is>
          <t>942198649</t>
        </is>
      </c>
      <c r="AF774" t="inlineStr">
        <is>
          <t>chio22011@hotmail.com</t>
        </is>
      </c>
      <c r="AG774" t="inlineStr">
        <is>
          <t>LIMA</t>
        </is>
      </c>
      <c r="AH774" t="inlineStr">
        <is>
          <t>LOS OLIVOS</t>
        </is>
      </c>
      <c r="AI774" s="116" t="n">
        <v>46247</v>
      </c>
      <c r="AJ774" s="116" t="n"/>
      <c r="AK774" t="inlineStr">
        <is>
          <t>SALDO FINANCIAR</t>
        </is>
      </c>
      <c r="AL774" t="n">
        <v>2</v>
      </c>
      <c r="AM774" t="n">
        <v>2000</v>
      </c>
      <c r="AN774" t="n">
        <v>0</v>
      </c>
      <c r="AO774" t="n">
        <v>0</v>
      </c>
      <c r="AP774" s="39" t="n">
        <v>2000</v>
      </c>
      <c r="AQ774" s="39" t="n">
        <v>0</v>
      </c>
      <c r="AR774" s="39" t="n">
        <v>2000</v>
      </c>
      <c r="AT774" t="inlineStr">
        <is>
          <t>Crédito Directo</t>
        </is>
      </c>
      <c r="AZ774" t="inlineStr">
        <is>
          <t>No</t>
        </is>
      </c>
      <c r="BC774" t="inlineStr">
        <is>
          <t>VENCIDO</t>
        </is>
      </c>
      <c r="BN774" t="inlineStr">
        <is>
          <t>No</t>
        </is>
      </c>
      <c r="BO774" s="117" t="n">
        <v>46171.55763888889</v>
      </c>
      <c r="BP774" t="inlineStr">
        <is>
          <t>Carla Michue M</t>
        </is>
      </c>
      <c r="BR774" t="n">
        <v>49</v>
      </c>
      <c r="BT774" t="n">
        <v>0</v>
      </c>
      <c r="BX774" t="inlineStr">
        <is>
          <t>Cobranzas_2026.csv</t>
        </is>
      </c>
      <c r="BY774" t="n">
        <v>2026</v>
      </c>
      <c r="BZ774" t="inlineStr">
        <is>
          <t>01/01/2024</t>
        </is>
      </c>
      <c r="CA774" t="inlineStr">
        <is>
          <t>30/09/2031</t>
        </is>
      </c>
    </row>
    <row r="775">
      <c r="A775" t="inlineStr">
        <is>
          <t>RESIDENCIAL BEYOND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33 - D 22</t>
        </is>
      </c>
      <c r="G775" s="39" t="n">
        <v>51000</v>
      </c>
      <c r="H775" s="39" t="n">
        <v>51000</v>
      </c>
      <c r="M775" s="39" t="n"/>
      <c r="N775" s="39" t="n"/>
      <c r="S775" s="39" t="n"/>
      <c r="T775" s="39" t="n"/>
      <c r="Y775" s="39" t="n"/>
      <c r="Z775" s="39" t="n"/>
      <c r="AA775" t="inlineStr">
        <is>
          <t>Rocio del Pilar Quispe Vivanco</t>
        </is>
      </c>
      <c r="AB775" t="inlineStr">
        <is>
          <t>46571077</t>
        </is>
      </c>
      <c r="AC775" t="inlineStr">
        <is>
          <t>Calle 49 MZ UU2 Lt.14 Urb. La Floresta</t>
        </is>
      </c>
      <c r="AD775" t="n">
        <v>0</v>
      </c>
      <c r="AE775" t="inlineStr">
        <is>
          <t>942198649</t>
        </is>
      </c>
      <c r="AF775" t="inlineStr">
        <is>
          <t>chio22011@hotmail.com</t>
        </is>
      </c>
      <c r="AG775" t="inlineStr">
        <is>
          <t>LIMA</t>
        </is>
      </c>
      <c r="AH775" t="inlineStr">
        <is>
          <t>LOS OLIVOS</t>
        </is>
      </c>
      <c r="AI775" s="116" t="n">
        <v>46278</v>
      </c>
      <c r="AJ775" s="116" t="n"/>
      <c r="AK775" t="inlineStr">
        <is>
          <t>SALDO FINANCIAR</t>
        </is>
      </c>
      <c r="AL775" t="n">
        <v>3</v>
      </c>
      <c r="AM775" t="n">
        <v>2000</v>
      </c>
      <c r="AN775" t="n">
        <v>0</v>
      </c>
      <c r="AO775" t="n">
        <v>0</v>
      </c>
      <c r="AP775" s="39" t="n">
        <v>2000</v>
      </c>
      <c r="AQ775" s="39" t="n">
        <v>0</v>
      </c>
      <c r="AR775" s="39" t="n">
        <v>2000</v>
      </c>
      <c r="AT775" t="inlineStr">
        <is>
          <t>Crédito Directo</t>
        </is>
      </c>
      <c r="AZ775" t="inlineStr">
        <is>
          <t>No</t>
        </is>
      </c>
      <c r="BC775" t="inlineStr">
        <is>
          <t>VENCIDO</t>
        </is>
      </c>
      <c r="BN775" t="inlineStr">
        <is>
          <t>No</t>
        </is>
      </c>
      <c r="BO775" s="117" t="n">
        <v>46171.55763888889</v>
      </c>
      <c r="BP775" t="inlineStr">
        <is>
          <t>Carla Michue M</t>
        </is>
      </c>
      <c r="BR775" t="n">
        <v>49</v>
      </c>
      <c r="BT775" t="n">
        <v>0</v>
      </c>
      <c r="BX775" t="inlineStr">
        <is>
          <t>Cobranzas_2026.csv</t>
        </is>
      </c>
      <c r="BY775" t="n">
        <v>2026</v>
      </c>
      <c r="BZ775" t="inlineStr">
        <is>
          <t>01/01/2024</t>
        </is>
      </c>
      <c r="CA775" t="inlineStr">
        <is>
          <t>30/09/2031</t>
        </is>
      </c>
    </row>
    <row r="776">
      <c r="A776" t="inlineStr">
        <is>
          <t>RESIDENCIAL BEYOND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33 - D 22</t>
        </is>
      </c>
      <c r="G776" s="39" t="n">
        <v>51000</v>
      </c>
      <c r="H776" s="39" t="n">
        <v>51000</v>
      </c>
      <c r="M776" s="39" t="n"/>
      <c r="N776" s="39" t="n"/>
      <c r="S776" s="39" t="n"/>
      <c r="T776" s="39" t="n"/>
      <c r="Y776" s="39" t="n"/>
      <c r="Z776" s="39" t="n"/>
      <c r="AA776" t="inlineStr">
        <is>
          <t>Rocio del Pilar Quispe Vivanco</t>
        </is>
      </c>
      <c r="AB776" t="inlineStr">
        <is>
          <t>46571077</t>
        </is>
      </c>
      <c r="AC776" t="inlineStr">
        <is>
          <t>Calle 49 MZ UU2 Lt.14 Urb. La Floresta</t>
        </is>
      </c>
      <c r="AD776" t="n">
        <v>0</v>
      </c>
      <c r="AE776" t="inlineStr">
        <is>
          <t>942198649</t>
        </is>
      </c>
      <c r="AF776" t="inlineStr">
        <is>
          <t>chio22011@hotmail.com</t>
        </is>
      </c>
      <c r="AG776" t="inlineStr">
        <is>
          <t>LIMA</t>
        </is>
      </c>
      <c r="AH776" t="inlineStr">
        <is>
          <t>LOS OLIVOS</t>
        </is>
      </c>
      <c r="AI776" s="116" t="n">
        <v>46308</v>
      </c>
      <c r="AJ776" s="116" t="n"/>
      <c r="AK776" t="inlineStr">
        <is>
          <t>SALDO FINANCIAR</t>
        </is>
      </c>
      <c r="AL776" t="n">
        <v>4</v>
      </c>
      <c r="AM776" t="n">
        <v>2000</v>
      </c>
      <c r="AN776" t="n">
        <v>0</v>
      </c>
      <c r="AO776" t="n">
        <v>0</v>
      </c>
      <c r="AP776" s="39" t="n">
        <v>2000</v>
      </c>
      <c r="AQ776" s="39" t="n">
        <v>0</v>
      </c>
      <c r="AR776" s="39" t="n">
        <v>2000</v>
      </c>
      <c r="AT776" t="inlineStr">
        <is>
          <t>Crédito Directo</t>
        </is>
      </c>
      <c r="AZ776" t="inlineStr">
        <is>
          <t>No</t>
        </is>
      </c>
      <c r="BC776" t="inlineStr">
        <is>
          <t>PENDIENTE</t>
        </is>
      </c>
      <c r="BN776" t="inlineStr">
        <is>
          <t>No</t>
        </is>
      </c>
      <c r="BO776" s="117" t="n">
        <v>46171.55763888889</v>
      </c>
      <c r="BP776" t="inlineStr">
        <is>
          <t>Carla Michue M</t>
        </is>
      </c>
      <c r="BR776" t="n">
        <v>49</v>
      </c>
      <c r="BT776" t="n">
        <v>0</v>
      </c>
      <c r="BX776" t="inlineStr">
        <is>
          <t>Cobranzas_2026.csv</t>
        </is>
      </c>
      <c r="BY776" t="n">
        <v>2026</v>
      </c>
      <c r="BZ776" t="inlineStr">
        <is>
          <t>01/01/2024</t>
        </is>
      </c>
      <c r="CA776" t="inlineStr">
        <is>
          <t>30/09/2031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Estacionamiento</t>
        </is>
      </c>
      <c r="F777" t="inlineStr">
        <is>
          <t>E 33 - D 22</t>
        </is>
      </c>
      <c r="G777" s="39" t="n">
        <v>51000</v>
      </c>
      <c r="H777" s="39" t="n">
        <v>51000</v>
      </c>
      <c r="M777" s="39" t="n"/>
      <c r="N777" s="39" t="n"/>
      <c r="S777" s="39" t="n"/>
      <c r="T777" s="39" t="n"/>
      <c r="Y777" s="39" t="n"/>
      <c r="Z777" s="39" t="n"/>
      <c r="AA777" t="inlineStr">
        <is>
          <t>Rocio del Pilar Quispe Vivanco</t>
        </is>
      </c>
      <c r="AB777" t="inlineStr">
        <is>
          <t>46571077</t>
        </is>
      </c>
      <c r="AC777" t="inlineStr">
        <is>
          <t>Calle 49 MZ UU2 Lt.14 Urb. La Floresta</t>
        </is>
      </c>
      <c r="AD777" t="n">
        <v>0</v>
      </c>
      <c r="AE777" t="inlineStr">
        <is>
          <t>942198649</t>
        </is>
      </c>
      <c r="AF777" t="inlineStr">
        <is>
          <t>chio22011@hotmail.com</t>
        </is>
      </c>
      <c r="AG777" t="inlineStr">
        <is>
          <t>LIMA</t>
        </is>
      </c>
      <c r="AH777" t="inlineStr">
        <is>
          <t>LOS OLIVOS</t>
        </is>
      </c>
      <c r="AI777" s="116" t="n">
        <v>46339</v>
      </c>
      <c r="AJ777" s="116" t="n"/>
      <c r="AK777" t="inlineStr">
        <is>
          <t>SALDO FINANCIAR</t>
        </is>
      </c>
      <c r="AL777" t="n">
        <v>5</v>
      </c>
      <c r="AM777" t="n">
        <v>2000</v>
      </c>
      <c r="AN777" t="n">
        <v>0</v>
      </c>
      <c r="AO777" t="n">
        <v>0</v>
      </c>
      <c r="AP777" s="39" t="n">
        <v>2000</v>
      </c>
      <c r="AQ777" s="39" t="n">
        <v>0</v>
      </c>
      <c r="AR777" s="39" t="n">
        <v>2000</v>
      </c>
      <c r="AT777" t="inlineStr">
        <is>
          <t>Crédito Directo</t>
        </is>
      </c>
      <c r="AZ777" t="inlineStr">
        <is>
          <t>No</t>
        </is>
      </c>
      <c r="BC777" t="inlineStr">
        <is>
          <t>PENDIENTE</t>
        </is>
      </c>
      <c r="BN777" t="inlineStr">
        <is>
          <t>No</t>
        </is>
      </c>
      <c r="BO777" s="117" t="n">
        <v>46171.55763888889</v>
      </c>
      <c r="BP777" t="inlineStr">
        <is>
          <t>Carla Michue M</t>
        </is>
      </c>
      <c r="BR777" t="n">
        <v>49</v>
      </c>
      <c r="BT777" t="n">
        <v>0</v>
      </c>
      <c r="BX777" t="inlineStr">
        <is>
          <t>Cobranzas_2026.csv</t>
        </is>
      </c>
      <c r="BY777" t="n">
        <v>2026</v>
      </c>
      <c r="BZ777" t="inlineStr">
        <is>
          <t>01/01/2024</t>
        </is>
      </c>
      <c r="CA777" t="inlineStr">
        <is>
          <t>30/09/2031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Estacionamiento</t>
        </is>
      </c>
      <c r="F778" t="inlineStr">
        <is>
          <t>E 33 - D 22</t>
        </is>
      </c>
      <c r="G778" s="39" t="n">
        <v>51000</v>
      </c>
      <c r="H778" s="39" t="n">
        <v>51000</v>
      </c>
      <c r="M778" s="39" t="n"/>
      <c r="N778" s="39" t="n"/>
      <c r="S778" s="39" t="n"/>
      <c r="T778" s="39" t="n"/>
      <c r="Y778" s="39" t="n"/>
      <c r="Z778" s="39" t="n"/>
      <c r="AA778" t="inlineStr">
        <is>
          <t>Rocio del Pilar Quispe Vivanco</t>
        </is>
      </c>
      <c r="AB778" t="inlineStr">
        <is>
          <t>46571077</t>
        </is>
      </c>
      <c r="AC778" t="inlineStr">
        <is>
          <t>Calle 49 MZ UU2 Lt.14 Urb. La Floresta</t>
        </is>
      </c>
      <c r="AD778" t="n">
        <v>0</v>
      </c>
      <c r="AE778" t="inlineStr">
        <is>
          <t>942198649</t>
        </is>
      </c>
      <c r="AF778" t="inlineStr">
        <is>
          <t>chio22011@hotmail.com</t>
        </is>
      </c>
      <c r="AG778" t="inlineStr">
        <is>
          <t>LIMA</t>
        </is>
      </c>
      <c r="AH778" t="inlineStr">
        <is>
          <t>LOS OLIVOS</t>
        </is>
      </c>
      <c r="AI778" s="116" t="n">
        <v>46369</v>
      </c>
      <c r="AJ778" s="116" t="n"/>
      <c r="AK778" t="inlineStr">
        <is>
          <t>SALDO FINANCIAR</t>
        </is>
      </c>
      <c r="AL778" t="n">
        <v>6</v>
      </c>
      <c r="AM778" t="n">
        <v>2000</v>
      </c>
      <c r="AN778" t="n">
        <v>0</v>
      </c>
      <c r="AO778" t="n">
        <v>0</v>
      </c>
      <c r="AP778" s="39" t="n">
        <v>2000</v>
      </c>
      <c r="AQ778" s="39" t="n">
        <v>0</v>
      </c>
      <c r="AR778" s="39" t="n">
        <v>2000</v>
      </c>
      <c r="AT778" t="inlineStr">
        <is>
          <t>Crédito Directo</t>
        </is>
      </c>
      <c r="AZ778" t="inlineStr">
        <is>
          <t>No</t>
        </is>
      </c>
      <c r="BC778" t="inlineStr">
        <is>
          <t>PENDIENTE</t>
        </is>
      </c>
      <c r="BN778" t="inlineStr">
        <is>
          <t>No</t>
        </is>
      </c>
      <c r="BO778" s="117" t="n">
        <v>46171.55763888889</v>
      </c>
      <c r="BP778" t="inlineStr">
        <is>
          <t>Carla Michue M</t>
        </is>
      </c>
      <c r="BR778" t="n">
        <v>49</v>
      </c>
      <c r="BT778" t="n">
        <v>0</v>
      </c>
      <c r="BX778" t="inlineStr">
        <is>
          <t>Cobranzas_2026.csv</t>
        </is>
      </c>
      <c r="BY778" t="n">
        <v>2026</v>
      </c>
      <c r="BZ778" t="inlineStr">
        <is>
          <t>01/01/2024</t>
        </is>
      </c>
      <c r="CA778" t="inlineStr">
        <is>
          <t>30/09/2031</t>
        </is>
      </c>
    </row>
    <row r="779">
      <c r="A779" t="inlineStr">
        <is>
          <t>RESIDENCIAL PRADA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402</t>
        </is>
      </c>
      <c r="G779" s="39" t="n">
        <v>517000</v>
      </c>
      <c r="H779" s="39" t="n">
        <v>457600</v>
      </c>
      <c r="I779" t="inlineStr">
        <is>
          <t>Edificio</t>
        </is>
      </c>
      <c r="J779" t="inlineStr">
        <is>
          <t>A</t>
        </is>
      </c>
      <c r="K779" t="inlineStr">
        <is>
          <t>Estacionamiento</t>
        </is>
      </c>
      <c r="L779" t="inlineStr">
        <is>
          <t>E 46 - D 35</t>
        </is>
      </c>
      <c r="M779" s="39" t="n">
        <v>54400</v>
      </c>
      <c r="N779" s="39" t="n">
        <v>54400</v>
      </c>
      <c r="S779" s="39" t="n"/>
      <c r="T779" s="39" t="n"/>
      <c r="Y779" s="39" t="n"/>
      <c r="Z779" s="39" t="n"/>
      <c r="AA779" t="inlineStr">
        <is>
          <t>RODRIGO SANDRO CARDENAS BULLON</t>
        </is>
      </c>
      <c r="AB779" t="inlineStr">
        <is>
          <t>72200919</t>
        </is>
      </c>
      <c r="AC779" t="inlineStr">
        <is>
          <t>CALLE LOS NEGOCIOS 280 BLOCK 3 DPTO A401</t>
        </is>
      </c>
      <c r="AD779" t="n">
        <v>0</v>
      </c>
      <c r="AE779" t="inlineStr">
        <is>
          <t>944456394</t>
        </is>
      </c>
      <c r="AF779" t="inlineStr">
        <is>
          <t>rodrigo.cardenas.bullon@gmail.com</t>
        </is>
      </c>
      <c r="AG779" t="inlineStr">
        <is>
          <t>LIMA</t>
        </is>
      </c>
      <c r="AH779" t="inlineStr">
        <is>
          <t>SURQUILLO</t>
        </is>
      </c>
      <c r="AI779" s="116" t="n">
        <v>46159</v>
      </c>
      <c r="AJ779" s="116" t="n">
        <v>46159</v>
      </c>
      <c r="AK779" t="inlineStr">
        <is>
          <t>SEPARACION</t>
        </is>
      </c>
      <c r="AL779" t="n">
        <v>1</v>
      </c>
      <c r="AM779" t="n">
        <v>3000</v>
      </c>
      <c r="AN779" t="n">
        <v>0</v>
      </c>
      <c r="AO779" t="n">
        <v>0</v>
      </c>
      <c r="AP779" s="39" t="n">
        <v>3000</v>
      </c>
      <c r="AQ779" s="39" t="n">
        <v>3000</v>
      </c>
      <c r="AR779" s="39" t="n">
        <v>0</v>
      </c>
      <c r="AS779" t="n">
        <v>0</v>
      </c>
      <c r="AT779" t="inlineStr">
        <is>
          <t>Ahorro</t>
        </is>
      </c>
      <c r="AU779" t="inlineStr">
        <is>
          <t>Scotiabank Perú</t>
        </is>
      </c>
      <c r="AV779" t="inlineStr">
        <is>
          <t>000-2768484</t>
        </is>
      </c>
      <c r="AW779" t="inlineStr">
        <is>
          <t>POS VISA</t>
        </is>
      </c>
      <c r="AX779" t="inlineStr">
        <is>
          <t>72200919</t>
        </is>
      </c>
      <c r="AY779" t="inlineStr">
        <is>
          <t>0123</t>
        </is>
      </c>
      <c r="AZ779" t="inlineStr">
        <is>
          <t>No</t>
        </is>
      </c>
      <c r="BA779" t="inlineStr">
        <is>
          <t>NO PRECISA</t>
        </is>
      </c>
      <c r="BB779" t="n">
        <v>4</v>
      </c>
      <c r="BC779" t="inlineStr">
        <is>
          <t>CANCELADO</t>
        </is>
      </c>
      <c r="BN779" t="inlineStr">
        <is>
          <t>Si</t>
        </is>
      </c>
      <c r="BO779" s="117" t="n">
        <v>46165.68263888889</v>
      </c>
      <c r="BP779" t="inlineStr">
        <is>
          <t>Magaly Guevara Perez</t>
        </is>
      </c>
      <c r="BR779" t="n">
        <v>27</v>
      </c>
      <c r="BS779" t="inlineStr">
        <is>
          <t>18/05/2026 16:40</t>
        </is>
      </c>
      <c r="BT779" t="n">
        <v>0</v>
      </c>
      <c r="BX779" t="inlineStr">
        <is>
          <t>Cobranzas_2026.csv</t>
        </is>
      </c>
      <c r="BY779" t="n">
        <v>2026</v>
      </c>
      <c r="BZ779" t="inlineStr">
        <is>
          <t>01/01/2024</t>
        </is>
      </c>
      <c r="CA779" t="inlineStr">
        <is>
          <t>30/09/2031</t>
        </is>
      </c>
    </row>
    <row r="780">
      <c r="A780" t="inlineStr">
        <is>
          <t>RESIDENCIAL PRADA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402</t>
        </is>
      </c>
      <c r="G780" s="39" t="n">
        <v>517000</v>
      </c>
      <c r="H780" s="39" t="n">
        <v>457600</v>
      </c>
      <c r="I780" t="inlineStr">
        <is>
          <t>Edificio</t>
        </is>
      </c>
      <c r="J780" t="inlineStr">
        <is>
          <t>A</t>
        </is>
      </c>
      <c r="K780" t="inlineStr">
        <is>
          <t>Estacionamiento</t>
        </is>
      </c>
      <c r="L780" t="inlineStr">
        <is>
          <t>E 46 - D 35</t>
        </is>
      </c>
      <c r="M780" s="39" t="n">
        <v>54400</v>
      </c>
      <c r="N780" s="39" t="n">
        <v>54400</v>
      </c>
      <c r="S780" s="39" t="n"/>
      <c r="T780" s="39" t="n"/>
      <c r="Y780" s="39" t="n"/>
      <c r="Z780" s="39" t="n"/>
      <c r="AA780" t="inlineStr">
        <is>
          <t>RODRIGO SANDRO CARDENAS BULLON</t>
        </is>
      </c>
      <c r="AB780" t="inlineStr">
        <is>
          <t>72200919</t>
        </is>
      </c>
      <c r="AC780" t="inlineStr">
        <is>
          <t>CALLE LOS NEGOCIOS 280 BLOCK 3 DPTO A401</t>
        </is>
      </c>
      <c r="AD780" t="n">
        <v>0</v>
      </c>
      <c r="AE780" t="inlineStr">
        <is>
          <t>944456394</t>
        </is>
      </c>
      <c r="AF780" t="inlineStr">
        <is>
          <t>rodrigo.cardenas.bullon@gmail.com</t>
        </is>
      </c>
      <c r="AG780" t="inlineStr">
        <is>
          <t>LIMA</t>
        </is>
      </c>
      <c r="AH780" t="inlineStr">
        <is>
          <t>SURQUILLO</t>
        </is>
      </c>
      <c r="AI780" s="116" t="n">
        <v>46165</v>
      </c>
      <c r="AJ780" s="116" t="n">
        <v>46165</v>
      </c>
      <c r="AK780" t="inlineStr">
        <is>
          <t>CUOTA INICIAL</t>
        </is>
      </c>
      <c r="AL780" t="n">
        <v>1</v>
      </c>
      <c r="AM780" t="n">
        <v>22600</v>
      </c>
      <c r="AN780" t="n">
        <v>0</v>
      </c>
      <c r="AO780" t="n">
        <v>0</v>
      </c>
      <c r="AP780" s="39" t="n">
        <v>22600</v>
      </c>
      <c r="AQ780" s="39" t="n">
        <v>22600</v>
      </c>
      <c r="AR780" s="39" t="n">
        <v>0</v>
      </c>
      <c r="AS780" t="n">
        <v>0</v>
      </c>
      <c r="AT780" t="inlineStr">
        <is>
          <t>Ahorro</t>
        </is>
      </c>
      <c r="AU780" t="inlineStr">
        <is>
          <t>Scotiabank Perú</t>
        </is>
      </c>
      <c r="AV780" t="inlineStr">
        <is>
          <t>000-2768484</t>
        </is>
      </c>
      <c r="AW780" t="inlineStr">
        <is>
          <t>TRANSFERENCIA BANCARIA</t>
        </is>
      </c>
      <c r="AY780" t="inlineStr">
        <is>
          <t>P046133</t>
        </is>
      </c>
      <c r="AZ780" t="inlineStr">
        <is>
          <t>No</t>
        </is>
      </c>
      <c r="BB780" t="n">
        <v>4</v>
      </c>
      <c r="BC780" t="inlineStr">
        <is>
          <t>CANCELADO</t>
        </is>
      </c>
      <c r="BN780" t="inlineStr">
        <is>
          <t>Si</t>
        </is>
      </c>
      <c r="BO780" s="117" t="n">
        <v>46165.68263888889</v>
      </c>
      <c r="BP780" t="inlineStr">
        <is>
          <t>Magaly Guevara Perez</t>
        </is>
      </c>
      <c r="BR780" t="n">
        <v>27</v>
      </c>
      <c r="BS780" t="inlineStr">
        <is>
          <t>23/06/2026 15:54</t>
        </is>
      </c>
      <c r="BT780" t="n">
        <v>0</v>
      </c>
      <c r="BX780" t="inlineStr">
        <is>
          <t>Cobranzas_2026.csv</t>
        </is>
      </c>
      <c r="BY780" t="n">
        <v>2026</v>
      </c>
      <c r="BZ780" t="inlineStr">
        <is>
          <t>01/01/2024</t>
        </is>
      </c>
      <c r="CA780" t="inlineStr">
        <is>
          <t>30/09/2031</t>
        </is>
      </c>
    </row>
    <row r="781">
      <c r="A781" t="inlineStr">
        <is>
          <t>RESIDENCIAL PRADA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402</t>
        </is>
      </c>
      <c r="G781" s="39" t="n">
        <v>517000</v>
      </c>
      <c r="H781" s="39" t="n">
        <v>457600</v>
      </c>
      <c r="I781" t="inlineStr">
        <is>
          <t>Edificio</t>
        </is>
      </c>
      <c r="J781" t="inlineStr">
        <is>
          <t>A</t>
        </is>
      </c>
      <c r="K781" t="inlineStr">
        <is>
          <t>Estacionamiento</t>
        </is>
      </c>
      <c r="L781" t="inlineStr">
        <is>
          <t>E 46 - D 35</t>
        </is>
      </c>
      <c r="M781" s="39" t="n">
        <v>54400</v>
      </c>
      <c r="N781" s="39" t="n">
        <v>54400</v>
      </c>
      <c r="S781" s="39" t="n"/>
      <c r="T781" s="39" t="n"/>
      <c r="Y781" s="39" t="n"/>
      <c r="Z781" s="39" t="n"/>
      <c r="AA781" t="inlineStr">
        <is>
          <t>RODRIGO SANDRO CARDENAS BULLON</t>
        </is>
      </c>
      <c r="AB781" t="inlineStr">
        <is>
          <t>72200919</t>
        </is>
      </c>
      <c r="AC781" t="inlineStr">
        <is>
          <t>CALLE LOS NEGOCIOS 280 BLOCK 3 DPTO A401</t>
        </is>
      </c>
      <c r="AD781" t="n">
        <v>0</v>
      </c>
      <c r="AE781" t="inlineStr">
        <is>
          <t>944456394</t>
        </is>
      </c>
      <c r="AF781" t="inlineStr">
        <is>
          <t>rodrigo.cardenas.bullon@gmail.com</t>
        </is>
      </c>
      <c r="AG781" t="inlineStr">
        <is>
          <t>LIMA</t>
        </is>
      </c>
      <c r="AH781" t="inlineStr">
        <is>
          <t>SURQUILLO</t>
        </is>
      </c>
      <c r="AI781" s="116" t="n">
        <v>46284</v>
      </c>
      <c r="AJ781" s="116" t="n">
        <v>46284</v>
      </c>
      <c r="AK781" t="inlineStr">
        <is>
          <t>AHORRO CASA</t>
        </is>
      </c>
      <c r="AL781" t="n">
        <v>2</v>
      </c>
      <c r="AM781" t="n">
        <v>25600</v>
      </c>
      <c r="AN781" t="n">
        <v>0</v>
      </c>
      <c r="AO781" t="n">
        <v>0</v>
      </c>
      <c r="AP781" s="39" t="n">
        <v>25600</v>
      </c>
      <c r="AQ781" s="39" t="n">
        <v>10600</v>
      </c>
      <c r="AR781" s="39" t="n">
        <v>15000</v>
      </c>
      <c r="AS781" t="n">
        <v>0</v>
      </c>
      <c r="AT781" t="inlineStr">
        <is>
          <t>Ahorro</t>
        </is>
      </c>
      <c r="AU781" t="inlineStr">
        <is>
          <t>Scotiabank Perú</t>
        </is>
      </c>
      <c r="AV781" t="inlineStr">
        <is>
          <t>000-2768484</t>
        </is>
      </c>
      <c r="AW781" t="inlineStr">
        <is>
          <t>TRANSFERENCIA BANCARIA</t>
        </is>
      </c>
      <c r="AY781" t="inlineStr">
        <is>
          <t>U26434</t>
        </is>
      </c>
      <c r="AZ781" t="inlineStr">
        <is>
          <t>No</t>
        </is>
      </c>
      <c r="BB781" t="n">
        <v>4</v>
      </c>
      <c r="BC781" t="inlineStr">
        <is>
          <t>VENCIDO - PARC. CANCELADO</t>
        </is>
      </c>
      <c r="BH781" t="inlineStr">
        <is>
          <t>10/10/2026 00:00</t>
        </is>
      </c>
      <c r="BI781" t="n">
        <v>15000</v>
      </c>
      <c r="BJ781" t="n">
        <v>100</v>
      </c>
      <c r="BK781" t="inlineStr">
        <is>
          <t>AFP</t>
        </is>
      </c>
      <c r="BL781" t="inlineStr">
        <is>
          <t>26/09/2026 19:39</t>
        </is>
      </c>
      <c r="BM781" t="inlineStr">
        <is>
          <t>Carla Michue M</t>
        </is>
      </c>
      <c r="BN781" t="inlineStr">
        <is>
          <t>Si</t>
        </is>
      </c>
      <c r="BO781" s="117" t="n">
        <v>46165.68263888889</v>
      </c>
      <c r="BP781" t="inlineStr">
        <is>
          <t>Magaly Guevara Perez</t>
        </is>
      </c>
      <c r="BR781" t="n">
        <v>27</v>
      </c>
      <c r="BS781" t="inlineStr">
        <is>
          <t>26/09/2026 19:32</t>
        </is>
      </c>
      <c r="BT781" t="n">
        <v>0</v>
      </c>
      <c r="BX781" t="inlineStr">
        <is>
          <t>Cobranzas_2026.csv</t>
        </is>
      </c>
      <c r="BY781" t="n">
        <v>2026</v>
      </c>
      <c r="BZ781" t="inlineStr">
        <is>
          <t>01/01/2024</t>
        </is>
      </c>
      <c r="CA781" t="inlineStr">
        <is>
          <t>30/09/2031</t>
        </is>
      </c>
    </row>
    <row r="782">
      <c r="A782" t="inlineStr">
        <is>
          <t>RESIDENCIAL PRADA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Departamento</t>
        </is>
      </c>
      <c r="F782" t="inlineStr">
        <is>
          <t>402</t>
        </is>
      </c>
      <c r="G782" s="39" t="n">
        <v>517000</v>
      </c>
      <c r="H782" s="39" t="n">
        <v>457600</v>
      </c>
      <c r="I782" t="inlineStr">
        <is>
          <t>Edificio</t>
        </is>
      </c>
      <c r="J782" t="inlineStr">
        <is>
          <t>A</t>
        </is>
      </c>
      <c r="K782" t="inlineStr">
        <is>
          <t>Estacionamiento</t>
        </is>
      </c>
      <c r="L782" t="inlineStr">
        <is>
          <t>E 46 - D 35</t>
        </is>
      </c>
      <c r="M782" s="39" t="n">
        <v>54400</v>
      </c>
      <c r="N782" s="39" t="n">
        <v>54400</v>
      </c>
      <c r="S782" s="39" t="n"/>
      <c r="T782" s="39" t="n"/>
      <c r="Y782" s="39" t="n"/>
      <c r="Z782" s="39" t="n"/>
      <c r="AA782" t="inlineStr">
        <is>
          <t>RODRIGO SANDRO CARDENAS BULLON</t>
        </is>
      </c>
      <c r="AB782" t="inlineStr">
        <is>
          <t>72200919</t>
        </is>
      </c>
      <c r="AC782" t="inlineStr">
        <is>
          <t>CALLE LOS NEGOCIOS 280 BLOCK 3 DPTO A401</t>
        </is>
      </c>
      <c r="AD782" t="n">
        <v>0</v>
      </c>
      <c r="AE782" t="inlineStr">
        <is>
          <t>944456394</t>
        </is>
      </c>
      <c r="AF782" t="inlineStr">
        <is>
          <t>rodrigo.cardenas.bullon@gmail.com</t>
        </is>
      </c>
      <c r="AG782" t="inlineStr">
        <is>
          <t>LIMA</t>
        </is>
      </c>
      <c r="AH782" t="inlineStr">
        <is>
          <t>SURQUILLO</t>
        </is>
      </c>
      <c r="AI782" s="116" t="n">
        <v>46295</v>
      </c>
      <c r="AJ782" s="116" t="n"/>
      <c r="AK782" t="inlineStr">
        <is>
          <t>SALDO FINANCIAR</t>
        </is>
      </c>
      <c r="AL782" t="n">
        <v>1</v>
      </c>
      <c r="AM782" t="n">
        <v>460800</v>
      </c>
      <c r="AN782" t="n">
        <v>0</v>
      </c>
      <c r="AO782" t="n">
        <v>0</v>
      </c>
      <c r="AP782" s="39" t="n">
        <v>460800</v>
      </c>
      <c r="AQ782" s="39" t="n">
        <v>0</v>
      </c>
      <c r="AR782" s="39" t="n">
        <v>460800</v>
      </c>
      <c r="AT782" t="inlineStr">
        <is>
          <t>Ahorro</t>
        </is>
      </c>
      <c r="AZ782" t="inlineStr">
        <is>
          <t>No</t>
        </is>
      </c>
      <c r="BC782" t="inlineStr">
        <is>
          <t>VENCIDO</t>
        </is>
      </c>
      <c r="BN782" t="inlineStr">
        <is>
          <t>No</t>
        </is>
      </c>
      <c r="BO782" s="117" t="n">
        <v>46165.68263888889</v>
      </c>
      <c r="BP782" t="inlineStr">
        <is>
          <t>Magaly Guevara Perez</t>
        </is>
      </c>
      <c r="BR782" t="n">
        <v>27</v>
      </c>
      <c r="BT782" t="n">
        <v>0</v>
      </c>
      <c r="BX782" t="inlineStr">
        <is>
          <t>Cobranzas_2026.csv</t>
        </is>
      </c>
      <c r="BY782" t="n">
        <v>2026</v>
      </c>
      <c r="BZ782" t="inlineStr">
        <is>
          <t>01/01/2024</t>
        </is>
      </c>
      <c r="CA782" t="inlineStr">
        <is>
          <t>30/09/2031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703</t>
        </is>
      </c>
      <c r="G783" s="39" t="n">
        <v>474700</v>
      </c>
      <c r="H783" s="39" t="n">
        <v>474700</v>
      </c>
      <c r="I783" t="inlineStr">
        <is>
          <t>Edificio</t>
        </is>
      </c>
      <c r="J783" t="inlineStr">
        <is>
          <t>A</t>
        </is>
      </c>
      <c r="K783" t="inlineStr">
        <is>
          <t>Departamento</t>
        </is>
      </c>
      <c r="L783" t="inlineStr">
        <is>
          <t>704</t>
        </is>
      </c>
      <c r="M783" s="39" t="n">
        <v>468000</v>
      </c>
      <c r="N783" s="39" t="n">
        <v>468000</v>
      </c>
      <c r="S783" s="39" t="n"/>
      <c r="T783" s="39" t="n"/>
      <c r="Y783" s="39" t="n"/>
      <c r="Z783" s="39" t="n"/>
      <c r="AA783" t="inlineStr">
        <is>
          <t>RONALD ANTONIO TICONA ARONES</t>
        </is>
      </c>
      <c r="AB783" t="inlineStr">
        <is>
          <t>41639626</t>
        </is>
      </c>
      <c r="AC783" t="inlineStr">
        <is>
          <t>Av. Gregorio Escobedo 426 Dpto. N°402 - Jesus Maria.</t>
        </is>
      </c>
      <c r="AE783" t="inlineStr">
        <is>
          <t>959833373</t>
        </is>
      </c>
      <c r="AF783" t="inlineStr">
        <is>
          <t>gr103@gmail.com</t>
        </is>
      </c>
      <c r="AG783" t="inlineStr">
        <is>
          <t>LIMA</t>
        </is>
      </c>
      <c r="AH783" t="inlineStr">
        <is>
          <t>JESUS MARIA</t>
        </is>
      </c>
      <c r="AI783" s="116" t="n">
        <v>46075</v>
      </c>
      <c r="AJ783" s="116" t="n">
        <v>46075</v>
      </c>
      <c r="AK783" t="inlineStr">
        <is>
          <t>SEPARACION</t>
        </is>
      </c>
      <c r="AL783" t="n">
        <v>1</v>
      </c>
      <c r="AM783" t="n">
        <v>5000</v>
      </c>
      <c r="AN783" t="n">
        <v>0</v>
      </c>
      <c r="AO783" t="n">
        <v>0</v>
      </c>
      <c r="AP783" s="39" t="n">
        <v>5000</v>
      </c>
      <c r="AQ783" s="39" t="n">
        <v>5000</v>
      </c>
      <c r="AR783" s="39" t="n">
        <v>0</v>
      </c>
      <c r="AS783" t="n">
        <v>0</v>
      </c>
      <c r="AT783" t="inlineStr">
        <is>
          <t>Crédito Hipotecario</t>
        </is>
      </c>
      <c r="AU783" t="inlineStr">
        <is>
          <t>Banco de Credito del Perú</t>
        </is>
      </c>
      <c r="AV783" t="inlineStr">
        <is>
          <t>194-7325779-0-65</t>
        </is>
      </c>
      <c r="AW783" t="inlineStr">
        <is>
          <t>TRANSFERENCIA BANCARIA</t>
        </is>
      </c>
      <c r="AY783" t="inlineStr">
        <is>
          <t>000</t>
        </is>
      </c>
      <c r="AZ783" t="inlineStr">
        <is>
          <t>No</t>
        </is>
      </c>
      <c r="BB783" t="n">
        <v>4</v>
      </c>
      <c r="BC783" t="inlineStr">
        <is>
          <t>CANCELADO</t>
        </is>
      </c>
      <c r="BN783" t="inlineStr">
        <is>
          <t>Si</t>
        </is>
      </c>
      <c r="BO783" s="117" t="n">
        <v>46181.41111111111</v>
      </c>
      <c r="BP783" t="inlineStr">
        <is>
          <t>Kenny Salazar S</t>
        </is>
      </c>
      <c r="BR783" t="n">
        <v>37</v>
      </c>
      <c r="BS783" t="inlineStr">
        <is>
          <t>19/08/2026 16:05</t>
        </is>
      </c>
      <c r="BT783" t="n">
        <v>0</v>
      </c>
      <c r="BX783" t="inlineStr">
        <is>
          <t>Cobranzas_2026.csv</t>
        </is>
      </c>
      <c r="BY783" t="n">
        <v>2026</v>
      </c>
      <c r="BZ783" t="inlineStr">
        <is>
          <t>01/01/2024</t>
        </is>
      </c>
      <c r="CA783" t="inlineStr">
        <is>
          <t>30/09/2031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703</t>
        </is>
      </c>
      <c r="G784" s="39" t="n">
        <v>474700</v>
      </c>
      <c r="H784" s="39" t="n">
        <v>474700</v>
      </c>
      <c r="I784" t="inlineStr">
        <is>
          <t>Edificio</t>
        </is>
      </c>
      <c r="J784" t="inlineStr">
        <is>
          <t>A</t>
        </is>
      </c>
      <c r="K784" t="inlineStr">
        <is>
          <t>Departamento</t>
        </is>
      </c>
      <c r="L784" t="inlineStr">
        <is>
          <t>704</t>
        </is>
      </c>
      <c r="M784" s="39" t="n">
        <v>468000</v>
      </c>
      <c r="N784" s="39" t="n">
        <v>468000</v>
      </c>
      <c r="S784" s="39" t="n"/>
      <c r="T784" s="39" t="n"/>
      <c r="Y784" s="39" t="n"/>
      <c r="Z784" s="39" t="n"/>
      <c r="AA784" t="inlineStr">
        <is>
          <t>RONALD ANTONIO TICONA ARONES</t>
        </is>
      </c>
      <c r="AB784" t="inlineStr">
        <is>
          <t>41639626</t>
        </is>
      </c>
      <c r="AC784" t="inlineStr">
        <is>
          <t>Av. Gregorio Escobedo 426 Dpto. N°402 - Jesus Maria.</t>
        </is>
      </c>
      <c r="AE784" t="inlineStr">
        <is>
          <t>959833373</t>
        </is>
      </c>
      <c r="AF784" t="inlineStr">
        <is>
          <t>gr103@gmail.com</t>
        </is>
      </c>
      <c r="AG784" t="inlineStr">
        <is>
          <t>LIMA</t>
        </is>
      </c>
      <c r="AH784" t="inlineStr">
        <is>
          <t>JESUS MARIA</t>
        </is>
      </c>
      <c r="AI784" s="116" t="n">
        <v>46088</v>
      </c>
      <c r="AJ784" s="116" t="n">
        <v>46088</v>
      </c>
      <c r="AK784" t="inlineStr">
        <is>
          <t>CUOTA INICIAL</t>
        </is>
      </c>
      <c r="AL784" t="n">
        <v>1</v>
      </c>
      <c r="AM784" t="n">
        <v>10000</v>
      </c>
      <c r="AN784" t="n">
        <v>0</v>
      </c>
      <c r="AO784" t="n">
        <v>0</v>
      </c>
      <c r="AP784" s="39" t="n">
        <v>10000</v>
      </c>
      <c r="AQ784" s="39" t="n">
        <v>5000</v>
      </c>
      <c r="AR784" s="39" t="n">
        <v>0</v>
      </c>
      <c r="AS784" t="n">
        <v>0</v>
      </c>
      <c r="AT784" t="inlineStr">
        <is>
          <t>Crédito Hipotecario</t>
        </is>
      </c>
      <c r="AU784" t="inlineStr">
        <is>
          <t>Banco de Credito del Perú</t>
        </is>
      </c>
      <c r="AV784" t="inlineStr">
        <is>
          <t>194-7325779-0-65</t>
        </is>
      </c>
      <c r="AW784" t="inlineStr">
        <is>
          <t>TRANSFERENCIA BANCARIA</t>
        </is>
      </c>
      <c r="AY784" t="inlineStr">
        <is>
          <t>00832062</t>
        </is>
      </c>
      <c r="AZ784" t="inlineStr">
        <is>
          <t>No</t>
        </is>
      </c>
      <c r="BB784" t="n">
        <v>4</v>
      </c>
      <c r="BC784" t="inlineStr">
        <is>
          <t>CANCELADO</t>
        </is>
      </c>
      <c r="BN784" t="inlineStr">
        <is>
          <t>Si</t>
        </is>
      </c>
      <c r="BO784" s="117" t="n">
        <v>46181.41111111111</v>
      </c>
      <c r="BP784" t="inlineStr">
        <is>
          <t>Kenny Salazar S</t>
        </is>
      </c>
      <c r="BR784" t="n">
        <v>37</v>
      </c>
      <c r="BS784" t="inlineStr">
        <is>
          <t>17/08/2026 09:13</t>
        </is>
      </c>
      <c r="BT784" t="n">
        <v>0</v>
      </c>
      <c r="BX784" t="inlineStr">
        <is>
          <t>Cobranzas_2026.csv</t>
        </is>
      </c>
      <c r="BY784" t="n">
        <v>2026</v>
      </c>
      <c r="BZ784" t="inlineStr">
        <is>
          <t>01/01/2024</t>
        </is>
      </c>
      <c r="CA784" t="inlineStr">
        <is>
          <t>30/09/2031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703</t>
        </is>
      </c>
      <c r="G785" s="39" t="n">
        <v>474700</v>
      </c>
      <c r="H785" s="39" t="n">
        <v>474700</v>
      </c>
      <c r="I785" t="inlineStr">
        <is>
          <t>Edificio</t>
        </is>
      </c>
      <c r="J785" t="inlineStr">
        <is>
          <t>A</t>
        </is>
      </c>
      <c r="K785" t="inlineStr">
        <is>
          <t>Departamento</t>
        </is>
      </c>
      <c r="L785" t="inlineStr">
        <is>
          <t>704</t>
        </is>
      </c>
      <c r="M785" s="39" t="n">
        <v>468000</v>
      </c>
      <c r="N785" s="39" t="n">
        <v>468000</v>
      </c>
      <c r="S785" s="39" t="n"/>
      <c r="T785" s="39" t="n"/>
      <c r="Y785" s="39" t="n"/>
      <c r="Z785" s="39" t="n"/>
      <c r="AA785" t="inlineStr">
        <is>
          <t>RONALD ANTONIO TICONA ARONES</t>
        </is>
      </c>
      <c r="AB785" t="inlineStr">
        <is>
          <t>41639626</t>
        </is>
      </c>
      <c r="AC785" t="inlineStr">
        <is>
          <t>Av. Gregorio Escobedo 426 Dpto. N°402 - Jesus Maria.</t>
        </is>
      </c>
      <c r="AE785" t="inlineStr">
        <is>
          <t>959833373</t>
        </is>
      </c>
      <c r="AF785" t="inlineStr">
        <is>
          <t>gr103@gmail.com</t>
        </is>
      </c>
      <c r="AG785" t="inlineStr">
        <is>
          <t>LIMA</t>
        </is>
      </c>
      <c r="AH785" t="inlineStr">
        <is>
          <t>JESUS MARIA</t>
        </is>
      </c>
      <c r="AI785" s="116" t="n">
        <v>46088</v>
      </c>
      <c r="AJ785" s="116" t="n">
        <v>46088</v>
      </c>
      <c r="AK785" t="inlineStr">
        <is>
          <t>CUOTA INICIAL</t>
        </is>
      </c>
      <c r="AL785" t="n">
        <v>1</v>
      </c>
      <c r="AM785" t="n">
        <v>0</v>
      </c>
      <c r="AN785" t="n">
        <v>0</v>
      </c>
      <c r="AO785" t="n">
        <v>0</v>
      </c>
      <c r="AP785" s="39" t="n">
        <v>0</v>
      </c>
      <c r="AQ785" s="39" t="n">
        <v>5000</v>
      </c>
      <c r="AR785" s="39" t="n">
        <v>0</v>
      </c>
      <c r="AS785" t="n">
        <v>0</v>
      </c>
      <c r="AT785" t="inlineStr">
        <is>
          <t>Crédito Hipotecario</t>
        </is>
      </c>
      <c r="AU785" t="inlineStr">
        <is>
          <t>Banco de Credito del Perú</t>
        </is>
      </c>
      <c r="AV785" t="inlineStr">
        <is>
          <t>194-7325779-0-65</t>
        </is>
      </c>
      <c r="AW785" t="inlineStr">
        <is>
          <t>TRANSFERENCIA BANCARIA</t>
        </is>
      </c>
      <c r="AY785" t="inlineStr">
        <is>
          <t>00843529</t>
        </is>
      </c>
      <c r="AZ785" t="inlineStr">
        <is>
          <t>No</t>
        </is>
      </c>
      <c r="BB785" t="n">
        <v>4</v>
      </c>
      <c r="BC785" t="inlineStr">
        <is>
          <t>CANCELADO</t>
        </is>
      </c>
      <c r="BN785" t="inlineStr">
        <is>
          <t>Si</t>
        </is>
      </c>
      <c r="BO785" s="117" t="n">
        <v>46181.41111111111</v>
      </c>
      <c r="BP785" t="inlineStr">
        <is>
          <t>Kenny Salazar S</t>
        </is>
      </c>
      <c r="BR785" t="n">
        <v>37</v>
      </c>
      <c r="BS785" t="inlineStr">
        <is>
          <t>17/08/2026 09:14</t>
        </is>
      </c>
      <c r="BT785" t="n">
        <v>0</v>
      </c>
      <c r="BX785" t="inlineStr">
        <is>
          <t>Cobranzas_2026.csv</t>
        </is>
      </c>
      <c r="BY785" t="n">
        <v>2026</v>
      </c>
      <c r="BZ785" t="inlineStr">
        <is>
          <t>01/01/2024</t>
        </is>
      </c>
      <c r="CA785" t="inlineStr">
        <is>
          <t>30/09/2031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703</t>
        </is>
      </c>
      <c r="G786" s="39" t="n">
        <v>474700</v>
      </c>
      <c r="H786" s="39" t="n">
        <v>474700</v>
      </c>
      <c r="I786" t="inlineStr">
        <is>
          <t>Edificio</t>
        </is>
      </c>
      <c r="J786" t="inlineStr">
        <is>
          <t>A</t>
        </is>
      </c>
      <c r="K786" t="inlineStr">
        <is>
          <t>Departamento</t>
        </is>
      </c>
      <c r="L786" t="inlineStr">
        <is>
          <t>704</t>
        </is>
      </c>
      <c r="M786" s="39" t="n">
        <v>468000</v>
      </c>
      <c r="N786" s="39" t="n">
        <v>468000</v>
      </c>
      <c r="S786" s="39" t="n"/>
      <c r="T786" s="39" t="n"/>
      <c r="Y786" s="39" t="n"/>
      <c r="Z786" s="39" t="n"/>
      <c r="AA786" t="inlineStr">
        <is>
          <t>RONALD ANTONIO TICONA ARONES</t>
        </is>
      </c>
      <c r="AB786" t="inlineStr">
        <is>
          <t>41639626</t>
        </is>
      </c>
      <c r="AC786" t="inlineStr">
        <is>
          <t>Av. Gregorio Escobedo 426 Dpto. N°402 - Jesus Maria.</t>
        </is>
      </c>
      <c r="AE786" t="inlineStr">
        <is>
          <t>959833373</t>
        </is>
      </c>
      <c r="AF786" t="inlineStr">
        <is>
          <t>gr103@gmail.com</t>
        </is>
      </c>
      <c r="AG786" t="inlineStr">
        <is>
          <t>LIMA</t>
        </is>
      </c>
      <c r="AH786" t="inlineStr">
        <is>
          <t>JESUS MARIA</t>
        </is>
      </c>
      <c r="AI786" s="116" t="n">
        <v>46094</v>
      </c>
      <c r="AJ786" s="116" t="n">
        <v>46094</v>
      </c>
      <c r="AK786" t="inlineStr">
        <is>
          <t>CUOTA INICIAL</t>
        </is>
      </c>
      <c r="AL786" t="n">
        <v>2</v>
      </c>
      <c r="AM786" t="n">
        <v>0</v>
      </c>
      <c r="AN786" t="n">
        <v>0</v>
      </c>
      <c r="AO786" t="n">
        <v>0</v>
      </c>
      <c r="AP786" s="39" t="n">
        <v>32135</v>
      </c>
      <c r="AQ786" s="39" t="n">
        <v>30000</v>
      </c>
      <c r="AR786" s="39" t="n">
        <v>0</v>
      </c>
      <c r="AS786" t="n">
        <v>0</v>
      </c>
      <c r="AT786" t="inlineStr">
        <is>
          <t>Crédito Hipotecario</t>
        </is>
      </c>
      <c r="AU786" t="inlineStr">
        <is>
          <t>Banco de Credito del Perú</t>
        </is>
      </c>
      <c r="AV786" t="inlineStr">
        <is>
          <t>194-7325779-0-65</t>
        </is>
      </c>
      <c r="AW786" t="inlineStr">
        <is>
          <t>TRANSFERENCIA BANCARIA</t>
        </is>
      </c>
      <c r="AY786" t="inlineStr">
        <is>
          <t>193.6699</t>
        </is>
      </c>
      <c r="AZ786" t="inlineStr">
        <is>
          <t>No</t>
        </is>
      </c>
      <c r="BB786" t="n">
        <v>4</v>
      </c>
      <c r="BC786" t="inlineStr">
        <is>
          <t>CANCELADO</t>
        </is>
      </c>
      <c r="BN786" t="inlineStr">
        <is>
          <t>Si</t>
        </is>
      </c>
      <c r="BO786" s="117" t="n">
        <v>46181.41111111111</v>
      </c>
      <c r="BP786" t="inlineStr">
        <is>
          <t>Kenny Salazar S</t>
        </is>
      </c>
      <c r="BR786" t="n">
        <v>37</v>
      </c>
      <c r="BS786" t="inlineStr">
        <is>
          <t>17/08/2026 09:15</t>
        </is>
      </c>
      <c r="BT786" t="n">
        <v>0</v>
      </c>
      <c r="BX786" t="inlineStr">
        <is>
          <t>Cobranzas_2026.csv</t>
        </is>
      </c>
      <c r="BY786" t="n">
        <v>2026</v>
      </c>
      <c r="BZ786" t="inlineStr">
        <is>
          <t>01/01/2024</t>
        </is>
      </c>
      <c r="CA786" t="inlineStr">
        <is>
          <t>30/09/2031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703</t>
        </is>
      </c>
      <c r="G787" s="39" t="n">
        <v>474700</v>
      </c>
      <c r="H787" s="39" t="n">
        <v>474700</v>
      </c>
      <c r="I787" t="inlineStr">
        <is>
          <t>Edificio</t>
        </is>
      </c>
      <c r="J787" t="inlineStr">
        <is>
          <t>A</t>
        </is>
      </c>
      <c r="K787" t="inlineStr">
        <is>
          <t>Departamento</t>
        </is>
      </c>
      <c r="L787" t="inlineStr">
        <is>
          <t>704</t>
        </is>
      </c>
      <c r="M787" s="39" t="n">
        <v>468000</v>
      </c>
      <c r="N787" s="39" t="n">
        <v>468000</v>
      </c>
      <c r="S787" s="39" t="n"/>
      <c r="T787" s="39" t="n"/>
      <c r="Y787" s="39" t="n"/>
      <c r="Z787" s="39" t="n"/>
      <c r="AA787" t="inlineStr">
        <is>
          <t>RONALD ANTONIO TICONA ARONES</t>
        </is>
      </c>
      <c r="AB787" t="inlineStr">
        <is>
          <t>41639626</t>
        </is>
      </c>
      <c r="AC787" t="inlineStr">
        <is>
          <t>Av. Gregorio Escobedo 426 Dpto. N°402 - Jesus Maria.</t>
        </is>
      </c>
      <c r="AE787" t="inlineStr">
        <is>
          <t>959833373</t>
        </is>
      </c>
      <c r="AF787" t="inlineStr">
        <is>
          <t>gr103@gmail.com</t>
        </is>
      </c>
      <c r="AG787" t="inlineStr">
        <is>
          <t>LIMA</t>
        </is>
      </c>
      <c r="AH787" t="inlineStr">
        <is>
          <t>JESUS MARIA</t>
        </is>
      </c>
      <c r="AI787" s="116" t="n">
        <v>46094</v>
      </c>
      <c r="AJ787" s="116" t="n">
        <v>46094</v>
      </c>
      <c r="AK787" t="inlineStr">
        <is>
          <t>CUOTA INICIAL</t>
        </is>
      </c>
      <c r="AL787" t="n">
        <v>2</v>
      </c>
      <c r="AM787" t="n">
        <v>32135</v>
      </c>
      <c r="AN787" t="n">
        <v>0</v>
      </c>
      <c r="AO787" t="n">
        <v>0</v>
      </c>
      <c r="AP787" s="39" t="n">
        <v>0</v>
      </c>
      <c r="AQ787" s="39" t="n">
        <v>2135</v>
      </c>
      <c r="AR787" s="39" t="n">
        <v>0</v>
      </c>
      <c r="AS787" t="n">
        <v>0</v>
      </c>
      <c r="AT787" t="inlineStr">
        <is>
          <t>Crédito Hipotecario</t>
        </is>
      </c>
      <c r="AU787" t="inlineStr">
        <is>
          <t>Banco de Credito del Perú</t>
        </is>
      </c>
      <c r="AV787" t="inlineStr">
        <is>
          <t>194-7325779-0-65</t>
        </is>
      </c>
      <c r="AW787" t="inlineStr">
        <is>
          <t>TRANSFERENCIA BANCARIA</t>
        </is>
      </c>
      <c r="AY787" t="inlineStr">
        <is>
          <t>193.6798</t>
        </is>
      </c>
      <c r="AZ787" t="inlineStr">
        <is>
          <t>No</t>
        </is>
      </c>
      <c r="BB787" t="n">
        <v>4</v>
      </c>
      <c r="BC787" t="inlineStr">
        <is>
          <t>CANCELADO</t>
        </is>
      </c>
      <c r="BN787" t="inlineStr">
        <is>
          <t>Si</t>
        </is>
      </c>
      <c r="BO787" s="117" t="n">
        <v>46181.41111111111</v>
      </c>
      <c r="BP787" t="inlineStr">
        <is>
          <t>Kenny Salazar S</t>
        </is>
      </c>
      <c r="BR787" t="n">
        <v>37</v>
      </c>
      <c r="BS787" t="inlineStr">
        <is>
          <t>17/08/2026 09:15</t>
        </is>
      </c>
      <c r="BT787" t="n">
        <v>0</v>
      </c>
      <c r="BX787" t="inlineStr">
        <is>
          <t>Cobranzas_2026.csv</t>
        </is>
      </c>
      <c r="BY787" t="n">
        <v>2026</v>
      </c>
      <c r="BZ787" t="inlineStr">
        <is>
          <t>01/01/2024</t>
        </is>
      </c>
      <c r="CA787" t="inlineStr">
        <is>
          <t>30/09/2031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703</t>
        </is>
      </c>
      <c r="G788" s="39" t="n">
        <v>474700</v>
      </c>
      <c r="H788" s="39" t="n">
        <v>474700</v>
      </c>
      <c r="I788" t="inlineStr">
        <is>
          <t>Edificio</t>
        </is>
      </c>
      <c r="J788" t="inlineStr">
        <is>
          <t>A</t>
        </is>
      </c>
      <c r="K788" t="inlineStr">
        <is>
          <t>Departamento</t>
        </is>
      </c>
      <c r="L788" t="inlineStr">
        <is>
          <t>704</t>
        </is>
      </c>
      <c r="M788" s="39" t="n">
        <v>468000</v>
      </c>
      <c r="N788" s="39" t="n">
        <v>468000</v>
      </c>
      <c r="S788" s="39" t="n"/>
      <c r="T788" s="39" t="n"/>
      <c r="Y788" s="39" t="n"/>
      <c r="Z788" s="39" t="n"/>
      <c r="AA788" t="inlineStr">
        <is>
          <t>RONALD ANTONIO TICONA ARONES</t>
        </is>
      </c>
      <c r="AB788" t="inlineStr">
        <is>
          <t>41639626</t>
        </is>
      </c>
      <c r="AC788" t="inlineStr">
        <is>
          <t>Av. Gregorio Escobedo 426 Dpto. N°402 - Jesus Maria.</t>
        </is>
      </c>
      <c r="AE788" t="inlineStr">
        <is>
          <t>959833373</t>
        </is>
      </c>
      <c r="AF788" t="inlineStr">
        <is>
          <t>gr103@gmail.com</t>
        </is>
      </c>
      <c r="AG788" t="inlineStr">
        <is>
          <t>LIMA</t>
        </is>
      </c>
      <c r="AH788" t="inlineStr">
        <is>
          <t>JESUS MARIA</t>
        </is>
      </c>
      <c r="AI788" s="116" t="n">
        <v>46142</v>
      </c>
      <c r="AJ788" s="116" t="n">
        <v>46142</v>
      </c>
      <c r="AK788" t="inlineStr">
        <is>
          <t>CUOTA INICIAL</t>
        </is>
      </c>
      <c r="AL788" t="n">
        <v>3</v>
      </c>
      <c r="AM788" t="n">
        <v>47135</v>
      </c>
      <c r="AN788" t="n">
        <v>0</v>
      </c>
      <c r="AO788" t="n">
        <v>0</v>
      </c>
      <c r="AP788" s="39" t="n">
        <v>47135</v>
      </c>
      <c r="AQ788" s="39" t="n">
        <v>7135</v>
      </c>
      <c r="AR788" s="39" t="n">
        <v>0</v>
      </c>
      <c r="AS788" t="n">
        <v>0</v>
      </c>
      <c r="AT788" t="inlineStr">
        <is>
          <t>Crédito Hipotecario</t>
        </is>
      </c>
      <c r="AU788" t="inlineStr">
        <is>
          <t>Banco de Credito del Perú</t>
        </is>
      </c>
      <c r="AV788" t="inlineStr">
        <is>
          <t>194-7325779-0-65</t>
        </is>
      </c>
      <c r="AW788" t="inlineStr">
        <is>
          <t>TRANSFERENCIA BANCARIA</t>
        </is>
      </c>
      <c r="AY788" t="inlineStr">
        <is>
          <t>06620675</t>
        </is>
      </c>
      <c r="AZ788" t="inlineStr">
        <is>
          <t>No</t>
        </is>
      </c>
      <c r="BB788" t="n">
        <v>4</v>
      </c>
      <c r="BC788" t="inlineStr">
        <is>
          <t>CANCELADO</t>
        </is>
      </c>
      <c r="BN788" t="inlineStr">
        <is>
          <t>Si</t>
        </is>
      </c>
      <c r="BO788" s="117" t="n">
        <v>46181.41111111111</v>
      </c>
      <c r="BP788" t="inlineStr">
        <is>
          <t>Kenny Salazar S</t>
        </is>
      </c>
      <c r="BR788" t="n">
        <v>37</v>
      </c>
      <c r="BS788" t="inlineStr">
        <is>
          <t>17/08/2026 09:18</t>
        </is>
      </c>
      <c r="BT788" t="n">
        <v>0</v>
      </c>
      <c r="BX788" t="inlineStr">
        <is>
          <t>Cobranzas_2026.csv</t>
        </is>
      </c>
      <c r="BY788" t="n">
        <v>2026</v>
      </c>
      <c r="BZ788" t="inlineStr">
        <is>
          <t>01/01/2024</t>
        </is>
      </c>
      <c r="CA788" t="inlineStr">
        <is>
          <t>30/09/2031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703</t>
        </is>
      </c>
      <c r="G789" s="39" t="n">
        <v>474700</v>
      </c>
      <c r="H789" s="39" t="n">
        <v>474700</v>
      </c>
      <c r="I789" t="inlineStr">
        <is>
          <t>Edificio</t>
        </is>
      </c>
      <c r="J789" t="inlineStr">
        <is>
          <t>A</t>
        </is>
      </c>
      <c r="K789" t="inlineStr">
        <is>
          <t>Departamento</t>
        </is>
      </c>
      <c r="L789" t="inlineStr">
        <is>
          <t>704</t>
        </is>
      </c>
      <c r="M789" s="39" t="n">
        <v>468000</v>
      </c>
      <c r="N789" s="39" t="n">
        <v>468000</v>
      </c>
      <c r="S789" s="39" t="n"/>
      <c r="T789" s="39" t="n"/>
      <c r="Y789" s="39" t="n"/>
      <c r="Z789" s="39" t="n"/>
      <c r="AA789" t="inlineStr">
        <is>
          <t>RONALD ANTONIO TICONA ARONES</t>
        </is>
      </c>
      <c r="AB789" t="inlineStr">
        <is>
          <t>41639626</t>
        </is>
      </c>
      <c r="AC789" t="inlineStr">
        <is>
          <t>Av. Gregorio Escobedo 426 Dpto. N°402 - Jesus Maria.</t>
        </is>
      </c>
      <c r="AE789" t="inlineStr">
        <is>
          <t>959833373</t>
        </is>
      </c>
      <c r="AF789" t="inlineStr">
        <is>
          <t>gr103@gmail.com</t>
        </is>
      </c>
      <c r="AG789" t="inlineStr">
        <is>
          <t>LIMA</t>
        </is>
      </c>
      <c r="AH789" t="inlineStr">
        <is>
          <t>JESUS MARIA</t>
        </is>
      </c>
      <c r="AI789" s="116" t="n">
        <v>46142</v>
      </c>
      <c r="AJ789" s="116" t="n">
        <v>46142</v>
      </c>
      <c r="AK789" t="inlineStr">
        <is>
          <t>CUOTA INICIAL</t>
        </is>
      </c>
      <c r="AL789" t="n">
        <v>3</v>
      </c>
      <c r="AM789" t="n">
        <v>0</v>
      </c>
      <c r="AN789" t="n">
        <v>0</v>
      </c>
      <c r="AO789" t="n">
        <v>0</v>
      </c>
      <c r="AP789" s="39" t="n">
        <v>0</v>
      </c>
      <c r="AQ789" s="39" t="n">
        <v>10000</v>
      </c>
      <c r="AR789" s="39" t="n">
        <v>0</v>
      </c>
      <c r="AS789" t="n">
        <v>0</v>
      </c>
      <c r="AT789" t="inlineStr">
        <is>
          <t>Crédito Hipotecario</t>
        </is>
      </c>
      <c r="AU789" t="inlineStr">
        <is>
          <t>Banco de Credito del Perú</t>
        </is>
      </c>
      <c r="AV789" t="inlineStr">
        <is>
          <t>194-7325779-0-65</t>
        </is>
      </c>
      <c r="AW789" t="inlineStr">
        <is>
          <t>TRANSFERENCIA BANCARIA</t>
        </is>
      </c>
      <c r="AY789" t="inlineStr">
        <is>
          <t>06666092</t>
        </is>
      </c>
      <c r="AZ789" t="inlineStr">
        <is>
          <t>No</t>
        </is>
      </c>
      <c r="BB789" t="n">
        <v>4</v>
      </c>
      <c r="BC789" t="inlineStr">
        <is>
          <t>CANCELADO</t>
        </is>
      </c>
      <c r="BN789" t="inlineStr">
        <is>
          <t>Si</t>
        </is>
      </c>
      <c r="BO789" s="117" t="n">
        <v>46181.41111111111</v>
      </c>
      <c r="BP789" t="inlineStr">
        <is>
          <t>Kenny Salazar S</t>
        </is>
      </c>
      <c r="BR789" t="n">
        <v>37</v>
      </c>
      <c r="BS789" t="inlineStr">
        <is>
          <t>17/08/2026 09:22</t>
        </is>
      </c>
      <c r="BT789" t="n">
        <v>0</v>
      </c>
      <c r="BX789" t="inlineStr">
        <is>
          <t>Cobranzas_2026.csv</t>
        </is>
      </c>
      <c r="BY789" t="n">
        <v>2026</v>
      </c>
      <c r="BZ789" t="inlineStr">
        <is>
          <t>01/01/2024</t>
        </is>
      </c>
      <c r="CA789" t="inlineStr">
        <is>
          <t>30/09/2031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703</t>
        </is>
      </c>
      <c r="G790" s="39" t="n">
        <v>474700</v>
      </c>
      <c r="H790" s="39" t="n">
        <v>474700</v>
      </c>
      <c r="I790" t="inlineStr">
        <is>
          <t>Edificio</t>
        </is>
      </c>
      <c r="J790" t="inlineStr">
        <is>
          <t>A</t>
        </is>
      </c>
      <c r="K790" t="inlineStr">
        <is>
          <t>Departamento</t>
        </is>
      </c>
      <c r="L790" t="inlineStr">
        <is>
          <t>704</t>
        </is>
      </c>
      <c r="M790" s="39" t="n">
        <v>468000</v>
      </c>
      <c r="N790" s="39" t="n">
        <v>468000</v>
      </c>
      <c r="S790" s="39" t="n"/>
      <c r="T790" s="39" t="n"/>
      <c r="Y790" s="39" t="n"/>
      <c r="Z790" s="39" t="n"/>
      <c r="AA790" t="inlineStr">
        <is>
          <t>RONALD ANTONIO TICONA ARONES</t>
        </is>
      </c>
      <c r="AB790" t="inlineStr">
        <is>
          <t>41639626</t>
        </is>
      </c>
      <c r="AC790" t="inlineStr">
        <is>
          <t>Av. Gregorio Escobedo 426 Dpto. N°402 - Jesus Maria.</t>
        </is>
      </c>
      <c r="AE790" t="inlineStr">
        <is>
          <t>959833373</t>
        </is>
      </c>
      <c r="AF790" t="inlineStr">
        <is>
          <t>gr103@gmail.com</t>
        </is>
      </c>
      <c r="AG790" t="inlineStr">
        <is>
          <t>LIMA</t>
        </is>
      </c>
      <c r="AH790" t="inlineStr">
        <is>
          <t>JESUS MARIA</t>
        </is>
      </c>
      <c r="AI790" s="116" t="n">
        <v>46142</v>
      </c>
      <c r="AJ790" s="116" t="n">
        <v>46142</v>
      </c>
      <c r="AK790" t="inlineStr">
        <is>
          <t>CUOTA INICIAL</t>
        </is>
      </c>
      <c r="AL790" t="n">
        <v>3</v>
      </c>
      <c r="AM790" t="n">
        <v>0</v>
      </c>
      <c r="AN790" t="n">
        <v>0</v>
      </c>
      <c r="AO790" t="n">
        <v>0</v>
      </c>
      <c r="AP790" s="39" t="n">
        <v>0</v>
      </c>
      <c r="AQ790" s="39" t="n">
        <v>20000</v>
      </c>
      <c r="AR790" s="39" t="n">
        <v>0</v>
      </c>
      <c r="AS790" t="n">
        <v>0</v>
      </c>
      <c r="AT790" t="inlineStr">
        <is>
          <t>Crédito Hipotecario</t>
        </is>
      </c>
      <c r="AU790" t="inlineStr">
        <is>
          <t>Banco de Credito del Perú</t>
        </is>
      </c>
      <c r="AV790" t="inlineStr">
        <is>
          <t>194-7325779-0-65</t>
        </is>
      </c>
      <c r="AW790" t="inlineStr">
        <is>
          <t>TRANSFERENCIA BANCARIA</t>
        </is>
      </c>
      <c r="AY790" t="inlineStr">
        <is>
          <t>06667712</t>
        </is>
      </c>
      <c r="AZ790" t="inlineStr">
        <is>
          <t>No</t>
        </is>
      </c>
      <c r="BB790" t="n">
        <v>4</v>
      </c>
      <c r="BC790" t="inlineStr">
        <is>
          <t>CANCELADO</t>
        </is>
      </c>
      <c r="BN790" t="inlineStr">
        <is>
          <t>Si</t>
        </is>
      </c>
      <c r="BO790" s="117" t="n">
        <v>46181.41111111111</v>
      </c>
      <c r="BP790" t="inlineStr">
        <is>
          <t>Kenny Salazar S</t>
        </is>
      </c>
      <c r="BR790" t="n">
        <v>37</v>
      </c>
      <c r="BS790" t="inlineStr">
        <is>
          <t>17/08/2026 09:23</t>
        </is>
      </c>
      <c r="BT790" t="n">
        <v>0</v>
      </c>
      <c r="BX790" t="inlineStr">
        <is>
          <t>Cobranzas_2026.csv</t>
        </is>
      </c>
      <c r="BY790" t="n">
        <v>2026</v>
      </c>
      <c r="BZ790" t="inlineStr">
        <is>
          <t>01/01/2024</t>
        </is>
      </c>
      <c r="CA790" t="inlineStr">
        <is>
          <t>30/09/2031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703</t>
        </is>
      </c>
      <c r="G791" s="39" t="n">
        <v>474700</v>
      </c>
      <c r="H791" s="39" t="n">
        <v>474700</v>
      </c>
      <c r="I791" t="inlineStr">
        <is>
          <t>Edificio</t>
        </is>
      </c>
      <c r="J791" t="inlineStr">
        <is>
          <t>A</t>
        </is>
      </c>
      <c r="K791" t="inlineStr">
        <is>
          <t>Departamento</t>
        </is>
      </c>
      <c r="L791" t="inlineStr">
        <is>
          <t>704</t>
        </is>
      </c>
      <c r="M791" s="39" t="n">
        <v>468000</v>
      </c>
      <c r="N791" s="39" t="n">
        <v>468000</v>
      </c>
      <c r="S791" s="39" t="n"/>
      <c r="T791" s="39" t="n"/>
      <c r="Y791" s="39" t="n"/>
      <c r="Z791" s="39" t="n"/>
      <c r="AA791" t="inlineStr">
        <is>
          <t>RONALD ANTONIO TICONA ARONES</t>
        </is>
      </c>
      <c r="AB791" t="inlineStr">
        <is>
          <t>41639626</t>
        </is>
      </c>
      <c r="AC791" t="inlineStr">
        <is>
          <t>Av. Gregorio Escobedo 426 Dpto. N°402 - Jesus Maria.</t>
        </is>
      </c>
      <c r="AE791" t="inlineStr">
        <is>
          <t>959833373</t>
        </is>
      </c>
      <c r="AF791" t="inlineStr">
        <is>
          <t>gr103@gmail.com</t>
        </is>
      </c>
      <c r="AG791" t="inlineStr">
        <is>
          <t>LIMA</t>
        </is>
      </c>
      <c r="AH791" t="inlineStr">
        <is>
          <t>JESUS MARIA</t>
        </is>
      </c>
      <c r="AI791" s="116" t="n">
        <v>46142</v>
      </c>
      <c r="AJ791" s="116" t="n">
        <v>46142</v>
      </c>
      <c r="AK791" t="inlineStr">
        <is>
          <t>CUOTA INICIAL</t>
        </is>
      </c>
      <c r="AL791" t="n">
        <v>3</v>
      </c>
      <c r="AM791" t="n">
        <v>0</v>
      </c>
      <c r="AN791" t="n">
        <v>0</v>
      </c>
      <c r="AO791" t="n">
        <v>0</v>
      </c>
      <c r="AP791" s="39" t="n">
        <v>0</v>
      </c>
      <c r="AQ791" s="39" t="n">
        <v>10000</v>
      </c>
      <c r="AR791" s="39" t="n">
        <v>0</v>
      </c>
      <c r="AS791" t="n">
        <v>0</v>
      </c>
      <c r="AT791" t="inlineStr">
        <is>
          <t>Crédito Hipotecario</t>
        </is>
      </c>
      <c r="AU791" t="inlineStr">
        <is>
          <t>Banco de Credito del Perú</t>
        </is>
      </c>
      <c r="AV791" t="inlineStr">
        <is>
          <t>194-7325779-0-65</t>
        </is>
      </c>
      <c r="AW791" t="inlineStr">
        <is>
          <t>TRANSFERENCIA BANCARIA</t>
        </is>
      </c>
      <c r="AY791" t="inlineStr">
        <is>
          <t>06684580</t>
        </is>
      </c>
      <c r="AZ791" t="inlineStr">
        <is>
          <t>No</t>
        </is>
      </c>
      <c r="BB791" t="n">
        <v>4</v>
      </c>
      <c r="BC791" t="inlineStr">
        <is>
          <t>CANCELADO</t>
        </is>
      </c>
      <c r="BN791" t="inlineStr">
        <is>
          <t>Si</t>
        </is>
      </c>
      <c r="BO791" s="117" t="n">
        <v>46181.41111111111</v>
      </c>
      <c r="BP791" t="inlineStr">
        <is>
          <t>Kenny Salazar S</t>
        </is>
      </c>
      <c r="BR791" t="n">
        <v>37</v>
      </c>
      <c r="BS791" t="inlineStr">
        <is>
          <t>17/08/2026 09:24</t>
        </is>
      </c>
      <c r="BT791" t="n">
        <v>0</v>
      </c>
      <c r="BX791" t="inlineStr">
        <is>
          <t>Cobranzas_2026.csv</t>
        </is>
      </c>
      <c r="BY791" t="n">
        <v>2026</v>
      </c>
      <c r="BZ791" t="inlineStr">
        <is>
          <t>01/01/2024</t>
        </is>
      </c>
      <c r="CA791" t="inlineStr">
        <is>
          <t>30/09/2031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703</t>
        </is>
      </c>
      <c r="G792" s="39" t="n">
        <v>474700</v>
      </c>
      <c r="H792" s="39" t="n">
        <v>474700</v>
      </c>
      <c r="I792" t="inlineStr">
        <is>
          <t>Edificio</t>
        </is>
      </c>
      <c r="J792" t="inlineStr">
        <is>
          <t>A</t>
        </is>
      </c>
      <c r="K792" t="inlineStr">
        <is>
          <t>Departamento</t>
        </is>
      </c>
      <c r="L792" t="inlineStr">
        <is>
          <t>704</t>
        </is>
      </c>
      <c r="M792" s="39" t="n">
        <v>468000</v>
      </c>
      <c r="N792" s="39" t="n">
        <v>468000</v>
      </c>
      <c r="S792" s="39" t="n"/>
      <c r="T792" s="39" t="n"/>
      <c r="Y792" s="39" t="n"/>
      <c r="Z792" s="39" t="n"/>
      <c r="AA792" t="inlineStr">
        <is>
          <t>RONALD ANTONIO TICONA ARONES</t>
        </is>
      </c>
      <c r="AB792" t="inlineStr">
        <is>
          <t>41639626</t>
        </is>
      </c>
      <c r="AC792" t="inlineStr">
        <is>
          <t>Av. Gregorio Escobedo 426 Dpto. N°402 - Jesus Maria.</t>
        </is>
      </c>
      <c r="AE792" t="inlineStr">
        <is>
          <t>959833373</t>
        </is>
      </c>
      <c r="AF792" t="inlineStr">
        <is>
          <t>gr103@gmail.com</t>
        </is>
      </c>
      <c r="AG792" t="inlineStr">
        <is>
          <t>LIMA</t>
        </is>
      </c>
      <c r="AH792" t="inlineStr">
        <is>
          <t>JESUS MARIA</t>
        </is>
      </c>
      <c r="AI792" s="116" t="n">
        <v>46172</v>
      </c>
      <c r="AJ792" s="116" t="n"/>
      <c r="AK792" t="inlineStr">
        <is>
          <t>SALDO FINANCIAR</t>
        </is>
      </c>
      <c r="AL792" t="n">
        <v>1</v>
      </c>
      <c r="AM792" t="n">
        <v>848430</v>
      </c>
      <c r="AN792" t="n">
        <v>0</v>
      </c>
      <c r="AO792" t="n">
        <v>0</v>
      </c>
      <c r="AP792" s="39" t="n">
        <v>848430</v>
      </c>
      <c r="AQ792" s="39" t="n">
        <v>0</v>
      </c>
      <c r="AR792" s="39" t="n">
        <v>848430</v>
      </c>
      <c r="AT792" t="inlineStr">
        <is>
          <t>Crédito Hipotecario</t>
        </is>
      </c>
      <c r="AZ792" t="inlineStr">
        <is>
          <t>No</t>
        </is>
      </c>
      <c r="BC792" t="inlineStr">
        <is>
          <t>VENCIDO</t>
        </is>
      </c>
      <c r="BN792" t="inlineStr">
        <is>
          <t>No</t>
        </is>
      </c>
      <c r="BO792" s="117" t="n">
        <v>46181.41111111111</v>
      </c>
      <c r="BP792" t="inlineStr">
        <is>
          <t>Kenny Salazar S</t>
        </is>
      </c>
      <c r="BR792" t="n">
        <v>37</v>
      </c>
      <c r="BT792" t="n">
        <v>0</v>
      </c>
      <c r="BX792" t="inlineStr">
        <is>
          <t>Cobranzas_2026.csv</t>
        </is>
      </c>
      <c r="BY792" t="n">
        <v>2026</v>
      </c>
      <c r="BZ792" t="inlineStr">
        <is>
          <t>01/01/2024</t>
        </is>
      </c>
      <c r="CA792" t="inlineStr">
        <is>
          <t>30/09/2031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Estacionamiento</t>
        </is>
      </c>
      <c r="F793" t="inlineStr">
        <is>
          <t>E 31 - D 20</t>
        </is>
      </c>
      <c r="G793" s="39" t="n">
        <v>50000</v>
      </c>
      <c r="H793" s="39" t="n">
        <v>50000</v>
      </c>
      <c r="I793" t="inlineStr">
        <is>
          <t>Edificio</t>
        </is>
      </c>
      <c r="J793" t="inlineStr">
        <is>
          <t>A</t>
        </is>
      </c>
      <c r="K793" t="inlineStr">
        <is>
          <t>Estacionamiento</t>
        </is>
      </c>
      <c r="L793" t="inlineStr">
        <is>
          <t>E 32 - D 21</t>
        </is>
      </c>
      <c r="M793" s="39" t="n">
        <v>52500</v>
      </c>
      <c r="N793" s="39" t="n">
        <v>52500</v>
      </c>
      <c r="S793" s="39" t="n"/>
      <c r="T793" s="39" t="n"/>
      <c r="Y793" s="39" t="n"/>
      <c r="Z793" s="39" t="n"/>
      <c r="AA793" t="inlineStr">
        <is>
          <t>RONALD ANTONIO TICONA ARONES</t>
        </is>
      </c>
      <c r="AB793" t="inlineStr">
        <is>
          <t>41639626</t>
        </is>
      </c>
      <c r="AC793" t="inlineStr">
        <is>
          <t>Av. Gregorio Escobedo 426 Dpto. N°402 - Jesus Maria.</t>
        </is>
      </c>
      <c r="AD793" t="n">
        <v>0</v>
      </c>
      <c r="AE793" t="inlineStr">
        <is>
          <t>959833373</t>
        </is>
      </c>
      <c r="AF793" t="inlineStr">
        <is>
          <t>gr103@gmail.com</t>
        </is>
      </c>
      <c r="AG793" t="inlineStr">
        <is>
          <t>LIMA</t>
        </is>
      </c>
      <c r="AH793" t="inlineStr">
        <is>
          <t>JESUS MARIA</t>
        </is>
      </c>
      <c r="AI793" s="116" t="n">
        <v>46081</v>
      </c>
      <c r="AJ793" s="116" t="n">
        <v>46081</v>
      </c>
      <c r="AK793" t="inlineStr">
        <is>
          <t>SEPARACION</t>
        </is>
      </c>
      <c r="AL793" t="n">
        <v>1</v>
      </c>
      <c r="AM793" t="n">
        <v>3000</v>
      </c>
      <c r="AN793" t="n">
        <v>0</v>
      </c>
      <c r="AO793" t="n">
        <v>0</v>
      </c>
      <c r="AP793" s="39" t="n">
        <v>3000</v>
      </c>
      <c r="AQ793" s="39" t="n">
        <v>3000</v>
      </c>
      <c r="AR793" s="39" t="n">
        <v>0</v>
      </c>
      <c r="AS793" t="n">
        <v>0</v>
      </c>
      <c r="AT793" t="inlineStr">
        <is>
          <t>Crédito Directo</t>
        </is>
      </c>
      <c r="AU793" t="inlineStr">
        <is>
          <t>Banco de Credito del Perú</t>
        </is>
      </c>
      <c r="AV793" t="inlineStr">
        <is>
          <t>194-7325779-0-65</t>
        </is>
      </c>
      <c r="AW793" t="inlineStr">
        <is>
          <t>TRANSFERENCIA BANCARIA</t>
        </is>
      </c>
      <c r="AY793" t="inlineStr">
        <is>
          <t>07290191</t>
        </is>
      </c>
      <c r="AZ793" t="inlineStr">
        <is>
          <t>No</t>
        </is>
      </c>
      <c r="BB793" t="n">
        <v>4</v>
      </c>
      <c r="BC793" t="inlineStr">
        <is>
          <t>CANCELADO</t>
        </is>
      </c>
      <c r="BN793" t="inlineStr">
        <is>
          <t>Si</t>
        </is>
      </c>
      <c r="BO793" s="117" t="n">
        <v>46121.37569444445</v>
      </c>
      <c r="BP793" t="inlineStr">
        <is>
          <t>Kenny Salazar S</t>
        </is>
      </c>
      <c r="BR793" t="n">
        <v>48</v>
      </c>
      <c r="BS793" t="inlineStr">
        <is>
          <t>29/05/2026 09:01</t>
        </is>
      </c>
      <c r="BT793" t="n">
        <v>0</v>
      </c>
      <c r="BX793" t="inlineStr">
        <is>
          <t>Cobranzas_2026.csv</t>
        </is>
      </c>
      <c r="BY793" t="n">
        <v>2026</v>
      </c>
      <c r="BZ793" t="inlineStr">
        <is>
          <t>01/01/2024</t>
        </is>
      </c>
      <c r="CA793" t="inlineStr">
        <is>
          <t>30/09/2031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Estacionamiento</t>
        </is>
      </c>
      <c r="F794" t="inlineStr">
        <is>
          <t>E 31 - D 20</t>
        </is>
      </c>
      <c r="G794" s="39" t="n">
        <v>50000</v>
      </c>
      <c r="H794" s="39" t="n">
        <v>50000</v>
      </c>
      <c r="I794" t="inlineStr">
        <is>
          <t>Edificio</t>
        </is>
      </c>
      <c r="J794" t="inlineStr">
        <is>
          <t>A</t>
        </is>
      </c>
      <c r="K794" t="inlineStr">
        <is>
          <t>Estacionamiento</t>
        </is>
      </c>
      <c r="L794" t="inlineStr">
        <is>
          <t>E 32 - D 21</t>
        </is>
      </c>
      <c r="M794" s="39" t="n">
        <v>52500</v>
      </c>
      <c r="N794" s="39" t="n">
        <v>52500</v>
      </c>
      <c r="S794" s="39" t="n"/>
      <c r="T794" s="39" t="n"/>
      <c r="Y794" s="39" t="n"/>
      <c r="Z794" s="39" t="n"/>
      <c r="AA794" t="inlineStr">
        <is>
          <t>RONALD ANTONIO TICONA ARONES</t>
        </is>
      </c>
      <c r="AB794" t="inlineStr">
        <is>
          <t>41639626</t>
        </is>
      </c>
      <c r="AC794" t="inlineStr">
        <is>
          <t>Av. Gregorio Escobedo 426 Dpto. N°402 - Jesus Maria.</t>
        </is>
      </c>
      <c r="AD794" t="n">
        <v>0</v>
      </c>
      <c r="AE794" t="inlineStr">
        <is>
          <t>959833373</t>
        </is>
      </c>
      <c r="AF794" t="inlineStr">
        <is>
          <t>gr103@gmail.com</t>
        </is>
      </c>
      <c r="AG794" t="inlineStr">
        <is>
          <t>LIMA</t>
        </is>
      </c>
      <c r="AH794" t="inlineStr">
        <is>
          <t>JESUS MARIA</t>
        </is>
      </c>
      <c r="AI794" s="116" t="n">
        <v>46121</v>
      </c>
      <c r="AJ794" s="116" t="n">
        <v>46121</v>
      </c>
      <c r="AK794" t="inlineStr">
        <is>
          <t>CUOTA INICIAL</t>
        </is>
      </c>
      <c r="AL794" t="n">
        <v>1</v>
      </c>
      <c r="AM794" t="n">
        <v>27820</v>
      </c>
      <c r="AN794" t="n">
        <v>0</v>
      </c>
      <c r="AO794" t="n">
        <v>0</v>
      </c>
      <c r="AP794" s="39" t="n">
        <v>27820</v>
      </c>
      <c r="AQ794" s="39" t="n">
        <v>27820</v>
      </c>
      <c r="AR794" s="39" t="n">
        <v>0</v>
      </c>
      <c r="AS794" t="n">
        <v>0</v>
      </c>
      <c r="AT794" t="inlineStr">
        <is>
          <t>Crédito Directo</t>
        </is>
      </c>
      <c r="AU794" t="inlineStr">
        <is>
          <t>Banco de Credito del Perú</t>
        </is>
      </c>
      <c r="AV794" t="inlineStr">
        <is>
          <t>194-7325779-0-65</t>
        </is>
      </c>
      <c r="AW794" t="inlineStr">
        <is>
          <t>TRANSFERENCIA BANCARIA</t>
        </is>
      </c>
      <c r="AY794" t="inlineStr">
        <is>
          <t>03231504</t>
        </is>
      </c>
      <c r="AZ794" t="inlineStr">
        <is>
          <t>No</t>
        </is>
      </c>
      <c r="BB794" t="n">
        <v>4</v>
      </c>
      <c r="BC794" t="inlineStr">
        <is>
          <t>CANCELADO</t>
        </is>
      </c>
      <c r="BN794" t="inlineStr">
        <is>
          <t>Si</t>
        </is>
      </c>
      <c r="BO794" s="117" t="n">
        <v>46121.37569444445</v>
      </c>
      <c r="BP794" t="inlineStr">
        <is>
          <t>Kenny Salazar S</t>
        </is>
      </c>
      <c r="BR794" t="n">
        <v>48</v>
      </c>
      <c r="BS794" t="inlineStr">
        <is>
          <t>17/08/2026 09:34</t>
        </is>
      </c>
      <c r="BT794" t="n">
        <v>0</v>
      </c>
      <c r="BX794" t="inlineStr">
        <is>
          <t>Cobranzas_2026.csv</t>
        </is>
      </c>
      <c r="BY794" t="n">
        <v>2026</v>
      </c>
      <c r="BZ794" t="inlineStr">
        <is>
          <t>01/01/2024</t>
        </is>
      </c>
      <c r="CA794" t="inlineStr">
        <is>
          <t>30/09/2031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Estacionamiento</t>
        </is>
      </c>
      <c r="F795" t="inlineStr">
        <is>
          <t>E 31 - D 20</t>
        </is>
      </c>
      <c r="G795" s="39" t="n">
        <v>50000</v>
      </c>
      <c r="H795" s="39" t="n">
        <v>50000</v>
      </c>
      <c r="I795" t="inlineStr">
        <is>
          <t>Edificio</t>
        </is>
      </c>
      <c r="J795" t="inlineStr">
        <is>
          <t>A</t>
        </is>
      </c>
      <c r="K795" t="inlineStr">
        <is>
          <t>Estacionamiento</t>
        </is>
      </c>
      <c r="L795" t="inlineStr">
        <is>
          <t>E 32 - D 21</t>
        </is>
      </c>
      <c r="M795" s="39" t="n">
        <v>52500</v>
      </c>
      <c r="N795" s="39" t="n">
        <v>52500</v>
      </c>
      <c r="S795" s="39" t="n"/>
      <c r="T795" s="39" t="n"/>
      <c r="Y795" s="39" t="n"/>
      <c r="Z795" s="39" t="n"/>
      <c r="AA795" t="inlineStr">
        <is>
          <t>RONALD ANTONIO TICONA ARONES</t>
        </is>
      </c>
      <c r="AB795" t="inlineStr">
        <is>
          <t>41639626</t>
        </is>
      </c>
      <c r="AC795" t="inlineStr">
        <is>
          <t>Av. Gregorio Escobedo 426 Dpto. N°402 - Jesus Maria.</t>
        </is>
      </c>
      <c r="AD795" t="n">
        <v>0</v>
      </c>
      <c r="AE795" t="inlineStr">
        <is>
          <t>959833373</t>
        </is>
      </c>
      <c r="AF795" t="inlineStr">
        <is>
          <t>gr103@gmail.com</t>
        </is>
      </c>
      <c r="AG795" t="inlineStr">
        <is>
          <t>LIMA</t>
        </is>
      </c>
      <c r="AH795" t="inlineStr">
        <is>
          <t>JESUS MARIA</t>
        </is>
      </c>
      <c r="AI795" s="116" t="n">
        <v>46121</v>
      </c>
      <c r="AJ795" s="116" t="n">
        <v>46121</v>
      </c>
      <c r="AK795" t="inlineStr">
        <is>
          <t>CUOTA INICIAL</t>
        </is>
      </c>
      <c r="AL795" t="n">
        <v>2</v>
      </c>
      <c r="AM795" t="n">
        <v>4480</v>
      </c>
      <c r="AN795" t="n">
        <v>0</v>
      </c>
      <c r="AO795" t="n">
        <v>0</v>
      </c>
      <c r="AP795" s="39" t="n">
        <v>4480</v>
      </c>
      <c r="AQ795" s="39" t="n">
        <v>4480</v>
      </c>
      <c r="AR795" s="39" t="n">
        <v>0</v>
      </c>
      <c r="AS795" t="n">
        <v>0</v>
      </c>
      <c r="AT795" t="inlineStr">
        <is>
          <t>Crédito Directo</t>
        </is>
      </c>
      <c r="AU795" t="inlineStr">
        <is>
          <t>Banco de Credito del Perú</t>
        </is>
      </c>
      <c r="AV795" t="inlineStr">
        <is>
          <t>194-7325779-0-65</t>
        </is>
      </c>
      <c r="AW795" t="inlineStr">
        <is>
          <t>TRANSFERENCIA BANCARIA</t>
        </is>
      </c>
      <c r="AY795" t="inlineStr">
        <is>
          <t>03243642</t>
        </is>
      </c>
      <c r="AZ795" t="inlineStr">
        <is>
          <t>No</t>
        </is>
      </c>
      <c r="BB795" t="n">
        <v>4</v>
      </c>
      <c r="BC795" t="inlineStr">
        <is>
          <t>CANCELADO</t>
        </is>
      </c>
      <c r="BN795" t="inlineStr">
        <is>
          <t>Si</t>
        </is>
      </c>
      <c r="BO795" s="117" t="n">
        <v>46121.37569444445</v>
      </c>
      <c r="BP795" t="inlineStr">
        <is>
          <t>Kenny Salazar S</t>
        </is>
      </c>
      <c r="BR795" t="n">
        <v>48</v>
      </c>
      <c r="BS795" t="inlineStr">
        <is>
          <t>17/08/2026 09:35</t>
        </is>
      </c>
      <c r="BT795" t="n">
        <v>0</v>
      </c>
      <c r="BX795" t="inlineStr">
        <is>
          <t>Cobranzas_2026.csv</t>
        </is>
      </c>
      <c r="BY795" t="n">
        <v>2026</v>
      </c>
      <c r="BZ795" t="inlineStr">
        <is>
          <t>01/01/2024</t>
        </is>
      </c>
      <c r="CA795" t="inlineStr">
        <is>
          <t>30/09/2031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Estacionamiento</t>
        </is>
      </c>
      <c r="F796" t="inlineStr">
        <is>
          <t>E 31 - D 20</t>
        </is>
      </c>
      <c r="G796" s="39" t="n">
        <v>50000</v>
      </c>
      <c r="H796" s="39" t="n">
        <v>50000</v>
      </c>
      <c r="I796" t="inlineStr">
        <is>
          <t>Edificio</t>
        </is>
      </c>
      <c r="J796" t="inlineStr">
        <is>
          <t>A</t>
        </is>
      </c>
      <c r="K796" t="inlineStr">
        <is>
          <t>Estacionamiento</t>
        </is>
      </c>
      <c r="L796" t="inlineStr">
        <is>
          <t>E 32 - D 21</t>
        </is>
      </c>
      <c r="M796" s="39" t="n">
        <v>52500</v>
      </c>
      <c r="N796" s="39" t="n">
        <v>52500</v>
      </c>
      <c r="S796" s="39" t="n"/>
      <c r="T796" s="39" t="n"/>
      <c r="Y796" s="39" t="n"/>
      <c r="Z796" s="39" t="n"/>
      <c r="AA796" t="inlineStr">
        <is>
          <t>RONALD ANTONIO TICONA ARONES</t>
        </is>
      </c>
      <c r="AB796" t="inlineStr">
        <is>
          <t>41639626</t>
        </is>
      </c>
      <c r="AC796" t="inlineStr">
        <is>
          <t>Av. Gregorio Escobedo 426 Dpto. N°402 - Jesus Maria.</t>
        </is>
      </c>
      <c r="AD796" t="n">
        <v>0</v>
      </c>
      <c r="AE796" t="inlineStr">
        <is>
          <t>959833373</t>
        </is>
      </c>
      <c r="AF796" t="inlineStr">
        <is>
          <t>gr103@gmail.com</t>
        </is>
      </c>
      <c r="AG796" t="inlineStr">
        <is>
          <t>LIMA</t>
        </is>
      </c>
      <c r="AH796" t="inlineStr">
        <is>
          <t>JESUS MARIA</t>
        </is>
      </c>
      <c r="AI796" s="116" t="n">
        <v>46172</v>
      </c>
      <c r="AJ796" s="116" t="n">
        <v>46167</v>
      </c>
      <c r="AK796" t="inlineStr">
        <is>
          <t>SALDO FINANCIAR</t>
        </is>
      </c>
      <c r="AL796" t="n">
        <v>1</v>
      </c>
      <c r="AM796" t="n">
        <v>4480</v>
      </c>
      <c r="AN796" t="n">
        <v>0</v>
      </c>
      <c r="AO796" t="n">
        <v>0</v>
      </c>
      <c r="AP796" s="39" t="n">
        <v>4480</v>
      </c>
      <c r="AQ796" s="39" t="n">
        <v>4480</v>
      </c>
      <c r="AR796" s="39" t="n">
        <v>0</v>
      </c>
      <c r="AS796" t="n">
        <v>0</v>
      </c>
      <c r="AT796" t="inlineStr">
        <is>
          <t>Crédito Directo</t>
        </is>
      </c>
      <c r="AU796" t="inlineStr">
        <is>
          <t>Banco de Credito del Perú</t>
        </is>
      </c>
      <c r="AV796" t="inlineStr">
        <is>
          <t>194-7325779-0-65</t>
        </is>
      </c>
      <c r="AW796" t="inlineStr">
        <is>
          <t>TRANSFERENCIA BANCARIA</t>
        </is>
      </c>
      <c r="AY796" t="inlineStr">
        <is>
          <t>06472475</t>
        </is>
      </c>
      <c r="AZ796" t="inlineStr">
        <is>
          <t>No</t>
        </is>
      </c>
      <c r="BB796" t="n">
        <v>4</v>
      </c>
      <c r="BC796" t="inlineStr">
        <is>
          <t>CANCELADO</t>
        </is>
      </c>
      <c r="BN796" t="inlineStr">
        <is>
          <t>Si</t>
        </is>
      </c>
      <c r="BO796" s="117" t="n">
        <v>46121.37569444445</v>
      </c>
      <c r="BP796" t="inlineStr">
        <is>
          <t>Kenny Salazar S</t>
        </is>
      </c>
      <c r="BR796" t="n">
        <v>48</v>
      </c>
      <c r="BS796" t="inlineStr">
        <is>
          <t>17/08/2026 09:35</t>
        </is>
      </c>
      <c r="BT796" t="n">
        <v>0</v>
      </c>
      <c r="BX796" t="inlineStr">
        <is>
          <t>Cobranzas_2026.csv</t>
        </is>
      </c>
      <c r="BY796" t="n">
        <v>2026</v>
      </c>
      <c r="BZ796" t="inlineStr">
        <is>
          <t>01/01/2024</t>
        </is>
      </c>
      <c r="CA796" t="inlineStr">
        <is>
          <t>30/09/2031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Estacionamiento</t>
        </is>
      </c>
      <c r="F797" t="inlineStr">
        <is>
          <t>E 31 - D 20</t>
        </is>
      </c>
      <c r="G797" s="39" t="n">
        <v>50000</v>
      </c>
      <c r="H797" s="39" t="n">
        <v>50000</v>
      </c>
      <c r="I797" t="inlineStr">
        <is>
          <t>Edificio</t>
        </is>
      </c>
      <c r="J797" t="inlineStr">
        <is>
          <t>A</t>
        </is>
      </c>
      <c r="K797" t="inlineStr">
        <is>
          <t>Estacionamiento</t>
        </is>
      </c>
      <c r="L797" t="inlineStr">
        <is>
          <t>E 32 - D 21</t>
        </is>
      </c>
      <c r="M797" s="39" t="n">
        <v>52500</v>
      </c>
      <c r="N797" s="39" t="n">
        <v>52500</v>
      </c>
      <c r="S797" s="39" t="n"/>
      <c r="T797" s="39" t="n"/>
      <c r="Y797" s="39" t="n"/>
      <c r="Z797" s="39" t="n"/>
      <c r="AA797" t="inlineStr">
        <is>
          <t>RONALD ANTONIO TICONA ARONES</t>
        </is>
      </c>
      <c r="AB797" t="inlineStr">
        <is>
          <t>41639626</t>
        </is>
      </c>
      <c r="AC797" t="inlineStr">
        <is>
          <t>Av. Gregorio Escobedo 426 Dpto. N°402 - Jesus Maria.</t>
        </is>
      </c>
      <c r="AD797" t="n">
        <v>0</v>
      </c>
      <c r="AE797" t="inlineStr">
        <is>
          <t>959833373</t>
        </is>
      </c>
      <c r="AF797" t="inlineStr">
        <is>
          <t>gr103@gmail.com</t>
        </is>
      </c>
      <c r="AG797" t="inlineStr">
        <is>
          <t>LIMA</t>
        </is>
      </c>
      <c r="AH797" t="inlineStr">
        <is>
          <t>JESUS MARIA</t>
        </is>
      </c>
      <c r="AI797" s="116" t="n">
        <v>46203</v>
      </c>
      <c r="AJ797" s="116" t="n">
        <v>46202</v>
      </c>
      <c r="AK797" t="inlineStr">
        <is>
          <t>SALDO FINANCIAR</t>
        </is>
      </c>
      <c r="AL797" t="n">
        <v>2</v>
      </c>
      <c r="AM797" t="n">
        <v>4480</v>
      </c>
      <c r="AN797" t="n">
        <v>0</v>
      </c>
      <c r="AO797" t="n">
        <v>0</v>
      </c>
      <c r="AP797" s="39" t="n">
        <v>4480</v>
      </c>
      <c r="AQ797" s="39" t="n">
        <v>4480</v>
      </c>
      <c r="AR797" s="39" t="n">
        <v>0</v>
      </c>
      <c r="AS797" t="n">
        <v>0</v>
      </c>
      <c r="AT797" t="inlineStr">
        <is>
          <t>Crédito Directo</t>
        </is>
      </c>
      <c r="AU797" t="inlineStr">
        <is>
          <t>Banco de Credito del Perú</t>
        </is>
      </c>
      <c r="AV797" t="inlineStr">
        <is>
          <t>194-7325779-0-65</t>
        </is>
      </c>
      <c r="AW797" t="inlineStr">
        <is>
          <t>TRANSFERENCIA BANCARIA</t>
        </is>
      </c>
      <c r="AY797" t="inlineStr">
        <is>
          <t>00051757</t>
        </is>
      </c>
      <c r="AZ797" t="inlineStr">
        <is>
          <t>No</t>
        </is>
      </c>
      <c r="BB797" t="n">
        <v>4</v>
      </c>
      <c r="BC797" t="inlineStr">
        <is>
          <t>CANCELADO</t>
        </is>
      </c>
      <c r="BN797" t="inlineStr">
        <is>
          <t>Si</t>
        </is>
      </c>
      <c r="BO797" s="117" t="n">
        <v>46121.37569444445</v>
      </c>
      <c r="BP797" t="inlineStr">
        <is>
          <t>Kenny Salazar S</t>
        </is>
      </c>
      <c r="BR797" t="n">
        <v>48</v>
      </c>
      <c r="BS797" t="inlineStr">
        <is>
          <t>17/08/2026 09:36</t>
        </is>
      </c>
      <c r="BT797" t="n">
        <v>0</v>
      </c>
      <c r="BX797" t="inlineStr">
        <is>
          <t>Cobranzas_2026.csv</t>
        </is>
      </c>
      <c r="BY797" t="n">
        <v>2026</v>
      </c>
      <c r="BZ797" t="inlineStr">
        <is>
          <t>01/01/2024</t>
        </is>
      </c>
      <c r="CA797" t="inlineStr">
        <is>
          <t>30/09/2031</t>
        </is>
      </c>
    </row>
    <row r="798">
      <c r="A798" t="inlineStr">
        <is>
          <t>RESIDENCIAL BEYOND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Estacionamiento</t>
        </is>
      </c>
      <c r="F798" t="inlineStr">
        <is>
          <t>E 31 - D 20</t>
        </is>
      </c>
      <c r="G798" s="39" t="n">
        <v>50000</v>
      </c>
      <c r="H798" s="39" t="n">
        <v>50000</v>
      </c>
      <c r="I798" t="inlineStr">
        <is>
          <t>Edificio</t>
        </is>
      </c>
      <c r="J798" t="inlineStr">
        <is>
          <t>A</t>
        </is>
      </c>
      <c r="K798" t="inlineStr">
        <is>
          <t>Estacionamiento</t>
        </is>
      </c>
      <c r="L798" t="inlineStr">
        <is>
          <t>E 32 - D 21</t>
        </is>
      </c>
      <c r="M798" s="39" t="n">
        <v>52500</v>
      </c>
      <c r="N798" s="39" t="n">
        <v>52500</v>
      </c>
      <c r="S798" s="39" t="n"/>
      <c r="T798" s="39" t="n"/>
      <c r="Y798" s="39" t="n"/>
      <c r="Z798" s="39" t="n"/>
      <c r="AA798" t="inlineStr">
        <is>
          <t>RONALD ANTONIO TICONA ARONES</t>
        </is>
      </c>
      <c r="AB798" t="inlineStr">
        <is>
          <t>41639626</t>
        </is>
      </c>
      <c r="AC798" t="inlineStr">
        <is>
          <t>Av. Gregorio Escobedo 426 Dpto. N°402 - Jesus Maria.</t>
        </is>
      </c>
      <c r="AD798" t="n">
        <v>0</v>
      </c>
      <c r="AE798" t="inlineStr">
        <is>
          <t>959833373</t>
        </is>
      </c>
      <c r="AF798" t="inlineStr">
        <is>
          <t>gr103@gmail.com</t>
        </is>
      </c>
      <c r="AG798" t="inlineStr">
        <is>
          <t>LIMA</t>
        </is>
      </c>
      <c r="AH798" t="inlineStr">
        <is>
          <t>JESUS MARIA</t>
        </is>
      </c>
      <c r="AI798" s="116" t="n">
        <v>46233</v>
      </c>
      <c r="AJ798" s="116" t="n">
        <v>46230</v>
      </c>
      <c r="AK798" t="inlineStr">
        <is>
          <t>SALDO FINANCIAR</t>
        </is>
      </c>
      <c r="AL798" t="n">
        <v>3</v>
      </c>
      <c r="AM798" t="n">
        <v>4480</v>
      </c>
      <c r="AN798" t="n">
        <v>0</v>
      </c>
      <c r="AO798" t="n">
        <v>0</v>
      </c>
      <c r="AP798" s="39" t="n">
        <v>4480</v>
      </c>
      <c r="AQ798" s="39" t="n">
        <v>4480</v>
      </c>
      <c r="AR798" s="39" t="n">
        <v>0</v>
      </c>
      <c r="AS798" t="n">
        <v>0</v>
      </c>
      <c r="AT798" t="inlineStr">
        <is>
          <t>Crédito Directo</t>
        </is>
      </c>
      <c r="AU798" t="inlineStr">
        <is>
          <t>Banco de Credito del Perú</t>
        </is>
      </c>
      <c r="AV798" t="inlineStr">
        <is>
          <t>194-7325779-0-65</t>
        </is>
      </c>
      <c r="AW798" t="inlineStr">
        <is>
          <t>TRANSFERENCIA BANCARIA</t>
        </is>
      </c>
      <c r="AY798" t="inlineStr">
        <is>
          <t>01805119</t>
        </is>
      </c>
      <c r="AZ798" t="inlineStr">
        <is>
          <t>No</t>
        </is>
      </c>
      <c r="BB798" t="n">
        <v>4</v>
      </c>
      <c r="BC798" t="inlineStr">
        <is>
          <t>CANCELADO</t>
        </is>
      </c>
      <c r="BN798" t="inlineStr">
        <is>
          <t>Si</t>
        </is>
      </c>
      <c r="BO798" s="117" t="n">
        <v>46121.37569444445</v>
      </c>
      <c r="BP798" t="inlineStr">
        <is>
          <t>Kenny Salazar S</t>
        </is>
      </c>
      <c r="BR798" t="n">
        <v>48</v>
      </c>
      <c r="BS798" t="inlineStr">
        <is>
          <t>17/08/2026 09:36</t>
        </is>
      </c>
      <c r="BT798" t="n">
        <v>0</v>
      </c>
      <c r="BX798" t="inlineStr">
        <is>
          <t>Cobranzas_2026.csv</t>
        </is>
      </c>
      <c r="BY798" t="n">
        <v>2026</v>
      </c>
      <c r="BZ798" t="inlineStr">
        <is>
          <t>01/01/2024</t>
        </is>
      </c>
      <c r="CA798" t="inlineStr">
        <is>
          <t>30/09/2031</t>
        </is>
      </c>
    </row>
    <row r="799">
      <c r="A799" t="inlineStr">
        <is>
          <t>RESIDENCIAL BEYOND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Estacionamiento</t>
        </is>
      </c>
      <c r="F799" t="inlineStr">
        <is>
          <t>E 31 - D 20</t>
        </is>
      </c>
      <c r="G799" s="39" t="n">
        <v>50000</v>
      </c>
      <c r="H799" s="39" t="n">
        <v>50000</v>
      </c>
      <c r="I799" t="inlineStr">
        <is>
          <t>Edificio</t>
        </is>
      </c>
      <c r="J799" t="inlineStr">
        <is>
          <t>A</t>
        </is>
      </c>
      <c r="K799" t="inlineStr">
        <is>
          <t>Estacionamiento</t>
        </is>
      </c>
      <c r="L799" t="inlineStr">
        <is>
          <t>E 32 - D 21</t>
        </is>
      </c>
      <c r="M799" s="39" t="n">
        <v>52500</v>
      </c>
      <c r="N799" s="39" t="n">
        <v>52500</v>
      </c>
      <c r="S799" s="39" t="n"/>
      <c r="T799" s="39" t="n"/>
      <c r="Y799" s="39" t="n"/>
      <c r="Z799" s="39" t="n"/>
      <c r="AA799" t="inlineStr">
        <is>
          <t>RONALD ANTONIO TICONA ARONES</t>
        </is>
      </c>
      <c r="AB799" t="inlineStr">
        <is>
          <t>41639626</t>
        </is>
      </c>
      <c r="AC799" t="inlineStr">
        <is>
          <t>Av. Gregorio Escobedo 426 Dpto. N°402 - Jesus Maria.</t>
        </is>
      </c>
      <c r="AD799" t="n">
        <v>0</v>
      </c>
      <c r="AE799" t="inlineStr">
        <is>
          <t>959833373</t>
        </is>
      </c>
      <c r="AF799" t="inlineStr">
        <is>
          <t>gr103@gmail.com</t>
        </is>
      </c>
      <c r="AG799" t="inlineStr">
        <is>
          <t>LIMA</t>
        </is>
      </c>
      <c r="AH799" t="inlineStr">
        <is>
          <t>JESUS MARIA</t>
        </is>
      </c>
      <c r="AI799" s="116" t="n">
        <v>46264</v>
      </c>
      <c r="AJ799" s="116" t="n">
        <v>46263</v>
      </c>
      <c r="AK799" t="inlineStr">
        <is>
          <t>SALDO FINANCIAR</t>
        </is>
      </c>
      <c r="AL799" t="n">
        <v>4</v>
      </c>
      <c r="AM799" t="n">
        <v>4480</v>
      </c>
      <c r="AN799" t="n">
        <v>0</v>
      </c>
      <c r="AO799" t="n">
        <v>0</v>
      </c>
      <c r="AP799" s="39" t="n">
        <v>4480</v>
      </c>
      <c r="AQ799" s="39" t="n">
        <v>4480</v>
      </c>
      <c r="AR799" s="39" t="n">
        <v>0</v>
      </c>
      <c r="AS799" t="n">
        <v>0</v>
      </c>
      <c r="AT799" t="inlineStr">
        <is>
          <t>Crédito Directo</t>
        </is>
      </c>
      <c r="AU799" t="inlineStr">
        <is>
          <t>Banco de Credito del Perú</t>
        </is>
      </c>
      <c r="AV799" t="inlineStr">
        <is>
          <t>194-7325779-0-65</t>
        </is>
      </c>
      <c r="AW799" t="inlineStr">
        <is>
          <t>TRANSFERENCIA BANCARIA</t>
        </is>
      </c>
      <c r="AY799" t="inlineStr">
        <is>
          <t>09688886</t>
        </is>
      </c>
      <c r="AZ799" t="inlineStr">
        <is>
          <t>No</t>
        </is>
      </c>
      <c r="BB799" t="n">
        <v>4</v>
      </c>
      <c r="BC799" t="inlineStr">
        <is>
          <t>CANCELADO</t>
        </is>
      </c>
      <c r="BN799" t="inlineStr">
        <is>
          <t>Si</t>
        </is>
      </c>
      <c r="BO799" s="117" t="n">
        <v>46121.37569444445</v>
      </c>
      <c r="BP799" t="inlineStr">
        <is>
          <t>Kenny Salazar S</t>
        </is>
      </c>
      <c r="BR799" t="n">
        <v>48</v>
      </c>
      <c r="BS799" t="inlineStr">
        <is>
          <t>31/08/2026 13:55</t>
        </is>
      </c>
      <c r="BT799" t="n">
        <v>0</v>
      </c>
      <c r="BX799" t="inlineStr">
        <is>
          <t>Cobranzas_2026.csv</t>
        </is>
      </c>
      <c r="BY799" t="n">
        <v>2026</v>
      </c>
      <c r="BZ799" t="inlineStr">
        <is>
          <t>01/01/2024</t>
        </is>
      </c>
      <c r="CA799" t="inlineStr">
        <is>
          <t>30/09/2031</t>
        </is>
      </c>
    </row>
    <row r="800">
      <c r="A800" t="inlineStr">
        <is>
          <t>RESIDENCIAL BEYOND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Estacionamiento</t>
        </is>
      </c>
      <c r="F800" t="inlineStr">
        <is>
          <t>E 31 - D 20</t>
        </is>
      </c>
      <c r="G800" s="39" t="n">
        <v>50000</v>
      </c>
      <c r="H800" s="39" t="n">
        <v>50000</v>
      </c>
      <c r="I800" t="inlineStr">
        <is>
          <t>Edificio</t>
        </is>
      </c>
      <c r="J800" t="inlineStr">
        <is>
          <t>A</t>
        </is>
      </c>
      <c r="K800" t="inlineStr">
        <is>
          <t>Estacionamiento</t>
        </is>
      </c>
      <c r="L800" t="inlineStr">
        <is>
          <t>E 32 - D 21</t>
        </is>
      </c>
      <c r="M800" s="39" t="n">
        <v>52500</v>
      </c>
      <c r="N800" s="39" t="n">
        <v>52500</v>
      </c>
      <c r="S800" s="39" t="n"/>
      <c r="T800" s="39" t="n"/>
      <c r="Y800" s="39" t="n"/>
      <c r="Z800" s="39" t="n"/>
      <c r="AA800" t="inlineStr">
        <is>
          <t>RONALD ANTONIO TICONA ARONES</t>
        </is>
      </c>
      <c r="AB800" t="inlineStr">
        <is>
          <t>41639626</t>
        </is>
      </c>
      <c r="AC800" t="inlineStr">
        <is>
          <t>Av. Gregorio Escobedo 426 Dpto. N°402 - Jesus Maria.</t>
        </is>
      </c>
      <c r="AD800" t="n">
        <v>0</v>
      </c>
      <c r="AE800" t="inlineStr">
        <is>
          <t>959833373</t>
        </is>
      </c>
      <c r="AF800" t="inlineStr">
        <is>
          <t>gr103@gmail.com</t>
        </is>
      </c>
      <c r="AG800" t="inlineStr">
        <is>
          <t>LIMA</t>
        </is>
      </c>
      <c r="AH800" t="inlineStr">
        <is>
          <t>JESUS MARIA</t>
        </is>
      </c>
      <c r="AI800" s="116" t="n">
        <v>46295</v>
      </c>
      <c r="AJ800" s="116" t="n"/>
      <c r="AK800" t="inlineStr">
        <is>
          <t>SALDO FINANCIAR</t>
        </is>
      </c>
      <c r="AL800" t="n">
        <v>5</v>
      </c>
      <c r="AM800" t="n">
        <v>4480</v>
      </c>
      <c r="AN800" t="n">
        <v>0</v>
      </c>
      <c r="AO800" t="n">
        <v>0</v>
      </c>
      <c r="AP800" s="39" t="n">
        <v>4480</v>
      </c>
      <c r="AQ800" s="39" t="n">
        <v>0</v>
      </c>
      <c r="AR800" s="39" t="n">
        <v>4480</v>
      </c>
      <c r="AT800" t="inlineStr">
        <is>
          <t>Crédito Directo</t>
        </is>
      </c>
      <c r="AZ800" t="inlineStr">
        <is>
          <t>No</t>
        </is>
      </c>
      <c r="BC800" t="inlineStr">
        <is>
          <t>VENCIDO</t>
        </is>
      </c>
      <c r="BN800" t="inlineStr">
        <is>
          <t>No</t>
        </is>
      </c>
      <c r="BO800" s="117" t="n">
        <v>46121.37569444445</v>
      </c>
      <c r="BP800" t="inlineStr">
        <is>
          <t>Kenny Salazar S</t>
        </is>
      </c>
      <c r="BR800" t="n">
        <v>48</v>
      </c>
      <c r="BT800" t="n">
        <v>0</v>
      </c>
      <c r="BX800" t="inlineStr">
        <is>
          <t>Cobranzas_2026.csv</t>
        </is>
      </c>
      <c r="BY800" t="n">
        <v>2026</v>
      </c>
      <c r="BZ800" t="inlineStr">
        <is>
          <t>01/01/2024</t>
        </is>
      </c>
      <c r="CA800" t="inlineStr">
        <is>
          <t>30/09/2031</t>
        </is>
      </c>
    </row>
    <row r="801">
      <c r="A801" t="inlineStr">
        <is>
          <t>RESIDENCIAL BEYOND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Estacionamiento</t>
        </is>
      </c>
      <c r="F801" t="inlineStr">
        <is>
          <t>E 31 - D 20</t>
        </is>
      </c>
      <c r="G801" s="39" t="n">
        <v>50000</v>
      </c>
      <c r="H801" s="39" t="n">
        <v>50000</v>
      </c>
      <c r="I801" t="inlineStr">
        <is>
          <t>Edificio</t>
        </is>
      </c>
      <c r="J801" t="inlineStr">
        <is>
          <t>A</t>
        </is>
      </c>
      <c r="K801" t="inlineStr">
        <is>
          <t>Estacionamiento</t>
        </is>
      </c>
      <c r="L801" t="inlineStr">
        <is>
          <t>E 32 - D 21</t>
        </is>
      </c>
      <c r="M801" s="39" t="n">
        <v>52500</v>
      </c>
      <c r="N801" s="39" t="n">
        <v>52500</v>
      </c>
      <c r="S801" s="39" t="n"/>
      <c r="T801" s="39" t="n"/>
      <c r="Y801" s="39" t="n"/>
      <c r="Z801" s="39" t="n"/>
      <c r="AA801" t="inlineStr">
        <is>
          <t>RONALD ANTONIO TICONA ARONES</t>
        </is>
      </c>
      <c r="AB801" t="inlineStr">
        <is>
          <t>41639626</t>
        </is>
      </c>
      <c r="AC801" t="inlineStr">
        <is>
          <t>Av. Gregorio Escobedo 426 Dpto. N°402 - Jesus Maria.</t>
        </is>
      </c>
      <c r="AD801" t="n">
        <v>0</v>
      </c>
      <c r="AE801" t="inlineStr">
        <is>
          <t>959833373</t>
        </is>
      </c>
      <c r="AF801" t="inlineStr">
        <is>
          <t>gr103@gmail.com</t>
        </is>
      </c>
      <c r="AG801" t="inlineStr">
        <is>
          <t>LIMA</t>
        </is>
      </c>
      <c r="AH801" t="inlineStr">
        <is>
          <t>JESUS MARIA</t>
        </is>
      </c>
      <c r="AI801" s="116" t="n">
        <v>46325</v>
      </c>
      <c r="AJ801" s="116" t="n"/>
      <c r="AK801" t="inlineStr">
        <is>
          <t>SALDO FINANCIAR</t>
        </is>
      </c>
      <c r="AL801" t="n">
        <v>6</v>
      </c>
      <c r="AM801" t="n">
        <v>4480</v>
      </c>
      <c r="AN801" t="n">
        <v>0</v>
      </c>
      <c r="AO801" t="n">
        <v>0</v>
      </c>
      <c r="AP801" s="39" t="n">
        <v>4480</v>
      </c>
      <c r="AQ801" s="39" t="n">
        <v>0</v>
      </c>
      <c r="AR801" s="39" t="n">
        <v>4480</v>
      </c>
      <c r="AT801" t="inlineStr">
        <is>
          <t>Crédito Directo</t>
        </is>
      </c>
      <c r="AZ801" t="inlineStr">
        <is>
          <t>No</t>
        </is>
      </c>
      <c r="BC801" t="inlineStr">
        <is>
          <t>PENDIENTE</t>
        </is>
      </c>
      <c r="BN801" t="inlineStr">
        <is>
          <t>No</t>
        </is>
      </c>
      <c r="BO801" s="117" t="n">
        <v>46121.37569444445</v>
      </c>
      <c r="BP801" t="inlineStr">
        <is>
          <t>Kenny Salazar S</t>
        </is>
      </c>
      <c r="BR801" t="n">
        <v>48</v>
      </c>
      <c r="BT801" t="n">
        <v>0</v>
      </c>
      <c r="BX801" t="inlineStr">
        <is>
          <t>Cobranzas_2026.csv</t>
        </is>
      </c>
      <c r="BY801" t="n">
        <v>2026</v>
      </c>
      <c r="BZ801" t="inlineStr">
        <is>
          <t>01/01/2024</t>
        </is>
      </c>
      <c r="CA801" t="inlineStr">
        <is>
          <t>30/09/2031</t>
        </is>
      </c>
    </row>
    <row r="802">
      <c r="A802" t="inlineStr">
        <is>
          <t>RESIDENCIAL BEYOND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Estacionamiento</t>
        </is>
      </c>
      <c r="F802" t="inlineStr">
        <is>
          <t>E 31 - D 20</t>
        </is>
      </c>
      <c r="G802" s="39" t="n">
        <v>50000</v>
      </c>
      <c r="H802" s="39" t="n">
        <v>50000</v>
      </c>
      <c r="I802" t="inlineStr">
        <is>
          <t>Edificio</t>
        </is>
      </c>
      <c r="J802" t="inlineStr">
        <is>
          <t>A</t>
        </is>
      </c>
      <c r="K802" t="inlineStr">
        <is>
          <t>Estacionamiento</t>
        </is>
      </c>
      <c r="L802" t="inlineStr">
        <is>
          <t>E 32 - D 21</t>
        </is>
      </c>
      <c r="M802" s="39" t="n">
        <v>52500</v>
      </c>
      <c r="N802" s="39" t="n">
        <v>52500</v>
      </c>
      <c r="S802" s="39" t="n"/>
      <c r="T802" s="39" t="n"/>
      <c r="Y802" s="39" t="n"/>
      <c r="Z802" s="39" t="n"/>
      <c r="AA802" t="inlineStr">
        <is>
          <t>RONALD ANTONIO TICONA ARONES</t>
        </is>
      </c>
      <c r="AB802" t="inlineStr">
        <is>
          <t>41639626</t>
        </is>
      </c>
      <c r="AC802" t="inlineStr">
        <is>
          <t>Av. Gregorio Escobedo 426 Dpto. N°402 - Jesus Maria.</t>
        </is>
      </c>
      <c r="AD802" t="n">
        <v>0</v>
      </c>
      <c r="AE802" t="inlineStr">
        <is>
          <t>959833373</t>
        </is>
      </c>
      <c r="AF802" t="inlineStr">
        <is>
          <t>gr103@gmail.com</t>
        </is>
      </c>
      <c r="AG802" t="inlineStr">
        <is>
          <t>LIMA</t>
        </is>
      </c>
      <c r="AH802" t="inlineStr">
        <is>
          <t>JESUS MARIA</t>
        </is>
      </c>
      <c r="AI802" s="116" t="n">
        <v>46356</v>
      </c>
      <c r="AJ802" s="116" t="n"/>
      <c r="AK802" t="inlineStr">
        <is>
          <t>SALDO FINANCIAR</t>
        </is>
      </c>
      <c r="AL802" t="n">
        <v>7</v>
      </c>
      <c r="AM802" t="n">
        <v>4480</v>
      </c>
      <c r="AN802" t="n">
        <v>0</v>
      </c>
      <c r="AO802" t="n">
        <v>0</v>
      </c>
      <c r="AP802" s="39" t="n">
        <v>4480</v>
      </c>
      <c r="AQ802" s="39" t="n">
        <v>0</v>
      </c>
      <c r="AR802" s="39" t="n">
        <v>4480</v>
      </c>
      <c r="AT802" t="inlineStr">
        <is>
          <t>Crédito Directo</t>
        </is>
      </c>
      <c r="AZ802" t="inlineStr">
        <is>
          <t>No</t>
        </is>
      </c>
      <c r="BC802" t="inlineStr">
        <is>
          <t>PENDIENTE</t>
        </is>
      </c>
      <c r="BN802" t="inlineStr">
        <is>
          <t>No</t>
        </is>
      </c>
      <c r="BO802" s="117" t="n">
        <v>46121.37569444445</v>
      </c>
      <c r="BP802" t="inlineStr">
        <is>
          <t>Kenny Salazar S</t>
        </is>
      </c>
      <c r="BR802" t="n">
        <v>48</v>
      </c>
      <c r="BT802" t="n">
        <v>0</v>
      </c>
      <c r="BX802" t="inlineStr">
        <is>
          <t>Cobranzas_2026.csv</t>
        </is>
      </c>
      <c r="BY802" t="n">
        <v>2026</v>
      </c>
      <c r="BZ802" t="inlineStr">
        <is>
          <t>01/01/2024</t>
        </is>
      </c>
      <c r="CA802" t="inlineStr">
        <is>
          <t>30/09/2031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Estacionamiento</t>
        </is>
      </c>
      <c r="F803" t="inlineStr">
        <is>
          <t>E 31 - D 20</t>
        </is>
      </c>
      <c r="G803" s="39" t="n">
        <v>50000</v>
      </c>
      <c r="H803" s="39" t="n">
        <v>50000</v>
      </c>
      <c r="I803" t="inlineStr">
        <is>
          <t>Edificio</t>
        </is>
      </c>
      <c r="J803" t="inlineStr">
        <is>
          <t>A</t>
        </is>
      </c>
      <c r="K803" t="inlineStr">
        <is>
          <t>Estacionamiento</t>
        </is>
      </c>
      <c r="L803" t="inlineStr">
        <is>
          <t>E 32 - D 21</t>
        </is>
      </c>
      <c r="M803" s="39" t="n">
        <v>52500</v>
      </c>
      <c r="N803" s="39" t="n">
        <v>52500</v>
      </c>
      <c r="S803" s="39" t="n"/>
      <c r="T803" s="39" t="n"/>
      <c r="Y803" s="39" t="n"/>
      <c r="Z803" s="39" t="n"/>
      <c r="AA803" t="inlineStr">
        <is>
          <t>RONALD ANTONIO TICONA ARONES</t>
        </is>
      </c>
      <c r="AB803" t="inlineStr">
        <is>
          <t>41639626</t>
        </is>
      </c>
      <c r="AC803" t="inlineStr">
        <is>
          <t>Av. Gregorio Escobedo 426 Dpto. N°402 - Jesus Maria.</t>
        </is>
      </c>
      <c r="AD803" t="n">
        <v>0</v>
      </c>
      <c r="AE803" t="inlineStr">
        <is>
          <t>959833373</t>
        </is>
      </c>
      <c r="AF803" t="inlineStr">
        <is>
          <t>gr103@gmail.com</t>
        </is>
      </c>
      <c r="AG803" t="inlineStr">
        <is>
          <t>LIMA</t>
        </is>
      </c>
      <c r="AH803" t="inlineStr">
        <is>
          <t>JESUS MARIA</t>
        </is>
      </c>
      <c r="AI803" s="116" t="n">
        <v>46386</v>
      </c>
      <c r="AJ803" s="116" t="n"/>
      <c r="AK803" t="inlineStr">
        <is>
          <t>SALDO FINANCIAR</t>
        </is>
      </c>
      <c r="AL803" t="n">
        <v>8</v>
      </c>
      <c r="AM803" t="n">
        <v>4480</v>
      </c>
      <c r="AN803" t="n">
        <v>0</v>
      </c>
      <c r="AO803" t="n">
        <v>0</v>
      </c>
      <c r="AP803" s="39" t="n">
        <v>4480</v>
      </c>
      <c r="AQ803" s="39" t="n">
        <v>0</v>
      </c>
      <c r="AR803" s="39" t="n">
        <v>4480</v>
      </c>
      <c r="AT803" t="inlineStr">
        <is>
          <t>Crédito Directo</t>
        </is>
      </c>
      <c r="AZ803" t="inlineStr">
        <is>
          <t>No</t>
        </is>
      </c>
      <c r="BC803" t="inlineStr">
        <is>
          <t>PENDIENTE</t>
        </is>
      </c>
      <c r="BN803" t="inlineStr">
        <is>
          <t>No</t>
        </is>
      </c>
      <c r="BO803" s="117" t="n">
        <v>46121.37569444445</v>
      </c>
      <c r="BP803" t="inlineStr">
        <is>
          <t>Kenny Salazar S</t>
        </is>
      </c>
      <c r="BR803" t="n">
        <v>48</v>
      </c>
      <c r="BT803" t="n">
        <v>0</v>
      </c>
      <c r="BX803" t="inlineStr">
        <is>
          <t>Cobranzas_2026.csv</t>
        </is>
      </c>
      <c r="BY803" t="n">
        <v>2026</v>
      </c>
      <c r="BZ803" t="inlineStr">
        <is>
          <t>01/01/2024</t>
        </is>
      </c>
      <c r="CA803" t="inlineStr">
        <is>
          <t>30/09/2031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504</t>
        </is>
      </c>
      <c r="G804" s="39" t="n">
        <v>498000</v>
      </c>
      <c r="H804" s="39" t="n">
        <v>464400</v>
      </c>
      <c r="I804" t="inlineStr">
        <is>
          <t>Edificio</t>
        </is>
      </c>
      <c r="J804" t="inlineStr">
        <is>
          <t>A</t>
        </is>
      </c>
      <c r="K804" t="inlineStr">
        <is>
          <t>Estacionamiento</t>
        </is>
      </c>
      <c r="L804" t="inlineStr">
        <is>
          <t>E 07</t>
        </is>
      </c>
      <c r="M804" s="39" t="n">
        <v>45600</v>
      </c>
      <c r="N804" s="39" t="n">
        <v>45600</v>
      </c>
      <c r="S804" s="39" t="n"/>
      <c r="T804" s="39" t="n"/>
      <c r="Y804" s="39" t="n"/>
      <c r="Z804" s="39" t="n"/>
      <c r="AA804" t="inlineStr">
        <is>
          <t>Ronald José Claudio Ramírez</t>
        </is>
      </c>
      <c r="AB804" t="inlineStr">
        <is>
          <t>41129584</t>
        </is>
      </c>
      <c r="AC804" t="inlineStr">
        <is>
          <t>Av. Nicolas Allyon 7550 torre 2 dpto. 302</t>
        </is>
      </c>
      <c r="AD804" t="n">
        <v>0</v>
      </c>
      <c r="AE804" t="inlineStr">
        <is>
          <t>991470542</t>
        </is>
      </c>
      <c r="AF804" t="inlineStr">
        <is>
          <t>ronald.claudio@gmail.com</t>
        </is>
      </c>
      <c r="AG804" t="inlineStr">
        <is>
          <t>LIMA</t>
        </is>
      </c>
      <c r="AH804" t="inlineStr">
        <is>
          <t>ATE</t>
        </is>
      </c>
      <c r="AI804" s="116" t="n">
        <v>46071</v>
      </c>
      <c r="AJ804" s="116" t="n">
        <v>46070</v>
      </c>
      <c r="AK804" t="inlineStr">
        <is>
          <t>CUOTA INICIAL</t>
        </is>
      </c>
      <c r="AL804" t="n">
        <v>1</v>
      </c>
      <c r="AM804" t="n">
        <v>0</v>
      </c>
      <c r="AN804" t="n">
        <v>0</v>
      </c>
      <c r="AO804" t="n">
        <v>0</v>
      </c>
      <c r="AP804" s="39" t="n">
        <v>49500</v>
      </c>
      <c r="AQ804" s="39" t="n">
        <v>25000</v>
      </c>
      <c r="AR804" s="39" t="n">
        <v>0</v>
      </c>
      <c r="AS804" t="n">
        <v>0</v>
      </c>
      <c r="AT804" t="inlineStr">
        <is>
          <t>Ahorro</t>
        </is>
      </c>
      <c r="AU804" t="inlineStr">
        <is>
          <t>Banco de Credito del Perú</t>
        </is>
      </c>
      <c r="AV804" t="inlineStr">
        <is>
          <t>194-7325779-0-65</t>
        </is>
      </c>
      <c r="AW804" t="inlineStr">
        <is>
          <t>TRANSFERENCIA BANCARIA</t>
        </is>
      </c>
      <c r="AY804" t="inlineStr">
        <is>
          <t>01529879</t>
        </is>
      </c>
      <c r="AZ804" t="inlineStr">
        <is>
          <t>No</t>
        </is>
      </c>
      <c r="BB804" t="n">
        <v>4</v>
      </c>
      <c r="BC804" t="inlineStr">
        <is>
          <t>CANCELADO</t>
        </is>
      </c>
      <c r="BN804" t="inlineStr">
        <is>
          <t>Si</t>
        </is>
      </c>
      <c r="BO804" s="117" t="n">
        <v>46071.40208333333</v>
      </c>
      <c r="BP804" t="inlineStr">
        <is>
          <t>Carla Michue M</t>
        </is>
      </c>
      <c r="BR804" t="n">
        <v>32</v>
      </c>
      <c r="BS804" t="inlineStr">
        <is>
          <t>13/08/2026 17:18</t>
        </is>
      </c>
      <c r="BT804" t="n">
        <v>0</v>
      </c>
      <c r="BX804" t="inlineStr">
        <is>
          <t>Cobranzas_2026.csv</t>
        </is>
      </c>
      <c r="BY804" t="n">
        <v>2026</v>
      </c>
      <c r="BZ804" t="inlineStr">
        <is>
          <t>01/01/2024</t>
        </is>
      </c>
      <c r="CA804" t="inlineStr">
        <is>
          <t>30/09/2031</t>
        </is>
      </c>
    </row>
    <row r="805">
      <c r="A805" t="inlineStr">
        <is>
          <t>RESIDENCIAL BEYOND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504</t>
        </is>
      </c>
      <c r="G805" s="39" t="n">
        <v>498000</v>
      </c>
      <c r="H805" s="39" t="n">
        <v>464400</v>
      </c>
      <c r="I805" t="inlineStr">
        <is>
          <t>Edificio</t>
        </is>
      </c>
      <c r="J805" t="inlineStr">
        <is>
          <t>A</t>
        </is>
      </c>
      <c r="K805" t="inlineStr">
        <is>
          <t>Estacionamiento</t>
        </is>
      </c>
      <c r="L805" t="inlineStr">
        <is>
          <t>E 07</t>
        </is>
      </c>
      <c r="M805" s="39" t="n">
        <v>45600</v>
      </c>
      <c r="N805" s="39" t="n">
        <v>45600</v>
      </c>
      <c r="S805" s="39" t="n"/>
      <c r="T805" s="39" t="n"/>
      <c r="Y805" s="39" t="n"/>
      <c r="Z805" s="39" t="n"/>
      <c r="AA805" t="inlineStr">
        <is>
          <t>Ronald José Claudio Ramírez</t>
        </is>
      </c>
      <c r="AB805" t="inlineStr">
        <is>
          <t>41129584</t>
        </is>
      </c>
      <c r="AC805" t="inlineStr">
        <is>
          <t>Av. Nicolas Allyon 7550 torre 2 dpto. 302</t>
        </is>
      </c>
      <c r="AD805" t="n">
        <v>0</v>
      </c>
      <c r="AE805" t="inlineStr">
        <is>
          <t>991470542</t>
        </is>
      </c>
      <c r="AF805" t="inlineStr">
        <is>
          <t>ronald.claudio@gmail.com</t>
        </is>
      </c>
      <c r="AG805" t="inlineStr">
        <is>
          <t>LIMA</t>
        </is>
      </c>
      <c r="AH805" t="inlineStr">
        <is>
          <t>ATE</t>
        </is>
      </c>
      <c r="AI805" s="116" t="n">
        <v>46071</v>
      </c>
      <c r="AJ805" s="116" t="n">
        <v>46071</v>
      </c>
      <c r="AK805" t="inlineStr">
        <is>
          <t>CUOTA INICIAL</t>
        </is>
      </c>
      <c r="AL805" t="n">
        <v>1</v>
      </c>
      <c r="AM805" t="n">
        <v>49500</v>
      </c>
      <c r="AN805" t="n">
        <v>0</v>
      </c>
      <c r="AO805" t="n">
        <v>0</v>
      </c>
      <c r="AP805" s="39" t="n">
        <v>0</v>
      </c>
      <c r="AQ805" s="39" t="n">
        <v>24500</v>
      </c>
      <c r="AR805" s="39" t="n">
        <v>0</v>
      </c>
      <c r="AS805" t="n">
        <v>0</v>
      </c>
      <c r="AT805" t="inlineStr">
        <is>
          <t>Ahorro</t>
        </is>
      </c>
      <c r="AU805" t="inlineStr">
        <is>
          <t>Banco de Credito del Perú</t>
        </is>
      </c>
      <c r="AV805" t="inlineStr">
        <is>
          <t>194-7325779-0-65</t>
        </is>
      </c>
      <c r="AW805" t="inlineStr">
        <is>
          <t>TRANSFERENCIA BANCARIA</t>
        </is>
      </c>
      <c r="AY805" t="inlineStr">
        <is>
          <t>00471002</t>
        </is>
      </c>
      <c r="AZ805" t="inlineStr">
        <is>
          <t>No</t>
        </is>
      </c>
      <c r="BB805" t="n">
        <v>4</v>
      </c>
      <c r="BC805" t="inlineStr">
        <is>
          <t>CANCELADO</t>
        </is>
      </c>
      <c r="BN805" t="inlineStr">
        <is>
          <t>Si</t>
        </is>
      </c>
      <c r="BO805" s="117" t="n">
        <v>46071.40208333333</v>
      </c>
      <c r="BP805" t="inlineStr">
        <is>
          <t>Carla Michue M</t>
        </is>
      </c>
      <c r="BR805" t="n">
        <v>32</v>
      </c>
      <c r="BS805" t="inlineStr">
        <is>
          <t>13/08/2026 17:20</t>
        </is>
      </c>
      <c r="BT805" t="n">
        <v>0</v>
      </c>
      <c r="BX805" t="inlineStr">
        <is>
          <t>Cobranzas_2026.csv</t>
        </is>
      </c>
      <c r="BY805" t="n">
        <v>2026</v>
      </c>
      <c r="BZ805" t="inlineStr">
        <is>
          <t>01/01/2024</t>
        </is>
      </c>
      <c r="CA805" t="inlineStr">
        <is>
          <t>30/09/2031</t>
        </is>
      </c>
    </row>
    <row r="806">
      <c r="A806" t="inlineStr">
        <is>
          <t>RESIDENCIAL BEYOND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504</t>
        </is>
      </c>
      <c r="G806" s="39" t="n">
        <v>498000</v>
      </c>
      <c r="H806" s="39" t="n">
        <v>464400</v>
      </c>
      <c r="I806" t="inlineStr">
        <is>
          <t>Edificio</t>
        </is>
      </c>
      <c r="J806" t="inlineStr">
        <is>
          <t>A</t>
        </is>
      </c>
      <c r="K806" t="inlineStr">
        <is>
          <t>Estacionamiento</t>
        </is>
      </c>
      <c r="L806" t="inlineStr">
        <is>
          <t>E 07</t>
        </is>
      </c>
      <c r="M806" s="39" t="n">
        <v>45600</v>
      </c>
      <c r="N806" s="39" t="n">
        <v>45600</v>
      </c>
      <c r="S806" s="39" t="n"/>
      <c r="T806" s="39" t="n"/>
      <c r="Y806" s="39" t="n"/>
      <c r="Z806" s="39" t="n"/>
      <c r="AA806" t="inlineStr">
        <is>
          <t>Ronald José Claudio Ramírez</t>
        </is>
      </c>
      <c r="AB806" t="inlineStr">
        <is>
          <t>41129584</t>
        </is>
      </c>
      <c r="AC806" t="inlineStr">
        <is>
          <t>Av. Nicolas Allyon 7550 torre 2 dpto. 302</t>
        </is>
      </c>
      <c r="AD806" t="n">
        <v>0</v>
      </c>
      <c r="AE806" t="inlineStr">
        <is>
          <t>991470542</t>
        </is>
      </c>
      <c r="AF806" t="inlineStr">
        <is>
          <t>ronald.claudio@gmail.com</t>
        </is>
      </c>
      <c r="AG806" t="inlineStr">
        <is>
          <t>LIMA</t>
        </is>
      </c>
      <c r="AH806" t="inlineStr">
        <is>
          <t>ATE</t>
        </is>
      </c>
      <c r="AI806" s="116" t="n">
        <v>46260</v>
      </c>
      <c r="AJ806" s="116" t="n">
        <v>46260</v>
      </c>
      <c r="AK806" t="inlineStr">
        <is>
          <t>CUOTA INICIAL</t>
        </is>
      </c>
      <c r="AL806" t="n">
        <v>2</v>
      </c>
      <c r="AM806" t="n">
        <v>30000</v>
      </c>
      <c r="AN806" t="n">
        <v>0</v>
      </c>
      <c r="AO806" t="n">
        <v>0</v>
      </c>
      <c r="AP806" s="39" t="n">
        <v>30000</v>
      </c>
      <c r="AQ806" s="39" t="n">
        <v>30000</v>
      </c>
      <c r="AR806" s="39" t="n">
        <v>0</v>
      </c>
      <c r="AS806" t="n">
        <v>0</v>
      </c>
      <c r="AT806" t="inlineStr">
        <is>
          <t>Ahorro</t>
        </is>
      </c>
      <c r="AU806" t="inlineStr">
        <is>
          <t>Banco de Credito del Perú</t>
        </is>
      </c>
      <c r="AV806" t="inlineStr">
        <is>
          <t>194-7325779-0-65</t>
        </is>
      </c>
      <c r="AW806" t="inlineStr">
        <is>
          <t>TRANSFERENCIA BANCARIA</t>
        </is>
      </c>
      <c r="AY806" t="inlineStr">
        <is>
          <t>09611256</t>
        </is>
      </c>
      <c r="AZ806" t="inlineStr">
        <is>
          <t>No</t>
        </is>
      </c>
      <c r="BB806" t="n">
        <v>4</v>
      </c>
      <c r="BC806" t="inlineStr">
        <is>
          <t>CANCELADO</t>
        </is>
      </c>
      <c r="BN806" t="inlineStr">
        <is>
          <t>Si</t>
        </is>
      </c>
      <c r="BO806" s="117" t="n">
        <v>46071.40208333333</v>
      </c>
      <c r="BP806" t="inlineStr">
        <is>
          <t>Carla Michue M</t>
        </is>
      </c>
      <c r="BR806" t="n">
        <v>32</v>
      </c>
      <c r="BS806" t="inlineStr">
        <is>
          <t>26/08/2026 16:13</t>
        </is>
      </c>
      <c r="BT806" t="n">
        <v>0</v>
      </c>
      <c r="BX806" t="inlineStr">
        <is>
          <t>Cobranzas_2026.csv</t>
        </is>
      </c>
      <c r="BY806" t="n">
        <v>2026</v>
      </c>
      <c r="BZ806" t="inlineStr">
        <is>
          <t>01/01/2024</t>
        </is>
      </c>
      <c r="CA806" t="inlineStr">
        <is>
          <t>30/09/2031</t>
        </is>
      </c>
    </row>
    <row r="807">
      <c r="A807" t="inlineStr">
        <is>
          <t>RESIDENCIAL BEYOND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504</t>
        </is>
      </c>
      <c r="G807" s="39" t="n">
        <v>498000</v>
      </c>
      <c r="H807" s="39" t="n">
        <v>464400</v>
      </c>
      <c r="I807" t="inlineStr">
        <is>
          <t>Edificio</t>
        </is>
      </c>
      <c r="J807" t="inlineStr">
        <is>
          <t>A</t>
        </is>
      </c>
      <c r="K807" t="inlineStr">
        <is>
          <t>Estacionamiento</t>
        </is>
      </c>
      <c r="L807" t="inlineStr">
        <is>
          <t>E 07</t>
        </is>
      </c>
      <c r="M807" s="39" t="n">
        <v>45600</v>
      </c>
      <c r="N807" s="39" t="n">
        <v>45600</v>
      </c>
      <c r="S807" s="39" t="n"/>
      <c r="T807" s="39" t="n"/>
      <c r="Y807" s="39" t="n"/>
      <c r="Z807" s="39" t="n"/>
      <c r="AA807" t="inlineStr">
        <is>
          <t>Ronald José Claudio Ramírez</t>
        </is>
      </c>
      <c r="AB807" t="inlineStr">
        <is>
          <t>41129584</t>
        </is>
      </c>
      <c r="AC807" t="inlineStr">
        <is>
          <t>Av. Nicolas Allyon 7550 torre 2 dpto. 302</t>
        </is>
      </c>
      <c r="AD807" t="n">
        <v>0</v>
      </c>
      <c r="AE807" t="inlineStr">
        <is>
          <t>991470542</t>
        </is>
      </c>
      <c r="AF807" t="inlineStr">
        <is>
          <t>ronald.claudio@gmail.com</t>
        </is>
      </c>
      <c r="AG807" t="inlineStr">
        <is>
          <t>LIMA</t>
        </is>
      </c>
      <c r="AH807" t="inlineStr">
        <is>
          <t>ATE</t>
        </is>
      </c>
      <c r="AI807" s="116" t="n">
        <v>46262</v>
      </c>
      <c r="AJ807" s="116" t="n">
        <v>46262</v>
      </c>
      <c r="AK807" t="inlineStr">
        <is>
          <t>CUOTA INICIAL</t>
        </is>
      </c>
      <c r="AL807" t="n">
        <v>3</v>
      </c>
      <c r="AM807" t="n">
        <v>19500</v>
      </c>
      <c r="AN807" t="n">
        <v>0</v>
      </c>
      <c r="AO807" t="n">
        <v>0</v>
      </c>
      <c r="AP807" s="39" t="n">
        <v>19500</v>
      </c>
      <c r="AQ807" s="39" t="n">
        <v>19500</v>
      </c>
      <c r="AR807" s="39" t="n">
        <v>0</v>
      </c>
      <c r="AS807" t="n">
        <v>0</v>
      </c>
      <c r="AT807" t="inlineStr">
        <is>
          <t>Ahorro</t>
        </is>
      </c>
      <c r="AU807" t="inlineStr">
        <is>
          <t>Banco de Credito del Perú</t>
        </is>
      </c>
      <c r="AV807" t="inlineStr">
        <is>
          <t>194-7325779-0-65</t>
        </is>
      </c>
      <c r="AW807" t="inlineStr">
        <is>
          <t>TRANSFERENCIA BANCARIA</t>
        </is>
      </c>
      <c r="AY807" t="inlineStr">
        <is>
          <t>01352771</t>
        </is>
      </c>
      <c r="AZ807" t="inlineStr">
        <is>
          <t>No</t>
        </is>
      </c>
      <c r="BB807" t="n">
        <v>4</v>
      </c>
      <c r="BC807" t="inlineStr">
        <is>
          <t>CANCELADO</t>
        </is>
      </c>
      <c r="BN807" t="inlineStr">
        <is>
          <t>Si</t>
        </is>
      </c>
      <c r="BO807" s="117" t="n">
        <v>46071.40208333333</v>
      </c>
      <c r="BP807" t="inlineStr">
        <is>
          <t>Carla Michue M</t>
        </is>
      </c>
      <c r="BR807" t="n">
        <v>32</v>
      </c>
      <c r="BS807" t="inlineStr">
        <is>
          <t>31/08/2026 12:18</t>
        </is>
      </c>
      <c r="BT807" t="n">
        <v>0</v>
      </c>
      <c r="BX807" t="inlineStr">
        <is>
          <t>Cobranzas_2026.csv</t>
        </is>
      </c>
      <c r="BY807" t="n">
        <v>2026</v>
      </c>
      <c r="BZ807" t="inlineStr">
        <is>
          <t>01/01/2024</t>
        </is>
      </c>
      <c r="CA807" t="inlineStr">
        <is>
          <t>30/09/2031</t>
        </is>
      </c>
    </row>
    <row r="808">
      <c r="A808" t="inlineStr">
        <is>
          <t>RESIDENCIAL BEYOND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504</t>
        </is>
      </c>
      <c r="G808" s="39" t="n">
        <v>498000</v>
      </c>
      <c r="H808" s="39" t="n">
        <v>464400</v>
      </c>
      <c r="I808" t="inlineStr">
        <is>
          <t>Edificio</t>
        </is>
      </c>
      <c r="J808" t="inlineStr">
        <is>
          <t>A</t>
        </is>
      </c>
      <c r="K808" t="inlineStr">
        <is>
          <t>Estacionamiento</t>
        </is>
      </c>
      <c r="L808" t="inlineStr">
        <is>
          <t>E 07</t>
        </is>
      </c>
      <c r="M808" s="39" t="n">
        <v>45600</v>
      </c>
      <c r="N808" s="39" t="n">
        <v>45600</v>
      </c>
      <c r="S808" s="39" t="n"/>
      <c r="T808" s="39" t="n"/>
      <c r="Y808" s="39" t="n"/>
      <c r="Z808" s="39" t="n"/>
      <c r="AA808" t="inlineStr">
        <is>
          <t>Ronald José Claudio Ramírez</t>
        </is>
      </c>
      <c r="AB808" t="inlineStr">
        <is>
          <t>41129584</t>
        </is>
      </c>
      <c r="AC808" t="inlineStr">
        <is>
          <t>Av. Nicolas Allyon 7550 torre 2 dpto. 302</t>
        </is>
      </c>
      <c r="AD808" t="n">
        <v>0</v>
      </c>
      <c r="AE808" t="inlineStr">
        <is>
          <t>991470542</t>
        </is>
      </c>
      <c r="AF808" t="inlineStr">
        <is>
          <t>ronald.claudio@gmail.com</t>
        </is>
      </c>
      <c r="AG808" t="inlineStr">
        <is>
          <t>LIMA</t>
        </is>
      </c>
      <c r="AH808" t="inlineStr">
        <is>
          <t>ATE</t>
        </is>
      </c>
      <c r="AI808" s="116" t="n">
        <v>46295</v>
      </c>
      <c r="AJ808" s="116" t="n"/>
      <c r="AK808" t="inlineStr">
        <is>
          <t>SALDO FINANCIAR</t>
        </is>
      </c>
      <c r="AL808" t="n">
        <v>1</v>
      </c>
      <c r="AM808" t="n">
        <v>408000</v>
      </c>
      <c r="AN808" t="n">
        <v>0</v>
      </c>
      <c r="AO808" t="n">
        <v>0</v>
      </c>
      <c r="AP808" s="39" t="n">
        <v>408000</v>
      </c>
      <c r="AQ808" s="39" t="n">
        <v>0</v>
      </c>
      <c r="AR808" s="39" t="n">
        <v>408000</v>
      </c>
      <c r="AT808" t="inlineStr">
        <is>
          <t>Ahorro</t>
        </is>
      </c>
      <c r="AZ808" t="inlineStr">
        <is>
          <t>No</t>
        </is>
      </c>
      <c r="BC808" t="inlineStr">
        <is>
          <t>VENCIDO</t>
        </is>
      </c>
      <c r="BN808" t="inlineStr">
        <is>
          <t>No</t>
        </is>
      </c>
      <c r="BO808" s="117" t="n">
        <v>46071.40208333333</v>
      </c>
      <c r="BP808" t="inlineStr">
        <is>
          <t>Carla Michue M</t>
        </is>
      </c>
      <c r="BR808" t="n">
        <v>32</v>
      </c>
      <c r="BT808" t="n">
        <v>0</v>
      </c>
      <c r="BX808" t="inlineStr">
        <is>
          <t>Cobranzas_2026.csv</t>
        </is>
      </c>
      <c r="BY808" t="n">
        <v>2026</v>
      </c>
      <c r="BZ808" t="inlineStr">
        <is>
          <t>01/01/2024</t>
        </is>
      </c>
      <c r="CA808" t="inlineStr">
        <is>
          <t>30/09/2031</t>
        </is>
      </c>
    </row>
    <row r="809">
      <c r="A809" t="inlineStr">
        <is>
          <t>RESIDENCIAL PRADA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1005</t>
        </is>
      </c>
      <c r="G809" s="39" t="n">
        <v>480000</v>
      </c>
      <c r="H809" s="39" t="n">
        <v>480000</v>
      </c>
      <c r="M809" s="39" t="n"/>
      <c r="N809" s="39" t="n"/>
      <c r="S809" s="39" t="n"/>
      <c r="T809" s="39" t="n"/>
      <c r="Y809" s="39" t="n"/>
      <c r="Z809" s="39" t="n"/>
      <c r="AA809" t="inlineStr">
        <is>
          <t>STEPHANIE LIZETH AQUINO HERRERA</t>
        </is>
      </c>
      <c r="AB809" t="inlineStr">
        <is>
          <t>70292339</t>
        </is>
      </c>
      <c r="AC809" t="inlineStr">
        <is>
          <t xml:space="preserve">Jr. Juan Olaechea Arnao 1217 URB. Elio 1era Et. Lima - Lima </t>
        </is>
      </c>
      <c r="AD809" t="n">
        <v>966050658</v>
      </c>
      <c r="AE809" t="inlineStr">
        <is>
          <t>966050658</t>
        </is>
      </c>
      <c r="AF809" t="inlineStr">
        <is>
          <t>nxtsyox@gmail.com</t>
        </is>
      </c>
      <c r="AG809" t="inlineStr">
        <is>
          <t>LIMA</t>
        </is>
      </c>
      <c r="AH809" t="inlineStr">
        <is>
          <t>PUEBLO LIBRE</t>
        </is>
      </c>
      <c r="AI809" s="116" t="n">
        <v>46111</v>
      </c>
      <c r="AJ809" s="116" t="n">
        <v>46111</v>
      </c>
      <c r="AK809" t="inlineStr">
        <is>
          <t>SEPARACION</t>
        </is>
      </c>
      <c r="AL809" t="n">
        <v>1</v>
      </c>
      <c r="AM809" t="n">
        <v>3000</v>
      </c>
      <c r="AN809" t="n">
        <v>0</v>
      </c>
      <c r="AO809" t="n">
        <v>0</v>
      </c>
      <c r="AP809" s="39" t="n">
        <v>3000</v>
      </c>
      <c r="AQ809" s="39" t="n">
        <v>3000</v>
      </c>
      <c r="AR809" s="39" t="n">
        <v>0</v>
      </c>
      <c r="AS809" t="n">
        <v>0</v>
      </c>
      <c r="AT809" t="inlineStr">
        <is>
          <t>Crédito Hipotecario</t>
        </is>
      </c>
      <c r="AU809" t="inlineStr">
        <is>
          <t>Scotiabank Perú</t>
        </is>
      </c>
      <c r="AV809" t="inlineStr">
        <is>
          <t>000-2768484</t>
        </is>
      </c>
      <c r="AW809" t="inlineStr">
        <is>
          <t>TRANSFERENCIA BANCARIA</t>
        </is>
      </c>
      <c r="AY809" t="inlineStr">
        <is>
          <t>60423122</t>
        </is>
      </c>
      <c r="AZ809" t="inlineStr">
        <is>
          <t>No</t>
        </is>
      </c>
      <c r="BB809" t="n">
        <v>4</v>
      </c>
      <c r="BC809" t="inlineStr">
        <is>
          <t>CANCELADO</t>
        </is>
      </c>
      <c r="BN809" t="inlineStr">
        <is>
          <t>Si</t>
        </is>
      </c>
      <c r="BO809" s="117" t="n">
        <v>46112.58958333333</v>
      </c>
      <c r="BP809" t="inlineStr">
        <is>
          <t>Kenny Salazar S</t>
        </is>
      </c>
      <c r="BR809" t="n">
        <v>48</v>
      </c>
      <c r="BS809" t="inlineStr">
        <is>
          <t>03/06/2026 15:38</t>
        </is>
      </c>
      <c r="BT809" t="n">
        <v>0</v>
      </c>
      <c r="BX809" t="inlineStr">
        <is>
          <t>Cobranzas_2026.csv</t>
        </is>
      </c>
      <c r="BY809" t="n">
        <v>2026</v>
      </c>
      <c r="BZ809" t="inlineStr">
        <is>
          <t>01/01/2024</t>
        </is>
      </c>
      <c r="CA809" t="inlineStr">
        <is>
          <t>30/09/2031</t>
        </is>
      </c>
    </row>
    <row r="810">
      <c r="A810" t="inlineStr">
        <is>
          <t>RESIDENCIAL PRADA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1005</t>
        </is>
      </c>
      <c r="G810" s="39" t="n">
        <v>480000</v>
      </c>
      <c r="H810" s="39" t="n">
        <v>480000</v>
      </c>
      <c r="M810" s="39" t="n"/>
      <c r="N810" s="39" t="n"/>
      <c r="S810" s="39" t="n"/>
      <c r="T810" s="39" t="n"/>
      <c r="Y810" s="39" t="n"/>
      <c r="Z810" s="39" t="n"/>
      <c r="AA810" t="inlineStr">
        <is>
          <t>STEPHANIE LIZETH AQUINO HERRERA</t>
        </is>
      </c>
      <c r="AB810" t="inlineStr">
        <is>
          <t>70292339</t>
        </is>
      </c>
      <c r="AC810" t="inlineStr">
        <is>
          <t xml:space="preserve">Jr. Juan Olaechea Arnao 1217 URB. Elio 1era Et. Lima - Lima </t>
        </is>
      </c>
      <c r="AD810" t="n">
        <v>966050658</v>
      </c>
      <c r="AE810" t="inlineStr">
        <is>
          <t>966050658</t>
        </is>
      </c>
      <c r="AF810" t="inlineStr">
        <is>
          <t>nxtsyox@gmail.com</t>
        </is>
      </c>
      <c r="AG810" t="inlineStr">
        <is>
          <t>LIMA</t>
        </is>
      </c>
      <c r="AH810" t="inlineStr">
        <is>
          <t>PUEBLO LIBRE</t>
        </is>
      </c>
      <c r="AI810" s="116" t="n">
        <v>46112</v>
      </c>
      <c r="AJ810" s="116" t="n">
        <v>46112</v>
      </c>
      <c r="AK810" t="inlineStr">
        <is>
          <t>CUOTA INICIAL</t>
        </is>
      </c>
      <c r="AL810" t="n">
        <v>1</v>
      </c>
      <c r="AM810" t="n">
        <v>10000</v>
      </c>
      <c r="AN810" t="n">
        <v>0</v>
      </c>
      <c r="AO810" t="n">
        <v>0</v>
      </c>
      <c r="AP810" s="39" t="n">
        <v>10000</v>
      </c>
      <c r="AQ810" s="39" t="n">
        <v>10000</v>
      </c>
      <c r="AR810" s="39" t="n">
        <v>0</v>
      </c>
      <c r="AS810" t="n">
        <v>0</v>
      </c>
      <c r="AT810" t="inlineStr">
        <is>
          <t>Crédito Hipotecario</t>
        </is>
      </c>
      <c r="AU810" t="inlineStr">
        <is>
          <t>Scotiabank Perú</t>
        </is>
      </c>
      <c r="AV810" t="inlineStr">
        <is>
          <t>00917000000276848424</t>
        </is>
      </c>
      <c r="AW810" t="inlineStr">
        <is>
          <t>TRANSFERENCIA BANCARIA</t>
        </is>
      </c>
      <c r="AX810" t="inlineStr">
        <is>
          <t>70292339</t>
        </is>
      </c>
      <c r="AY810" t="inlineStr">
        <is>
          <t>06360653</t>
        </is>
      </c>
      <c r="AZ810" t="inlineStr">
        <is>
          <t>No</t>
        </is>
      </c>
      <c r="BA810" t="inlineStr">
        <is>
          <t>NO PRECISA</t>
        </is>
      </c>
      <c r="BB810" t="n">
        <v>4</v>
      </c>
      <c r="BC810" t="inlineStr">
        <is>
          <t>CANCELADO</t>
        </is>
      </c>
      <c r="BN810" t="inlineStr">
        <is>
          <t>Si</t>
        </is>
      </c>
      <c r="BO810" s="117" t="n">
        <v>46112.58958333333</v>
      </c>
      <c r="BP810" t="inlineStr">
        <is>
          <t>Kenny Salazar S</t>
        </is>
      </c>
      <c r="BR810" t="n">
        <v>48</v>
      </c>
      <c r="BS810" t="inlineStr">
        <is>
          <t>05/06/2026 14:53</t>
        </is>
      </c>
      <c r="BT810" t="n">
        <v>0</v>
      </c>
      <c r="BX810" t="inlineStr">
        <is>
          <t>Cobranzas_2026.csv</t>
        </is>
      </c>
      <c r="BY810" t="n">
        <v>2026</v>
      </c>
      <c r="BZ810" t="inlineStr">
        <is>
          <t>01/01/2024</t>
        </is>
      </c>
      <c r="CA810" t="inlineStr">
        <is>
          <t>30/09/2031</t>
        </is>
      </c>
    </row>
    <row r="811">
      <c r="A811" t="inlineStr">
        <is>
          <t>RESIDENCIAL PRADA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1005</t>
        </is>
      </c>
      <c r="G811" s="39" t="n">
        <v>480000</v>
      </c>
      <c r="H811" s="39" t="n">
        <v>480000</v>
      </c>
      <c r="M811" s="39" t="n"/>
      <c r="N811" s="39" t="n"/>
      <c r="S811" s="39" t="n"/>
      <c r="T811" s="39" t="n"/>
      <c r="Y811" s="39" t="n"/>
      <c r="Z811" s="39" t="n"/>
      <c r="AA811" t="inlineStr">
        <is>
          <t>STEPHANIE LIZETH AQUINO HERRERA</t>
        </is>
      </c>
      <c r="AB811" t="inlineStr">
        <is>
          <t>70292339</t>
        </is>
      </c>
      <c r="AC811" t="inlineStr">
        <is>
          <t xml:space="preserve">Jr. Juan Olaechea Arnao 1217 URB. Elio 1era Et. Lima - Lima </t>
        </is>
      </c>
      <c r="AD811" t="n">
        <v>966050658</v>
      </c>
      <c r="AE811" t="inlineStr">
        <is>
          <t>966050658</t>
        </is>
      </c>
      <c r="AF811" t="inlineStr">
        <is>
          <t>nxtsyox@gmail.com</t>
        </is>
      </c>
      <c r="AG811" t="inlineStr">
        <is>
          <t>LIMA</t>
        </is>
      </c>
      <c r="AH811" t="inlineStr">
        <is>
          <t>PUEBLO LIBRE</t>
        </is>
      </c>
      <c r="AI811" s="116" t="n">
        <v>46142</v>
      </c>
      <c r="AJ811" s="116" t="n">
        <v>46140</v>
      </c>
      <c r="AK811" t="inlineStr">
        <is>
          <t>CUOTA INICIAL</t>
        </is>
      </c>
      <c r="AL811" t="n">
        <v>2</v>
      </c>
      <c r="AM811" t="n">
        <v>11000</v>
      </c>
      <c r="AN811" t="n">
        <v>0</v>
      </c>
      <c r="AO811" t="n">
        <v>0</v>
      </c>
      <c r="AP811" s="39" t="n">
        <v>11000</v>
      </c>
      <c r="AQ811" s="39" t="n">
        <v>11000</v>
      </c>
      <c r="AR811" s="39" t="n">
        <v>0</v>
      </c>
      <c r="AS811" t="n">
        <v>0</v>
      </c>
      <c r="AT811" t="inlineStr">
        <is>
          <t>Crédito Hipotecario</t>
        </is>
      </c>
      <c r="AU811" t="inlineStr">
        <is>
          <t>Scotiabank Perú</t>
        </is>
      </c>
      <c r="AV811" t="inlineStr">
        <is>
          <t>000-2768484</t>
        </is>
      </c>
      <c r="AW811" t="inlineStr">
        <is>
          <t>TRANSFERENCIA BANCARIA</t>
        </is>
      </c>
      <c r="AX811" t="inlineStr">
        <is>
          <t>70292339</t>
        </is>
      </c>
      <c r="AY811" t="inlineStr">
        <is>
          <t>06494216</t>
        </is>
      </c>
      <c r="AZ811" t="inlineStr">
        <is>
          <t>No</t>
        </is>
      </c>
      <c r="BA811" t="inlineStr">
        <is>
          <t>NO PRECISA</t>
        </is>
      </c>
      <c r="BB811" t="n">
        <v>4</v>
      </c>
      <c r="BC811" t="inlineStr">
        <is>
          <t>CANCELADO</t>
        </is>
      </c>
      <c r="BN811" t="inlineStr">
        <is>
          <t>Si</t>
        </is>
      </c>
      <c r="BO811" s="117" t="n">
        <v>46112.58958333333</v>
      </c>
      <c r="BP811" t="inlineStr">
        <is>
          <t>Kenny Salazar S</t>
        </is>
      </c>
      <c r="BR811" t="n">
        <v>48</v>
      </c>
      <c r="BS811" t="inlineStr">
        <is>
          <t>05/06/2026 14:54</t>
        </is>
      </c>
      <c r="BT811" t="n">
        <v>0</v>
      </c>
      <c r="BX811" t="inlineStr">
        <is>
          <t>Cobranzas_2026.csv</t>
        </is>
      </c>
      <c r="BY811" t="n">
        <v>2026</v>
      </c>
      <c r="BZ811" t="inlineStr">
        <is>
          <t>01/01/2024</t>
        </is>
      </c>
      <c r="CA811" t="inlineStr">
        <is>
          <t>30/09/2031</t>
        </is>
      </c>
    </row>
    <row r="812">
      <c r="A812" t="inlineStr">
        <is>
          <t>RESIDENCIAL PRADA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1005</t>
        </is>
      </c>
      <c r="G812" s="39" t="n">
        <v>480000</v>
      </c>
      <c r="H812" s="39" t="n">
        <v>480000</v>
      </c>
      <c r="M812" s="39" t="n"/>
      <c r="N812" s="39" t="n"/>
      <c r="S812" s="39" t="n"/>
      <c r="T812" s="39" t="n"/>
      <c r="Y812" s="39" t="n"/>
      <c r="Z812" s="39" t="n"/>
      <c r="AA812" t="inlineStr">
        <is>
          <t>STEPHANIE LIZETH AQUINO HERRERA</t>
        </is>
      </c>
      <c r="AB812" t="inlineStr">
        <is>
          <t>70292339</t>
        </is>
      </c>
      <c r="AC812" t="inlineStr">
        <is>
          <t xml:space="preserve">Jr. Juan Olaechea Arnao 1217 URB. Elio 1era Et. Lima - Lima </t>
        </is>
      </c>
      <c r="AD812" t="n">
        <v>966050658</v>
      </c>
      <c r="AE812" t="inlineStr">
        <is>
          <t>966050658</t>
        </is>
      </c>
      <c r="AF812" t="inlineStr">
        <is>
          <t>nxtsyox@gmail.com</t>
        </is>
      </c>
      <c r="AG812" t="inlineStr">
        <is>
          <t>LIMA</t>
        </is>
      </c>
      <c r="AH812" t="inlineStr">
        <is>
          <t>PUEBLO LIBRE</t>
        </is>
      </c>
      <c r="AI812" s="116" t="n">
        <v>46203</v>
      </c>
      <c r="AJ812" s="116" t="n"/>
      <c r="AK812" t="inlineStr">
        <is>
          <t>CUOTA INICIAL</t>
        </is>
      </c>
      <c r="AL812" t="n">
        <v>3</v>
      </c>
      <c r="AM812" t="n">
        <v>24000</v>
      </c>
      <c r="AN812" t="n">
        <v>0</v>
      </c>
      <c r="AO812" t="n">
        <v>0</v>
      </c>
      <c r="AP812" s="39" t="n">
        <v>24000</v>
      </c>
      <c r="AQ812" s="39" t="n">
        <v>0</v>
      </c>
      <c r="AR812" s="39" t="n">
        <v>24000</v>
      </c>
      <c r="AT812" t="inlineStr">
        <is>
          <t>Crédito Hipotecario</t>
        </is>
      </c>
      <c r="AZ812" t="inlineStr">
        <is>
          <t>No</t>
        </is>
      </c>
      <c r="BC812" t="inlineStr">
        <is>
          <t>VENCIDO</t>
        </is>
      </c>
      <c r="BN812" t="inlineStr">
        <is>
          <t>No</t>
        </is>
      </c>
      <c r="BO812" s="117" t="n">
        <v>46112.58958333333</v>
      </c>
      <c r="BP812" t="inlineStr">
        <is>
          <t>Kenny Salazar S</t>
        </is>
      </c>
      <c r="BR812" t="n">
        <v>48</v>
      </c>
      <c r="BT812" t="n">
        <v>0</v>
      </c>
      <c r="BX812" t="inlineStr">
        <is>
          <t>Cobranzas_2026.csv</t>
        </is>
      </c>
      <c r="BY812" t="n">
        <v>2026</v>
      </c>
      <c r="BZ812" t="inlineStr">
        <is>
          <t>01/01/2024</t>
        </is>
      </c>
      <c r="CA812" t="inlineStr">
        <is>
          <t>30/09/2031</t>
        </is>
      </c>
    </row>
    <row r="813">
      <c r="A813" t="inlineStr">
        <is>
          <t>RESIDENCIAL PRADA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1005</t>
        </is>
      </c>
      <c r="G813" s="39" t="n">
        <v>480000</v>
      </c>
      <c r="H813" s="39" t="n">
        <v>480000</v>
      </c>
      <c r="M813" s="39" t="n"/>
      <c r="N813" s="39" t="n"/>
      <c r="S813" s="39" t="n"/>
      <c r="T813" s="39" t="n"/>
      <c r="Y813" s="39" t="n"/>
      <c r="Z813" s="39" t="n"/>
      <c r="AA813" t="inlineStr">
        <is>
          <t>STEPHANIE LIZETH AQUINO HERRERA</t>
        </is>
      </c>
      <c r="AB813" t="inlineStr">
        <is>
          <t>70292339</t>
        </is>
      </c>
      <c r="AC813" t="inlineStr">
        <is>
          <t xml:space="preserve">Jr. Juan Olaechea Arnao 1217 URB. Elio 1era Et. Lima - Lima </t>
        </is>
      </c>
      <c r="AD813" t="n">
        <v>966050658</v>
      </c>
      <c r="AE813" t="inlineStr">
        <is>
          <t>966050658</t>
        </is>
      </c>
      <c r="AF813" t="inlineStr">
        <is>
          <t>nxtsyox@gmail.com</t>
        </is>
      </c>
      <c r="AG813" t="inlineStr">
        <is>
          <t>LIMA</t>
        </is>
      </c>
      <c r="AH813" t="inlineStr">
        <is>
          <t>PUEBLO LIBRE</t>
        </is>
      </c>
      <c r="AI813" s="116" t="n">
        <v>46233</v>
      </c>
      <c r="AJ813" s="116" t="n"/>
      <c r="AK813" t="inlineStr">
        <is>
          <t>SALDO FINANCIAR</t>
        </is>
      </c>
      <c r="AL813" t="n">
        <v>1</v>
      </c>
      <c r="AM813" t="n">
        <v>432000</v>
      </c>
      <c r="AN813" t="n">
        <v>0</v>
      </c>
      <c r="AO813" t="n">
        <v>0</v>
      </c>
      <c r="AP813" s="39" t="n">
        <v>432000</v>
      </c>
      <c r="AQ813" s="39" t="n">
        <v>0</v>
      </c>
      <c r="AR813" s="39" t="n">
        <v>432000</v>
      </c>
      <c r="AT813" t="inlineStr">
        <is>
          <t>Crédito Hipotecario</t>
        </is>
      </c>
      <c r="AZ813" t="inlineStr">
        <is>
          <t>No</t>
        </is>
      </c>
      <c r="BC813" t="inlineStr">
        <is>
          <t>VENCIDO</t>
        </is>
      </c>
      <c r="BN813" t="inlineStr">
        <is>
          <t>No</t>
        </is>
      </c>
      <c r="BO813" s="117" t="n">
        <v>46112.58958333333</v>
      </c>
      <c r="BP813" t="inlineStr">
        <is>
          <t>Kenny Salazar S</t>
        </is>
      </c>
      <c r="BR813" t="n">
        <v>48</v>
      </c>
      <c r="BT813" t="n">
        <v>0</v>
      </c>
      <c r="BX813" t="inlineStr">
        <is>
          <t>Cobranzas_2026.csv</t>
        </is>
      </c>
      <c r="BY813" t="n">
        <v>2026</v>
      </c>
      <c r="BZ813" t="inlineStr">
        <is>
          <t>01/01/2024</t>
        </is>
      </c>
      <c r="CA813" t="inlineStr">
        <is>
          <t>30/09/2031</t>
        </is>
      </c>
    </row>
    <row r="814">
      <c r="A814" t="inlineStr">
        <is>
          <t>RESIDENCIAL PRADA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805</t>
        </is>
      </c>
      <c r="G814" s="39" t="n">
        <v>470500</v>
      </c>
      <c r="H814" s="39" t="n">
        <v>470500</v>
      </c>
      <c r="M814" s="39" t="n"/>
      <c r="N814" s="39" t="n"/>
      <c r="S814" s="39" t="n"/>
      <c r="T814" s="39" t="n"/>
      <c r="Y814" s="39" t="n"/>
      <c r="Z814" s="39" t="n"/>
      <c r="AA814" t="inlineStr">
        <is>
          <t>Sussan Yassmine Rubin Domínguez</t>
        </is>
      </c>
      <c r="AB814" t="inlineStr">
        <is>
          <t>46963168</t>
        </is>
      </c>
      <c r="AC814" t="inlineStr">
        <is>
          <t xml:space="preserve">URB LOS PORTALES MZ E LT 21 </t>
        </is>
      </c>
      <c r="AD814" t="n">
        <v>0</v>
      </c>
      <c r="AE814" t="inlineStr">
        <is>
          <t>962099777</t>
        </is>
      </c>
      <c r="AF814" t="inlineStr">
        <is>
          <t>yassmine.rubin12@gmail.com</t>
        </is>
      </c>
      <c r="AG814" t="inlineStr">
        <is>
          <t>HUANUCO</t>
        </is>
      </c>
      <c r="AH814" t="inlineStr">
        <is>
          <t>AMARILIS</t>
        </is>
      </c>
      <c r="AI814" s="116" t="n">
        <v>46233</v>
      </c>
      <c r="AJ814" s="116" t="n"/>
      <c r="AK814" t="inlineStr">
        <is>
          <t>SALDO FINANCIAR</t>
        </is>
      </c>
      <c r="AL814" t="n">
        <v>1</v>
      </c>
      <c r="AM814" t="n">
        <v>370500</v>
      </c>
      <c r="AN814" t="n">
        <v>0</v>
      </c>
      <c r="AO814" t="n">
        <v>0</v>
      </c>
      <c r="AP814" s="39" t="n">
        <v>370500</v>
      </c>
      <c r="AQ814" s="39" t="n">
        <v>0</v>
      </c>
      <c r="AR814" s="39" t="n">
        <v>370500</v>
      </c>
      <c r="AT814" t="inlineStr">
        <is>
          <t>Ahorro</t>
        </is>
      </c>
      <c r="AZ814" t="inlineStr">
        <is>
          <t>No</t>
        </is>
      </c>
      <c r="BC814" t="inlineStr">
        <is>
          <t>VENCIDO</t>
        </is>
      </c>
      <c r="BN814" t="inlineStr">
        <is>
          <t>No</t>
        </is>
      </c>
      <c r="BO814" s="117" t="n">
        <v>45834.63611111111</v>
      </c>
      <c r="BP814" t="inlineStr">
        <is>
          <t>Magaly Guevara Perez</t>
        </is>
      </c>
      <c r="BR814" t="n">
        <v>50</v>
      </c>
      <c r="BT814" t="n">
        <v>0</v>
      </c>
      <c r="BX814" t="inlineStr">
        <is>
          <t>Cobranzas_2026.csv</t>
        </is>
      </c>
      <c r="BY814" t="n">
        <v>2026</v>
      </c>
      <c r="BZ814" t="inlineStr">
        <is>
          <t>01/01/2024</t>
        </is>
      </c>
      <c r="CA814" t="inlineStr">
        <is>
          <t>30/09/2031</t>
        </is>
      </c>
    </row>
    <row r="815">
      <c r="A815" t="inlineStr">
        <is>
          <t>RESIDENCIAL BEYOND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1001</t>
        </is>
      </c>
      <c r="G815" s="39" t="n">
        <v>531100</v>
      </c>
      <c r="H815" s="39" t="n">
        <v>518500</v>
      </c>
      <c r="M815" s="39" t="n"/>
      <c r="N815" s="39" t="n"/>
      <c r="S815" s="39" t="n"/>
      <c r="T815" s="39" t="n"/>
      <c r="Y815" s="39" t="n"/>
      <c r="Z815" s="39" t="n"/>
      <c r="AA815" t="inlineStr">
        <is>
          <t>Tania Jackeline Valladares Timana</t>
        </is>
      </c>
      <c r="AB815" t="inlineStr">
        <is>
          <t>43216992</t>
        </is>
      </c>
      <c r="AC815" t="inlineStr">
        <is>
          <t>Jr. Maria Antonieta 130 Dpto. 301</t>
        </is>
      </c>
      <c r="AD815" t="n">
        <v>0</v>
      </c>
      <c r="AE815" t="inlineStr">
        <is>
          <t>990000227</t>
        </is>
      </c>
      <c r="AF815" t="inlineStr">
        <is>
          <t>tania.valladarest@gmail.com</t>
        </is>
      </c>
      <c r="AG815" t="inlineStr">
        <is>
          <t>LIMA</t>
        </is>
      </c>
      <c r="AH815" t="inlineStr">
        <is>
          <t>SAN MARTIN DE PORRES</t>
        </is>
      </c>
      <c r="AI815" s="116" t="n">
        <v>46053</v>
      </c>
      <c r="AJ815" s="116" t="n"/>
      <c r="AK815" t="inlineStr">
        <is>
          <t>AFP TITULAR</t>
        </is>
      </c>
      <c r="AL815" t="n">
        <v>3</v>
      </c>
      <c r="AM815" t="n">
        <v>12125</v>
      </c>
      <c r="AN815" t="n">
        <v>0</v>
      </c>
      <c r="AO815" t="n">
        <v>0</v>
      </c>
      <c r="AP815" s="39" t="n">
        <v>12125</v>
      </c>
      <c r="AQ815" s="39" t="n">
        <v>0</v>
      </c>
      <c r="AR815" s="39" t="n">
        <v>12125</v>
      </c>
      <c r="AT815" t="inlineStr">
        <is>
          <t>Ahorro</t>
        </is>
      </c>
      <c r="AZ815" t="inlineStr">
        <is>
          <t>No</t>
        </is>
      </c>
      <c r="BC815" t="inlineStr">
        <is>
          <t>VENCIDO</t>
        </is>
      </c>
      <c r="BN815" t="inlineStr">
        <is>
          <t>No</t>
        </is>
      </c>
      <c r="BO815" s="117" t="n">
        <v>45870.43402777778</v>
      </c>
      <c r="BP815" t="inlineStr">
        <is>
          <t>Carla Michue M</t>
        </is>
      </c>
      <c r="BR815" t="n">
        <v>16</v>
      </c>
      <c r="BT815" t="n">
        <v>0</v>
      </c>
      <c r="BX815" t="inlineStr">
        <is>
          <t>Cobranzas_2026.csv</t>
        </is>
      </c>
      <c r="BY815" t="n">
        <v>2026</v>
      </c>
      <c r="BZ815" t="inlineStr">
        <is>
          <t>01/01/2024</t>
        </is>
      </c>
      <c r="CA815" t="inlineStr">
        <is>
          <t>30/09/2031</t>
        </is>
      </c>
    </row>
    <row r="816">
      <c r="A816" t="inlineStr">
        <is>
          <t>RESIDENCIAL BEYOND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1001</t>
        </is>
      </c>
      <c r="G816" s="39" t="n">
        <v>531100</v>
      </c>
      <c r="H816" s="39" t="n">
        <v>518500</v>
      </c>
      <c r="M816" s="39" t="n"/>
      <c r="N816" s="39" t="n"/>
      <c r="S816" s="39" t="n"/>
      <c r="T816" s="39" t="n"/>
      <c r="Y816" s="39" t="n"/>
      <c r="Z816" s="39" t="n"/>
      <c r="AA816" t="inlineStr">
        <is>
          <t>Tania Jackeline Valladares Timana</t>
        </is>
      </c>
      <c r="AB816" t="inlineStr">
        <is>
          <t>43216992</t>
        </is>
      </c>
      <c r="AC816" t="inlineStr">
        <is>
          <t>Jr. Maria Antonieta 130 Dpto. 301</t>
        </is>
      </c>
      <c r="AD816" t="n">
        <v>0</v>
      </c>
      <c r="AE816" t="inlineStr">
        <is>
          <t>990000227</t>
        </is>
      </c>
      <c r="AF816" t="inlineStr">
        <is>
          <t>tania.valladarest@gmail.com</t>
        </is>
      </c>
      <c r="AG816" t="inlineStr">
        <is>
          <t>LIMA</t>
        </is>
      </c>
      <c r="AH816" t="inlineStr">
        <is>
          <t>SAN MARTIN DE PORRES</t>
        </is>
      </c>
      <c r="AI816" s="116" t="n">
        <v>46053</v>
      </c>
      <c r="AJ816" s="116" t="n"/>
      <c r="AK816" t="inlineStr">
        <is>
          <t>SALDO FINANCIAR</t>
        </is>
      </c>
      <c r="AL816" t="n">
        <v>1</v>
      </c>
      <c r="AM816" t="n">
        <v>466650</v>
      </c>
      <c r="AN816" t="n">
        <v>0</v>
      </c>
      <c r="AO816" t="n">
        <v>0</v>
      </c>
      <c r="AP816" s="39" t="n">
        <v>466650</v>
      </c>
      <c r="AQ816" s="39" t="n">
        <v>0</v>
      </c>
      <c r="AR816" s="39" t="n">
        <v>466650</v>
      </c>
      <c r="AT816" t="inlineStr">
        <is>
          <t>Ahorro</t>
        </is>
      </c>
      <c r="AZ816" t="inlineStr">
        <is>
          <t>No</t>
        </is>
      </c>
      <c r="BC816" t="inlineStr">
        <is>
          <t>VENCIDO</t>
        </is>
      </c>
      <c r="BN816" t="inlineStr">
        <is>
          <t>No</t>
        </is>
      </c>
      <c r="BO816" s="117" t="n">
        <v>45870.43402777778</v>
      </c>
      <c r="BP816" t="inlineStr">
        <is>
          <t>Carla Michue M</t>
        </is>
      </c>
      <c r="BR816" t="n">
        <v>16</v>
      </c>
      <c r="BT816" t="n">
        <v>0</v>
      </c>
      <c r="BX816" t="inlineStr">
        <is>
          <t>Cobranzas_2026.csv</t>
        </is>
      </c>
      <c r="BY816" t="n">
        <v>2026</v>
      </c>
      <c r="BZ816" t="inlineStr">
        <is>
          <t>01/01/2024</t>
        </is>
      </c>
      <c r="CA816" t="inlineStr">
        <is>
          <t>30/09/2031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Estacionamiento</t>
        </is>
      </c>
      <c r="F817" t="inlineStr">
        <is>
          <t>E 15 - D 13</t>
        </is>
      </c>
      <c r="G817" s="39" t="n">
        <v>54000</v>
      </c>
      <c r="H817" s="39" t="n">
        <v>54000</v>
      </c>
      <c r="M817" s="39" t="n"/>
      <c r="N817" s="39" t="n"/>
      <c r="S817" s="39" t="n"/>
      <c r="T817" s="39" t="n"/>
      <c r="Y817" s="39" t="n"/>
      <c r="Z817" s="39" t="n"/>
      <c r="AA817" t="inlineStr">
        <is>
          <t>Tania Jackeline Valladares Timana</t>
        </is>
      </c>
      <c r="AB817" t="inlineStr">
        <is>
          <t>43216992</t>
        </is>
      </c>
      <c r="AC817" t="inlineStr">
        <is>
          <t>Jr. Maria Antonieta 130 Dpto. 301</t>
        </is>
      </c>
      <c r="AD817" t="n">
        <v>0</v>
      </c>
      <c r="AE817" t="inlineStr">
        <is>
          <t>990000227</t>
        </is>
      </c>
      <c r="AF817" t="inlineStr">
        <is>
          <t>tania.valladarest@gmail.com</t>
        </is>
      </c>
      <c r="AG817" t="inlineStr">
        <is>
          <t>LIMA</t>
        </is>
      </c>
      <c r="AH817" t="inlineStr">
        <is>
          <t>SAN MARTIN DE PORRES</t>
        </is>
      </c>
      <c r="AI817" s="116" t="n">
        <v>46263</v>
      </c>
      <c r="AJ817" s="116" t="n">
        <v>45912</v>
      </c>
      <c r="AK817" t="inlineStr">
        <is>
          <t>SEPARACION</t>
        </is>
      </c>
      <c r="AL817" t="n">
        <v>1</v>
      </c>
      <c r="AM817" t="n">
        <v>2000</v>
      </c>
      <c r="AN817" t="n">
        <v>0</v>
      </c>
      <c r="AO817" t="n">
        <v>0</v>
      </c>
      <c r="AP817" s="39" t="n">
        <v>2000</v>
      </c>
      <c r="AQ817" s="39" t="n">
        <v>2000</v>
      </c>
      <c r="AR817" s="39" t="n">
        <v>0</v>
      </c>
      <c r="AS817" t="n">
        <v>0</v>
      </c>
      <c r="AT817" t="inlineStr">
        <is>
          <t>Crédito Directo</t>
        </is>
      </c>
      <c r="AU817" t="inlineStr">
        <is>
          <t>Banco de Credito del Perú</t>
        </is>
      </c>
      <c r="AV817" t="inlineStr">
        <is>
          <t>194-7325779-0-65</t>
        </is>
      </c>
      <c r="AW817" t="inlineStr">
        <is>
          <t>TRANSFERENCIA BANCARIA</t>
        </is>
      </c>
      <c r="AY817" t="inlineStr">
        <is>
          <t>01450236</t>
        </is>
      </c>
      <c r="AZ817" t="inlineStr">
        <is>
          <t>No</t>
        </is>
      </c>
      <c r="BB817" t="n">
        <v>4</v>
      </c>
      <c r="BC817" t="inlineStr">
        <is>
          <t>CANCELADO</t>
        </is>
      </c>
      <c r="BN817" t="inlineStr">
        <is>
          <t>Si</t>
        </is>
      </c>
      <c r="BO817" s="117" t="n">
        <v>45912.69236111111</v>
      </c>
      <c r="BP817" t="inlineStr">
        <is>
          <t>Magaly Guevara Perez</t>
        </is>
      </c>
      <c r="BR817" t="n">
        <v>58</v>
      </c>
      <c r="BS817" t="inlineStr">
        <is>
          <t>29/08/2026 16:37</t>
        </is>
      </c>
      <c r="BT817" t="n">
        <v>0</v>
      </c>
      <c r="BX817" t="inlineStr">
        <is>
          <t>Cobranzas_2026.csv</t>
        </is>
      </c>
      <c r="BY817" t="n">
        <v>2026</v>
      </c>
      <c r="BZ817" t="inlineStr">
        <is>
          <t>01/01/2024</t>
        </is>
      </c>
      <c r="CA817" t="inlineStr">
        <is>
          <t>30/09/2031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Estacionamiento</t>
        </is>
      </c>
      <c r="F818" t="inlineStr">
        <is>
          <t>E 15 - D 13</t>
        </is>
      </c>
      <c r="G818" s="39" t="n">
        <v>54000</v>
      </c>
      <c r="H818" s="39" t="n">
        <v>54000</v>
      </c>
      <c r="M818" s="39" t="n"/>
      <c r="N818" s="39" t="n"/>
      <c r="S818" s="39" t="n"/>
      <c r="T818" s="39" t="n"/>
      <c r="Y818" s="39" t="n"/>
      <c r="Z818" s="39" t="n"/>
      <c r="AA818" t="inlineStr">
        <is>
          <t>Tania Jackeline Valladares Timana</t>
        </is>
      </c>
      <c r="AB818" t="inlineStr">
        <is>
          <t>43216992</t>
        </is>
      </c>
      <c r="AC818" t="inlineStr">
        <is>
          <t>Jr. Maria Antonieta 130 Dpto. 301</t>
        </is>
      </c>
      <c r="AD818" t="n">
        <v>0</v>
      </c>
      <c r="AE818" t="inlineStr">
        <is>
          <t>990000227</t>
        </is>
      </c>
      <c r="AF818" t="inlineStr">
        <is>
          <t>tania.valladarest@gmail.com</t>
        </is>
      </c>
      <c r="AG818" t="inlineStr">
        <is>
          <t>LIMA</t>
        </is>
      </c>
      <c r="AH818" t="inlineStr">
        <is>
          <t>SAN MARTIN DE PORRES</t>
        </is>
      </c>
      <c r="AI818" s="116" t="n">
        <v>46261</v>
      </c>
      <c r="AJ818" s="116" t="n">
        <v>45927</v>
      </c>
      <c r="AK818" t="inlineStr">
        <is>
          <t>CUOTA INICIAL</t>
        </is>
      </c>
      <c r="AL818" t="n">
        <v>1</v>
      </c>
      <c r="AM818" t="n">
        <v>1500</v>
      </c>
      <c r="AN818" t="n">
        <v>0</v>
      </c>
      <c r="AO818" t="n">
        <v>0</v>
      </c>
      <c r="AP818" s="39" t="n">
        <v>1500</v>
      </c>
      <c r="AQ818" s="39" t="n">
        <v>1500</v>
      </c>
      <c r="AR818" s="39" t="n">
        <v>0</v>
      </c>
      <c r="AS818" t="n">
        <v>0</v>
      </c>
      <c r="AT818" t="inlineStr">
        <is>
          <t>Crédito Directo</t>
        </is>
      </c>
      <c r="AU818" t="inlineStr">
        <is>
          <t>Banco de Credito del Perú</t>
        </is>
      </c>
      <c r="AV818" t="inlineStr">
        <is>
          <t>194-7325779-0-65</t>
        </is>
      </c>
      <c r="AW818" t="inlineStr">
        <is>
          <t>TRANSFERENCIA BANCARIA</t>
        </is>
      </c>
      <c r="AY818" t="inlineStr">
        <is>
          <t>00444428</t>
        </is>
      </c>
      <c r="AZ818" t="inlineStr">
        <is>
          <t>No</t>
        </is>
      </c>
      <c r="BB818" t="n">
        <v>4</v>
      </c>
      <c r="BC818" t="inlineStr">
        <is>
          <t>CANCELADO</t>
        </is>
      </c>
      <c r="BN818" t="inlineStr">
        <is>
          <t>Si</t>
        </is>
      </c>
      <c r="BO818" s="117" t="n">
        <v>45912.69236111111</v>
      </c>
      <c r="BP818" t="inlineStr">
        <is>
          <t>Magaly Guevara Perez</t>
        </is>
      </c>
      <c r="BR818" t="n">
        <v>58</v>
      </c>
      <c r="BS818" t="inlineStr">
        <is>
          <t>29/08/2026 16:38</t>
        </is>
      </c>
      <c r="BT818" t="n">
        <v>0</v>
      </c>
      <c r="BX818" t="inlineStr">
        <is>
          <t>Cobranzas_2026.csv</t>
        </is>
      </c>
      <c r="BY818" t="n">
        <v>2026</v>
      </c>
      <c r="BZ818" t="inlineStr">
        <is>
          <t>01/01/2024</t>
        </is>
      </c>
      <c r="CA818" t="inlineStr">
        <is>
          <t>30/09/2031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Estacionamiento</t>
        </is>
      </c>
      <c r="F819" t="inlineStr">
        <is>
          <t>E 15 - D 13</t>
        </is>
      </c>
      <c r="G819" s="39" t="n">
        <v>54000</v>
      </c>
      <c r="H819" s="39" t="n">
        <v>54000</v>
      </c>
      <c r="M819" s="39" t="n"/>
      <c r="N819" s="39" t="n"/>
      <c r="S819" s="39" t="n"/>
      <c r="T819" s="39" t="n"/>
      <c r="Y819" s="39" t="n"/>
      <c r="Z819" s="39" t="n"/>
      <c r="AA819" t="inlineStr">
        <is>
          <t>Tania Jackeline Valladares Timana</t>
        </is>
      </c>
      <c r="AB819" t="inlineStr">
        <is>
          <t>43216992</t>
        </is>
      </c>
      <c r="AC819" t="inlineStr">
        <is>
          <t>Jr. Maria Antonieta 130 Dpto. 301</t>
        </is>
      </c>
      <c r="AD819" t="n">
        <v>0</v>
      </c>
      <c r="AE819" t="inlineStr">
        <is>
          <t>990000227</t>
        </is>
      </c>
      <c r="AF819" t="inlineStr">
        <is>
          <t>tania.valladarest@gmail.com</t>
        </is>
      </c>
      <c r="AG819" t="inlineStr">
        <is>
          <t>LIMA</t>
        </is>
      </c>
      <c r="AH819" t="inlineStr">
        <is>
          <t>SAN MARTIN DE PORRES</t>
        </is>
      </c>
      <c r="AI819" s="116" t="n">
        <v>46146</v>
      </c>
      <c r="AJ819" s="116" t="n">
        <v>46146</v>
      </c>
      <c r="AK819" t="inlineStr">
        <is>
          <t>SALDO FINANCIAR</t>
        </is>
      </c>
      <c r="AL819" t="n">
        <v>2</v>
      </c>
      <c r="AM819" t="n">
        <v>6000</v>
      </c>
      <c r="AN819" t="n">
        <v>0</v>
      </c>
      <c r="AO819" t="n">
        <v>0</v>
      </c>
      <c r="AP819" s="39" t="n">
        <v>6000</v>
      </c>
      <c r="AQ819" s="39" t="n">
        <v>6000</v>
      </c>
      <c r="AR819" s="39" t="n">
        <v>0</v>
      </c>
      <c r="AS819" t="n">
        <v>0</v>
      </c>
      <c r="AT819" t="inlineStr">
        <is>
          <t>Crédito Directo</t>
        </is>
      </c>
      <c r="AU819" t="inlineStr">
        <is>
          <t>Banco de Credito del Perú</t>
        </is>
      </c>
      <c r="AV819" t="inlineStr">
        <is>
          <t>194-7325779-0-65</t>
        </is>
      </c>
      <c r="AW819" t="inlineStr">
        <is>
          <t>TRANSFERENCIA BANCARIA</t>
        </is>
      </c>
      <c r="AY819" t="inlineStr">
        <is>
          <t>00654590</t>
        </is>
      </c>
      <c r="AZ819" t="inlineStr">
        <is>
          <t>No</t>
        </is>
      </c>
      <c r="BB819" t="n">
        <v>4</v>
      </c>
      <c r="BC819" t="inlineStr">
        <is>
          <t>CANCELADO</t>
        </is>
      </c>
      <c r="BN819" t="inlineStr">
        <is>
          <t>Si</t>
        </is>
      </c>
      <c r="BO819" s="117" t="n">
        <v>45912.69236111111</v>
      </c>
      <c r="BP819" t="inlineStr">
        <is>
          <t>Magaly Guevara Perez</t>
        </is>
      </c>
      <c r="BR819" t="n">
        <v>58</v>
      </c>
      <c r="BS819" t="inlineStr">
        <is>
          <t>29/08/2026 16:44</t>
        </is>
      </c>
      <c r="BT819" t="n">
        <v>0</v>
      </c>
      <c r="BX819" t="inlineStr">
        <is>
          <t>Cobranzas_2026.csv</t>
        </is>
      </c>
      <c r="BY819" t="n">
        <v>2026</v>
      </c>
      <c r="BZ819" t="inlineStr">
        <is>
          <t>01/01/2024</t>
        </is>
      </c>
      <c r="CA819" t="inlineStr">
        <is>
          <t>30/09/2031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Estacionamiento</t>
        </is>
      </c>
      <c r="F820" t="inlineStr">
        <is>
          <t>E 15 - D 13</t>
        </is>
      </c>
      <c r="G820" s="39" t="n">
        <v>54000</v>
      </c>
      <c r="H820" s="39" t="n">
        <v>54000</v>
      </c>
      <c r="M820" s="39" t="n"/>
      <c r="N820" s="39" t="n"/>
      <c r="S820" s="39" t="n"/>
      <c r="T820" s="39" t="n"/>
      <c r="Y820" s="39" t="n"/>
      <c r="Z820" s="39" t="n"/>
      <c r="AA820" t="inlineStr">
        <is>
          <t>Tania Jackeline Valladares Timana</t>
        </is>
      </c>
      <c r="AB820" t="inlineStr">
        <is>
          <t>43216992</t>
        </is>
      </c>
      <c r="AC820" t="inlineStr">
        <is>
          <t>Jr. Maria Antonieta 130 Dpto. 301</t>
        </is>
      </c>
      <c r="AD820" t="n">
        <v>0</v>
      </c>
      <c r="AE820" t="inlineStr">
        <is>
          <t>990000227</t>
        </is>
      </c>
      <c r="AF820" t="inlineStr">
        <is>
          <t>tania.valladarest@gmail.com</t>
        </is>
      </c>
      <c r="AG820" t="inlineStr">
        <is>
          <t>LIMA</t>
        </is>
      </c>
      <c r="AH820" t="inlineStr">
        <is>
          <t>SAN MARTIN DE PORRES</t>
        </is>
      </c>
      <c r="AI820" s="116" t="n">
        <v>46025</v>
      </c>
      <c r="AJ820" s="116" t="n"/>
      <c r="AK820" t="inlineStr">
        <is>
          <t>SALDO FINANCIAR</t>
        </is>
      </c>
      <c r="AL820" t="n">
        <v>4</v>
      </c>
      <c r="AM820" t="n">
        <v>800</v>
      </c>
      <c r="AN820" t="n">
        <v>0</v>
      </c>
      <c r="AO820" t="n">
        <v>0</v>
      </c>
      <c r="AP820" s="39" t="n">
        <v>800</v>
      </c>
      <c r="AQ820" s="39" t="n">
        <v>0</v>
      </c>
      <c r="AR820" s="39" t="n">
        <v>800</v>
      </c>
      <c r="AT820" t="inlineStr">
        <is>
          <t>Crédito Directo</t>
        </is>
      </c>
      <c r="AZ820" t="inlineStr">
        <is>
          <t>No</t>
        </is>
      </c>
      <c r="BC820" t="inlineStr">
        <is>
          <t>VENCIDO</t>
        </is>
      </c>
      <c r="BN820" t="inlineStr">
        <is>
          <t>No</t>
        </is>
      </c>
      <c r="BO820" s="117" t="n">
        <v>45912.69236111111</v>
      </c>
      <c r="BP820" t="inlineStr">
        <is>
          <t>Magaly Guevara Perez</t>
        </is>
      </c>
      <c r="BR820" t="n">
        <v>58</v>
      </c>
      <c r="BT820" t="n">
        <v>0</v>
      </c>
      <c r="BX820" t="inlineStr">
        <is>
          <t>Cobranzas_2026.csv</t>
        </is>
      </c>
      <c r="BY820" t="n">
        <v>2026</v>
      </c>
      <c r="BZ820" t="inlineStr">
        <is>
          <t>01/01/2024</t>
        </is>
      </c>
      <c r="CA820" t="inlineStr">
        <is>
          <t>30/09/2031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Estacionamiento</t>
        </is>
      </c>
      <c r="F821" t="inlineStr">
        <is>
          <t>E 15 - D 13</t>
        </is>
      </c>
      <c r="G821" s="39" t="n">
        <v>54000</v>
      </c>
      <c r="H821" s="39" t="n">
        <v>54000</v>
      </c>
      <c r="M821" s="39" t="n"/>
      <c r="N821" s="39" t="n"/>
      <c r="S821" s="39" t="n"/>
      <c r="T821" s="39" t="n"/>
      <c r="Y821" s="39" t="n"/>
      <c r="Z821" s="39" t="n"/>
      <c r="AA821" t="inlineStr">
        <is>
          <t>Tania Jackeline Valladares Timana</t>
        </is>
      </c>
      <c r="AB821" t="inlineStr">
        <is>
          <t>43216992</t>
        </is>
      </c>
      <c r="AC821" t="inlineStr">
        <is>
          <t>Jr. Maria Antonieta 130 Dpto. 301</t>
        </is>
      </c>
      <c r="AD821" t="n">
        <v>0</v>
      </c>
      <c r="AE821" t="inlineStr">
        <is>
          <t>990000227</t>
        </is>
      </c>
      <c r="AF821" t="inlineStr">
        <is>
          <t>tania.valladarest@gmail.com</t>
        </is>
      </c>
      <c r="AG821" t="inlineStr">
        <is>
          <t>LIMA</t>
        </is>
      </c>
      <c r="AH821" t="inlineStr">
        <is>
          <t>SAN MARTIN DE PORRES</t>
        </is>
      </c>
      <c r="AI821" s="116" t="n">
        <v>46056</v>
      </c>
      <c r="AJ821" s="116" t="n"/>
      <c r="AK821" t="inlineStr">
        <is>
          <t>SALDO FINANCIAR</t>
        </is>
      </c>
      <c r="AL821" t="n">
        <v>5</v>
      </c>
      <c r="AM821" t="n">
        <v>800</v>
      </c>
      <c r="AN821" t="n">
        <v>0</v>
      </c>
      <c r="AO821" t="n">
        <v>0</v>
      </c>
      <c r="AP821" s="39" t="n">
        <v>800</v>
      </c>
      <c r="AQ821" s="39" t="n">
        <v>0</v>
      </c>
      <c r="AR821" s="39" t="n">
        <v>800</v>
      </c>
      <c r="AT821" t="inlineStr">
        <is>
          <t>Crédito Directo</t>
        </is>
      </c>
      <c r="AZ821" t="inlineStr">
        <is>
          <t>No</t>
        </is>
      </c>
      <c r="BC821" t="inlineStr">
        <is>
          <t>VENCIDO</t>
        </is>
      </c>
      <c r="BN821" t="inlineStr">
        <is>
          <t>No</t>
        </is>
      </c>
      <c r="BO821" s="117" t="n">
        <v>45912.69236111111</v>
      </c>
      <c r="BP821" t="inlineStr">
        <is>
          <t>Magaly Guevara Perez</t>
        </is>
      </c>
      <c r="BR821" t="n">
        <v>58</v>
      </c>
      <c r="BT821" t="n">
        <v>0</v>
      </c>
      <c r="BX821" t="inlineStr">
        <is>
          <t>Cobranzas_2026.csv</t>
        </is>
      </c>
      <c r="BY821" t="n">
        <v>2026</v>
      </c>
      <c r="BZ821" t="inlineStr">
        <is>
          <t>01/01/2024</t>
        </is>
      </c>
      <c r="CA821" t="inlineStr">
        <is>
          <t>30/09/2031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Estacionamiento</t>
        </is>
      </c>
      <c r="F822" t="inlineStr">
        <is>
          <t>E 15 - D 13</t>
        </is>
      </c>
      <c r="G822" s="39" t="n">
        <v>54000</v>
      </c>
      <c r="H822" s="39" t="n">
        <v>54000</v>
      </c>
      <c r="M822" s="39" t="n"/>
      <c r="N822" s="39" t="n"/>
      <c r="S822" s="39" t="n"/>
      <c r="T822" s="39" t="n"/>
      <c r="Y822" s="39" t="n"/>
      <c r="Z822" s="39" t="n"/>
      <c r="AA822" t="inlineStr">
        <is>
          <t>Tania Jackeline Valladares Timana</t>
        </is>
      </c>
      <c r="AB822" t="inlineStr">
        <is>
          <t>43216992</t>
        </is>
      </c>
      <c r="AC822" t="inlineStr">
        <is>
          <t>Jr. Maria Antonieta 130 Dpto. 301</t>
        </is>
      </c>
      <c r="AD822" t="n">
        <v>0</v>
      </c>
      <c r="AE822" t="inlineStr">
        <is>
          <t>990000227</t>
        </is>
      </c>
      <c r="AF822" t="inlineStr">
        <is>
          <t>tania.valladarest@gmail.com</t>
        </is>
      </c>
      <c r="AG822" t="inlineStr">
        <is>
          <t>LIMA</t>
        </is>
      </c>
      <c r="AH822" t="inlineStr">
        <is>
          <t>SAN MARTIN DE PORRES</t>
        </is>
      </c>
      <c r="AI822" s="116" t="n">
        <v>46084</v>
      </c>
      <c r="AJ822" s="116" t="n"/>
      <c r="AK822" t="inlineStr">
        <is>
          <t>SALDO FINANCIAR</t>
        </is>
      </c>
      <c r="AL822" t="n">
        <v>6</v>
      </c>
      <c r="AM822" t="n">
        <v>800</v>
      </c>
      <c r="AN822" t="n">
        <v>0</v>
      </c>
      <c r="AO822" t="n">
        <v>0</v>
      </c>
      <c r="AP822" s="39" t="n">
        <v>800</v>
      </c>
      <c r="AQ822" s="39" t="n">
        <v>0</v>
      </c>
      <c r="AR822" s="39" t="n">
        <v>800</v>
      </c>
      <c r="AT822" t="inlineStr">
        <is>
          <t>Crédito Directo</t>
        </is>
      </c>
      <c r="AZ822" t="inlineStr">
        <is>
          <t>No</t>
        </is>
      </c>
      <c r="BC822" t="inlineStr">
        <is>
          <t>VENCIDO</t>
        </is>
      </c>
      <c r="BN822" t="inlineStr">
        <is>
          <t>No</t>
        </is>
      </c>
      <c r="BO822" s="117" t="n">
        <v>45912.69236111111</v>
      </c>
      <c r="BP822" t="inlineStr">
        <is>
          <t>Magaly Guevara Perez</t>
        </is>
      </c>
      <c r="BR822" t="n">
        <v>58</v>
      </c>
      <c r="BT822" t="n">
        <v>0</v>
      </c>
      <c r="BX822" t="inlineStr">
        <is>
          <t>Cobranzas_2026.csv</t>
        </is>
      </c>
      <c r="BY822" t="n">
        <v>2026</v>
      </c>
      <c r="BZ822" t="inlineStr">
        <is>
          <t>01/01/2024</t>
        </is>
      </c>
      <c r="CA822" t="inlineStr">
        <is>
          <t>30/09/2031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Estacionamiento</t>
        </is>
      </c>
      <c r="F823" t="inlineStr">
        <is>
          <t>E 15 - D 13</t>
        </is>
      </c>
      <c r="G823" s="39" t="n">
        <v>54000</v>
      </c>
      <c r="H823" s="39" t="n">
        <v>54000</v>
      </c>
      <c r="M823" s="39" t="n"/>
      <c r="N823" s="39" t="n"/>
      <c r="S823" s="39" t="n"/>
      <c r="T823" s="39" t="n"/>
      <c r="Y823" s="39" t="n"/>
      <c r="Z823" s="39" t="n"/>
      <c r="AA823" t="inlineStr">
        <is>
          <t>Tania Jackeline Valladares Timana</t>
        </is>
      </c>
      <c r="AB823" t="inlineStr">
        <is>
          <t>43216992</t>
        </is>
      </c>
      <c r="AC823" t="inlineStr">
        <is>
          <t>Jr. Maria Antonieta 130 Dpto. 301</t>
        </is>
      </c>
      <c r="AD823" t="n">
        <v>0</v>
      </c>
      <c r="AE823" t="inlineStr">
        <is>
          <t>990000227</t>
        </is>
      </c>
      <c r="AF823" t="inlineStr">
        <is>
          <t>tania.valladarest@gmail.com</t>
        </is>
      </c>
      <c r="AG823" t="inlineStr">
        <is>
          <t>LIMA</t>
        </is>
      </c>
      <c r="AH823" t="inlineStr">
        <is>
          <t>SAN MARTIN DE PORRES</t>
        </is>
      </c>
      <c r="AI823" s="116" t="n">
        <v>46115</v>
      </c>
      <c r="AJ823" s="116" t="n"/>
      <c r="AK823" t="inlineStr">
        <is>
          <t>SALDO FINANCIAR</t>
        </is>
      </c>
      <c r="AL823" t="n">
        <v>7</v>
      </c>
      <c r="AM823" t="n">
        <v>800</v>
      </c>
      <c r="AN823" t="n">
        <v>0</v>
      </c>
      <c r="AO823" t="n">
        <v>0</v>
      </c>
      <c r="AP823" s="39" t="n">
        <v>800</v>
      </c>
      <c r="AQ823" s="39" t="n">
        <v>0</v>
      </c>
      <c r="AR823" s="39" t="n">
        <v>800</v>
      </c>
      <c r="AT823" t="inlineStr">
        <is>
          <t>Crédito Directo</t>
        </is>
      </c>
      <c r="AZ823" t="inlineStr">
        <is>
          <t>No</t>
        </is>
      </c>
      <c r="BC823" t="inlineStr">
        <is>
          <t>VENCIDO</t>
        </is>
      </c>
      <c r="BN823" t="inlineStr">
        <is>
          <t>No</t>
        </is>
      </c>
      <c r="BO823" s="117" t="n">
        <v>45912.69236111111</v>
      </c>
      <c r="BP823" t="inlineStr">
        <is>
          <t>Magaly Guevara Perez</t>
        </is>
      </c>
      <c r="BR823" t="n">
        <v>58</v>
      </c>
      <c r="BT823" t="n">
        <v>0</v>
      </c>
      <c r="BX823" t="inlineStr">
        <is>
          <t>Cobranzas_2026.csv</t>
        </is>
      </c>
      <c r="BY823" t="n">
        <v>2026</v>
      </c>
      <c r="BZ823" t="inlineStr">
        <is>
          <t>01/01/2024</t>
        </is>
      </c>
      <c r="CA823" t="inlineStr">
        <is>
          <t>30/09/2031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Estacionamiento</t>
        </is>
      </c>
      <c r="F824" t="inlineStr">
        <is>
          <t>E 15 - D 13</t>
        </is>
      </c>
      <c r="G824" s="39" t="n">
        <v>54000</v>
      </c>
      <c r="H824" s="39" t="n">
        <v>54000</v>
      </c>
      <c r="M824" s="39" t="n"/>
      <c r="N824" s="39" t="n"/>
      <c r="S824" s="39" t="n"/>
      <c r="T824" s="39" t="n"/>
      <c r="Y824" s="39" t="n"/>
      <c r="Z824" s="39" t="n"/>
      <c r="AA824" t="inlineStr">
        <is>
          <t>Tania Jackeline Valladares Timana</t>
        </is>
      </c>
      <c r="AB824" t="inlineStr">
        <is>
          <t>43216992</t>
        </is>
      </c>
      <c r="AC824" t="inlineStr">
        <is>
          <t>Jr. Maria Antonieta 130 Dpto. 301</t>
        </is>
      </c>
      <c r="AD824" t="n">
        <v>0</v>
      </c>
      <c r="AE824" t="inlineStr">
        <is>
          <t>990000227</t>
        </is>
      </c>
      <c r="AF824" t="inlineStr">
        <is>
          <t>tania.valladarest@gmail.com</t>
        </is>
      </c>
      <c r="AG824" t="inlineStr">
        <is>
          <t>LIMA</t>
        </is>
      </c>
      <c r="AH824" t="inlineStr">
        <is>
          <t>SAN MARTIN DE PORRES</t>
        </is>
      </c>
      <c r="AI824" s="116" t="n">
        <v>46145</v>
      </c>
      <c r="AJ824" s="116" t="n"/>
      <c r="AK824" t="inlineStr">
        <is>
          <t>SALDO FINANCIAR</t>
        </is>
      </c>
      <c r="AL824" t="n">
        <v>8</v>
      </c>
      <c r="AM824" t="n">
        <v>1000</v>
      </c>
      <c r="AN824" t="n">
        <v>0</v>
      </c>
      <c r="AO824" t="n">
        <v>0</v>
      </c>
      <c r="AP824" s="39" t="n">
        <v>1000</v>
      </c>
      <c r="AQ824" s="39" t="n">
        <v>0</v>
      </c>
      <c r="AR824" s="39" t="n">
        <v>1000</v>
      </c>
      <c r="AT824" t="inlineStr">
        <is>
          <t>Crédito Directo</t>
        </is>
      </c>
      <c r="AZ824" t="inlineStr">
        <is>
          <t>No</t>
        </is>
      </c>
      <c r="BC824" t="inlineStr">
        <is>
          <t>VENCIDO</t>
        </is>
      </c>
      <c r="BN824" t="inlineStr">
        <is>
          <t>No</t>
        </is>
      </c>
      <c r="BO824" s="117" t="n">
        <v>45912.69236111111</v>
      </c>
      <c r="BP824" t="inlineStr">
        <is>
          <t>Magaly Guevara Perez</t>
        </is>
      </c>
      <c r="BR824" t="n">
        <v>58</v>
      </c>
      <c r="BT824" t="n">
        <v>0</v>
      </c>
      <c r="BX824" t="inlineStr">
        <is>
          <t>Cobranzas_2026.csv</t>
        </is>
      </c>
      <c r="BY824" t="n">
        <v>2026</v>
      </c>
      <c r="BZ824" t="inlineStr">
        <is>
          <t>01/01/2024</t>
        </is>
      </c>
      <c r="CA824" t="inlineStr">
        <is>
          <t>30/09/2031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Estacionamiento</t>
        </is>
      </c>
      <c r="F825" t="inlineStr">
        <is>
          <t>E 15 - D 13</t>
        </is>
      </c>
      <c r="G825" s="39" t="n">
        <v>54000</v>
      </c>
      <c r="H825" s="39" t="n">
        <v>54000</v>
      </c>
      <c r="M825" s="39" t="n"/>
      <c r="N825" s="39" t="n"/>
      <c r="S825" s="39" t="n"/>
      <c r="T825" s="39" t="n"/>
      <c r="Y825" s="39" t="n"/>
      <c r="Z825" s="39" t="n"/>
      <c r="AA825" t="inlineStr">
        <is>
          <t>Tania Jackeline Valladares Timana</t>
        </is>
      </c>
      <c r="AB825" t="inlineStr">
        <is>
          <t>43216992</t>
        </is>
      </c>
      <c r="AC825" t="inlineStr">
        <is>
          <t>Jr. Maria Antonieta 130 Dpto. 301</t>
        </is>
      </c>
      <c r="AD825" t="n">
        <v>0</v>
      </c>
      <c r="AE825" t="inlineStr">
        <is>
          <t>990000227</t>
        </is>
      </c>
      <c r="AF825" t="inlineStr">
        <is>
          <t>tania.valladarest@gmail.com</t>
        </is>
      </c>
      <c r="AG825" t="inlineStr">
        <is>
          <t>LIMA</t>
        </is>
      </c>
      <c r="AH825" t="inlineStr">
        <is>
          <t>SAN MARTIN DE PORRES</t>
        </is>
      </c>
      <c r="AI825" s="116" t="n">
        <v>46176</v>
      </c>
      <c r="AJ825" s="116" t="n"/>
      <c r="AK825" t="inlineStr">
        <is>
          <t>SALDO FINANCIAR</t>
        </is>
      </c>
      <c r="AL825" t="n">
        <v>9</v>
      </c>
      <c r="AM825" t="n">
        <v>34200</v>
      </c>
      <c r="AN825" t="n">
        <v>0</v>
      </c>
      <c r="AO825" t="n">
        <v>0</v>
      </c>
      <c r="AP825" s="39" t="n">
        <v>34200</v>
      </c>
      <c r="AQ825" s="39" t="n">
        <v>0</v>
      </c>
      <c r="AR825" s="39" t="n">
        <v>34200</v>
      </c>
      <c r="AT825" t="inlineStr">
        <is>
          <t>Crédito Directo</t>
        </is>
      </c>
      <c r="AZ825" t="inlineStr">
        <is>
          <t>No</t>
        </is>
      </c>
      <c r="BC825" t="inlineStr">
        <is>
          <t>VENCIDO</t>
        </is>
      </c>
      <c r="BN825" t="inlineStr">
        <is>
          <t>No</t>
        </is>
      </c>
      <c r="BO825" s="117" t="n">
        <v>45912.69236111111</v>
      </c>
      <c r="BP825" t="inlineStr">
        <is>
          <t>Magaly Guevara Perez</t>
        </is>
      </c>
      <c r="BR825" t="n">
        <v>58</v>
      </c>
      <c r="BT825" t="n">
        <v>0</v>
      </c>
      <c r="BX825" t="inlineStr">
        <is>
          <t>Cobranzas_2026.csv</t>
        </is>
      </c>
      <c r="BY825" t="n">
        <v>2026</v>
      </c>
      <c r="BZ825" t="inlineStr">
        <is>
          <t>01/01/2024</t>
        </is>
      </c>
      <c r="CA825" t="inlineStr">
        <is>
          <t>30/09/2031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205</t>
        </is>
      </c>
      <c r="G826" s="39" t="n">
        <v>587000</v>
      </c>
      <c r="H826" s="39" t="n">
        <v>577000</v>
      </c>
      <c r="M826" s="39" t="n"/>
      <c r="N826" s="39" t="n"/>
      <c r="S826" s="39" t="n"/>
      <c r="T826" s="39" t="n"/>
      <c r="Y826" s="39" t="n"/>
      <c r="Z826" s="39" t="n"/>
      <c r="AA826" t="inlineStr">
        <is>
          <t>Tania Milagros Cotrina Vara</t>
        </is>
      </c>
      <c r="AB826" t="inlineStr">
        <is>
          <t>10140034</t>
        </is>
      </c>
      <c r="AC826" t="inlineStr">
        <is>
          <t>Av. Arnaldo Marquez 1526 Dpto. 26</t>
        </is>
      </c>
      <c r="AD826" t="n">
        <v>0</v>
      </c>
      <c r="AE826" t="inlineStr">
        <is>
          <t>941461159</t>
        </is>
      </c>
      <c r="AF826" t="inlineStr">
        <is>
          <t>tamicov@hotmail.com</t>
        </is>
      </c>
      <c r="AG826" t="inlineStr">
        <is>
          <t>LIMA</t>
        </is>
      </c>
      <c r="AH826" t="inlineStr">
        <is>
          <t>JESUS MARIA</t>
        </is>
      </c>
      <c r="AI826" s="116" t="n">
        <v>46267</v>
      </c>
      <c r="AJ826" s="116" t="n">
        <v>46267</v>
      </c>
      <c r="AK826" t="inlineStr">
        <is>
          <t>CUOTA INICIAL</t>
        </is>
      </c>
      <c r="AL826" t="n">
        <v>2</v>
      </c>
      <c r="AM826" t="n">
        <v>27600</v>
      </c>
      <c r="AN826" t="n">
        <v>0</v>
      </c>
      <c r="AO826" t="n">
        <v>0</v>
      </c>
      <c r="AP826" s="39" t="n">
        <v>27600</v>
      </c>
      <c r="AQ826" s="39" t="n">
        <v>27600</v>
      </c>
      <c r="AR826" s="39" t="n">
        <v>0</v>
      </c>
      <c r="AS826" t="n">
        <v>0</v>
      </c>
      <c r="AT826" t="inlineStr">
        <is>
          <t>Ahorro</t>
        </is>
      </c>
      <c r="AU826" t="inlineStr">
        <is>
          <t>Banco de Credito del Perú</t>
        </is>
      </c>
      <c r="AV826" t="inlineStr">
        <is>
          <t>194-7325779-0-65</t>
        </is>
      </c>
      <c r="AW826" t="inlineStr">
        <is>
          <t>TRANSFERENCIA BANCARIA</t>
        </is>
      </c>
      <c r="AY826" t="inlineStr">
        <is>
          <t>0324230</t>
        </is>
      </c>
      <c r="AZ826" t="inlineStr">
        <is>
          <t>Si</t>
        </is>
      </c>
      <c r="BA826" t="inlineStr">
        <is>
          <t>NO PRECISA</t>
        </is>
      </c>
      <c r="BB826" t="n">
        <v>4</v>
      </c>
      <c r="BC826" t="inlineStr">
        <is>
          <t>CANCELADO</t>
        </is>
      </c>
      <c r="BN826" t="inlineStr">
        <is>
          <t>Si</t>
        </is>
      </c>
      <c r="BO826" s="117" t="n">
        <v>45918.41597222222</v>
      </c>
      <c r="BP826" t="inlineStr">
        <is>
          <t>Magaly Guevara Perez</t>
        </is>
      </c>
      <c r="BR826" t="n">
        <v>4</v>
      </c>
      <c r="BS826" t="inlineStr">
        <is>
          <t>02/09/2026 14:35</t>
        </is>
      </c>
      <c r="BT826" t="n">
        <v>0</v>
      </c>
      <c r="BX826" t="inlineStr">
        <is>
          <t>Cobranzas_2026.csv</t>
        </is>
      </c>
      <c r="BY826" t="n">
        <v>2026</v>
      </c>
      <c r="BZ826" t="inlineStr">
        <is>
          <t>01/01/2024</t>
        </is>
      </c>
      <c r="CA826" t="inlineStr">
        <is>
          <t>30/09/2031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205</t>
        </is>
      </c>
      <c r="G827" s="39" t="n">
        <v>587000</v>
      </c>
      <c r="H827" s="39" t="n">
        <v>577000</v>
      </c>
      <c r="M827" s="39" t="n"/>
      <c r="N827" s="39" t="n"/>
      <c r="S827" s="39" t="n"/>
      <c r="T827" s="39" t="n"/>
      <c r="Y827" s="39" t="n"/>
      <c r="Z827" s="39" t="n"/>
      <c r="AA827" t="inlineStr">
        <is>
          <t>Tania Milagros Cotrina Vara</t>
        </is>
      </c>
      <c r="AB827" t="inlineStr">
        <is>
          <t>10140034</t>
        </is>
      </c>
      <c r="AC827" t="inlineStr">
        <is>
          <t>Av. Arnaldo Marquez 1526 Dpto. 26</t>
        </is>
      </c>
      <c r="AD827" t="n">
        <v>0</v>
      </c>
      <c r="AE827" t="inlineStr">
        <is>
          <t>941461159</t>
        </is>
      </c>
      <c r="AF827" t="inlineStr">
        <is>
          <t>tamicov@hotmail.com</t>
        </is>
      </c>
      <c r="AG827" t="inlineStr">
        <is>
          <t>LIMA</t>
        </is>
      </c>
      <c r="AH827" t="inlineStr">
        <is>
          <t>JESUS MARIA</t>
        </is>
      </c>
      <c r="AI827" s="116" t="n">
        <v>46234</v>
      </c>
      <c r="AJ827" s="116" t="n"/>
      <c r="AK827" t="inlineStr">
        <is>
          <t>SALDO FINANCIAR</t>
        </is>
      </c>
      <c r="AL827" t="n">
        <v>1</v>
      </c>
      <c r="AM827" t="n">
        <v>457000</v>
      </c>
      <c r="AN827" t="n">
        <v>0</v>
      </c>
      <c r="AO827" t="n">
        <v>0</v>
      </c>
      <c r="AP827" s="39" t="n">
        <v>457000</v>
      </c>
      <c r="AQ827" s="39" t="n">
        <v>0</v>
      </c>
      <c r="AR827" s="39" t="n">
        <v>457000</v>
      </c>
      <c r="AT827" t="inlineStr">
        <is>
          <t>Ahorro</t>
        </is>
      </c>
      <c r="AZ827" t="inlineStr">
        <is>
          <t>No</t>
        </is>
      </c>
      <c r="BC827" t="inlineStr">
        <is>
          <t>VENCIDO</t>
        </is>
      </c>
      <c r="BN827" t="inlineStr">
        <is>
          <t>No</t>
        </is>
      </c>
      <c r="BO827" s="117" t="n">
        <v>45918.41597222222</v>
      </c>
      <c r="BP827" t="inlineStr">
        <is>
          <t>Magaly Guevara Perez</t>
        </is>
      </c>
      <c r="BR827" t="n">
        <v>4</v>
      </c>
      <c r="BT827" t="n">
        <v>0</v>
      </c>
      <c r="BX827" t="inlineStr">
        <is>
          <t>Cobranzas_2026.csv</t>
        </is>
      </c>
      <c r="BY827" t="n">
        <v>2026</v>
      </c>
      <c r="BZ827" t="inlineStr">
        <is>
          <t>01/01/2024</t>
        </is>
      </c>
      <c r="CA827" t="inlineStr">
        <is>
          <t>30/09/2031</t>
        </is>
      </c>
    </row>
    <row r="828">
      <c r="A828" t="inlineStr">
        <is>
          <t>RESIDENCIAL VENECIA</t>
        </is>
      </c>
      <c r="B828" t="inlineStr">
        <is>
          <t>Etapa 1</t>
        </is>
      </c>
      <c r="C828" t="inlineStr">
        <is>
          <t>Edificio</t>
        </is>
      </c>
      <c r="D828" t="inlineStr">
        <is>
          <t>A</t>
        </is>
      </c>
      <c r="E828" t="inlineStr">
        <is>
          <t>Departamento</t>
        </is>
      </c>
      <c r="F828" t="inlineStr">
        <is>
          <t>402</t>
        </is>
      </c>
      <c r="G828" s="39" t="n">
        <v>623000</v>
      </c>
      <c r="H828" s="39" t="n">
        <v>623000</v>
      </c>
      <c r="M828" s="39" t="n"/>
      <c r="N828" s="39" t="n"/>
      <c r="S828" s="39" t="n"/>
      <c r="T828" s="39" t="n"/>
      <c r="Y828" s="39" t="n"/>
      <c r="Z828" s="39" t="n"/>
      <c r="AA828" t="inlineStr">
        <is>
          <t>Ubaldo Yovera Puruguay</t>
        </is>
      </c>
      <c r="AB828" t="inlineStr">
        <is>
          <t>44369489</t>
        </is>
      </c>
      <c r="AC828" t="inlineStr">
        <is>
          <t>Av. Gerardo Unger 3601</t>
        </is>
      </c>
      <c r="AD828" t="n">
        <v>0</v>
      </c>
      <c r="AE828" t="inlineStr">
        <is>
          <t>916692937</t>
        </is>
      </c>
      <c r="AF828" t="inlineStr">
        <is>
          <t>ubaldoyoverap@gmail.com</t>
        </is>
      </c>
      <c r="AG828" t="inlineStr">
        <is>
          <t>LIMA</t>
        </is>
      </c>
      <c r="AH828" t="inlineStr">
        <is>
          <t>INDEPENDENCIA</t>
        </is>
      </c>
      <c r="AI828" s="116" t="n">
        <v>46041</v>
      </c>
      <c r="AJ828" s="116" t="n">
        <v>46041</v>
      </c>
      <c r="AK828" t="inlineStr">
        <is>
          <t>SEPARACION</t>
        </is>
      </c>
      <c r="AL828" t="n">
        <v>1</v>
      </c>
      <c r="AM828" t="n">
        <v>3000</v>
      </c>
      <c r="AN828" t="n">
        <v>0</v>
      </c>
      <c r="AO828" t="n">
        <v>0</v>
      </c>
      <c r="AP828" s="39" t="n">
        <v>3000</v>
      </c>
      <c r="AQ828" s="39" t="n">
        <v>3000</v>
      </c>
      <c r="AR828" s="39" t="n">
        <v>0</v>
      </c>
      <c r="AS828" t="n">
        <v>0</v>
      </c>
      <c r="AT828" t="inlineStr">
        <is>
          <t>Ahorro</t>
        </is>
      </c>
      <c r="AU828" t="inlineStr">
        <is>
          <t>Scotiabank Perú</t>
        </is>
      </c>
      <c r="AV828" t="inlineStr">
        <is>
          <t>0004071419</t>
        </is>
      </c>
      <c r="AW828" t="inlineStr">
        <is>
          <t>TRANSFERENCIA BANCARIA</t>
        </is>
      </c>
      <c r="AY828" t="inlineStr">
        <is>
          <t>04099142</t>
        </is>
      </c>
      <c r="AZ828" t="inlineStr">
        <is>
          <t>No</t>
        </is>
      </c>
      <c r="BB828" t="n">
        <v>4</v>
      </c>
      <c r="BC828" t="inlineStr">
        <is>
          <t>CANCELADO</t>
        </is>
      </c>
      <c r="BN828" t="inlineStr">
        <is>
          <t>Si</t>
        </is>
      </c>
      <c r="BO828" s="117" t="n">
        <v>46071.34027777778</v>
      </c>
      <c r="BP828" t="inlineStr">
        <is>
          <t>Magaly Guevara Perez</t>
        </is>
      </c>
      <c r="BR828" t="n">
        <v>7</v>
      </c>
      <c r="BS828" t="inlineStr">
        <is>
          <t>24/05/2026 18:53</t>
        </is>
      </c>
      <c r="BT828" t="n">
        <v>0</v>
      </c>
      <c r="BX828" t="inlineStr">
        <is>
          <t>Cobranzas_2026.csv</t>
        </is>
      </c>
      <c r="BY828" t="n">
        <v>2026</v>
      </c>
      <c r="BZ828" t="inlineStr">
        <is>
          <t>01/01/2024</t>
        </is>
      </c>
      <c r="CA828" t="inlineStr">
        <is>
          <t>30/09/2031</t>
        </is>
      </c>
    </row>
    <row r="829">
      <c r="A829" t="inlineStr">
        <is>
          <t>RESIDENCIAL VENECIA</t>
        </is>
      </c>
      <c r="B829" t="inlineStr">
        <is>
          <t>Etapa 1</t>
        </is>
      </c>
      <c r="C829" t="inlineStr">
        <is>
          <t>Edificio</t>
        </is>
      </c>
      <c r="D829" t="inlineStr">
        <is>
          <t>A</t>
        </is>
      </c>
      <c r="E829" t="inlineStr">
        <is>
          <t>Departamento</t>
        </is>
      </c>
      <c r="F829" t="inlineStr">
        <is>
          <t>402</t>
        </is>
      </c>
      <c r="G829" s="39" t="n">
        <v>623000</v>
      </c>
      <c r="H829" s="39" t="n">
        <v>623000</v>
      </c>
      <c r="M829" s="39" t="n"/>
      <c r="N829" s="39" t="n"/>
      <c r="S829" s="39" t="n"/>
      <c r="T829" s="39" t="n"/>
      <c r="Y829" s="39" t="n"/>
      <c r="Z829" s="39" t="n"/>
      <c r="AA829" t="inlineStr">
        <is>
          <t>Ubaldo Yovera Puruguay</t>
        </is>
      </c>
      <c r="AB829" t="inlineStr">
        <is>
          <t>44369489</t>
        </is>
      </c>
      <c r="AC829" t="inlineStr">
        <is>
          <t>Av. Gerardo Unger 3601</t>
        </is>
      </c>
      <c r="AD829" t="n">
        <v>0</v>
      </c>
      <c r="AE829" t="inlineStr">
        <is>
          <t>916692937</t>
        </is>
      </c>
      <c r="AF829" t="inlineStr">
        <is>
          <t>ubaldoyoverap@gmail.com</t>
        </is>
      </c>
      <c r="AG829" t="inlineStr">
        <is>
          <t>LIMA</t>
        </is>
      </c>
      <c r="AH829" t="inlineStr">
        <is>
          <t>INDEPENDENCIA</t>
        </is>
      </c>
      <c r="AI829" s="116" t="n">
        <v>46071</v>
      </c>
      <c r="AJ829" s="116" t="n">
        <v>46071</v>
      </c>
      <c r="AK829" t="inlineStr">
        <is>
          <t>CUOTA INICIAL</t>
        </is>
      </c>
      <c r="AL829" t="n">
        <v>1</v>
      </c>
      <c r="AM829" t="n">
        <v>7000</v>
      </c>
      <c r="AN829" t="n">
        <v>0</v>
      </c>
      <c r="AO829" t="n">
        <v>0</v>
      </c>
      <c r="AP829" s="39" t="n">
        <v>7000</v>
      </c>
      <c r="AQ829" s="39" t="n">
        <v>7000</v>
      </c>
      <c r="AR829" s="39" t="n">
        <v>0</v>
      </c>
      <c r="AS829" t="n">
        <v>0</v>
      </c>
      <c r="AT829" t="inlineStr">
        <is>
          <t>Ahorro</t>
        </is>
      </c>
      <c r="AU829" t="inlineStr">
        <is>
          <t>Scotiabank Perú</t>
        </is>
      </c>
      <c r="AV829" t="inlineStr">
        <is>
          <t>0004071419</t>
        </is>
      </c>
      <c r="AW829" t="inlineStr">
        <is>
          <t>TRANSFERENCIA BANCARIA</t>
        </is>
      </c>
      <c r="AY829" t="inlineStr">
        <is>
          <t>01539288</t>
        </is>
      </c>
      <c r="AZ829" t="inlineStr">
        <is>
          <t>No</t>
        </is>
      </c>
      <c r="BB829" t="n">
        <v>4</v>
      </c>
      <c r="BC829" t="inlineStr">
        <is>
          <t>CANCELADO</t>
        </is>
      </c>
      <c r="BN829" t="inlineStr">
        <is>
          <t>Si</t>
        </is>
      </c>
      <c r="BO829" s="117" t="n">
        <v>46071.34027777778</v>
      </c>
      <c r="BP829" t="inlineStr">
        <is>
          <t>Magaly Guevara Perez</t>
        </is>
      </c>
      <c r="BR829" t="n">
        <v>7</v>
      </c>
      <c r="BS829" t="inlineStr">
        <is>
          <t>24/05/2026 18:56</t>
        </is>
      </c>
      <c r="BT829" t="n">
        <v>0</v>
      </c>
      <c r="BX829" t="inlineStr">
        <is>
          <t>Cobranzas_2026.csv</t>
        </is>
      </c>
      <c r="BY829" t="n">
        <v>2026</v>
      </c>
      <c r="BZ829" t="inlineStr">
        <is>
          <t>01/01/2024</t>
        </is>
      </c>
      <c r="CA829" t="inlineStr">
        <is>
          <t>30/09/2031</t>
        </is>
      </c>
    </row>
    <row r="830">
      <c r="A830" t="inlineStr">
        <is>
          <t>RESIDENCIAL VENECIA</t>
        </is>
      </c>
      <c r="B830" t="inlineStr">
        <is>
          <t>Etapa 1</t>
        </is>
      </c>
      <c r="C830" t="inlineStr">
        <is>
          <t>Edificio</t>
        </is>
      </c>
      <c r="D830" t="inlineStr">
        <is>
          <t>A</t>
        </is>
      </c>
      <c r="E830" t="inlineStr">
        <is>
          <t>Departamento</t>
        </is>
      </c>
      <c r="F830" t="inlineStr">
        <is>
          <t>402</t>
        </is>
      </c>
      <c r="G830" s="39" t="n">
        <v>623000</v>
      </c>
      <c r="H830" s="39" t="n">
        <v>623000</v>
      </c>
      <c r="M830" s="39" t="n"/>
      <c r="N830" s="39" t="n"/>
      <c r="S830" s="39" t="n"/>
      <c r="T830" s="39" t="n"/>
      <c r="Y830" s="39" t="n"/>
      <c r="Z830" s="39" t="n"/>
      <c r="AA830" t="inlineStr">
        <is>
          <t>Ubaldo Yovera Puruguay</t>
        </is>
      </c>
      <c r="AB830" t="inlineStr">
        <is>
          <t>44369489</t>
        </is>
      </c>
      <c r="AC830" t="inlineStr">
        <is>
          <t>Av. Gerardo Unger 3601</t>
        </is>
      </c>
      <c r="AD830" t="n">
        <v>0</v>
      </c>
      <c r="AE830" t="inlineStr">
        <is>
          <t>916692937</t>
        </is>
      </c>
      <c r="AF830" t="inlineStr">
        <is>
          <t>ubaldoyoverap@gmail.com</t>
        </is>
      </c>
      <c r="AG830" t="inlineStr">
        <is>
          <t>LIMA</t>
        </is>
      </c>
      <c r="AH830" t="inlineStr">
        <is>
          <t>INDEPENDENCIA</t>
        </is>
      </c>
      <c r="AI830" s="116" t="n">
        <v>46234</v>
      </c>
      <c r="AJ830" s="116" t="n"/>
      <c r="AK830" t="inlineStr">
        <is>
          <t>AHORRO CASA</t>
        </is>
      </c>
      <c r="AL830" t="n">
        <v>2</v>
      </c>
      <c r="AM830" t="n">
        <v>52300</v>
      </c>
      <c r="AN830" t="n">
        <v>0</v>
      </c>
      <c r="AO830" t="n">
        <v>0</v>
      </c>
      <c r="AP830" s="39" t="n">
        <v>52300</v>
      </c>
      <c r="AQ830" s="39" t="n">
        <v>0</v>
      </c>
      <c r="AR830" s="39" t="n">
        <v>52300</v>
      </c>
      <c r="AT830" t="inlineStr">
        <is>
          <t>Ahorro</t>
        </is>
      </c>
      <c r="AZ830" t="inlineStr">
        <is>
          <t>No</t>
        </is>
      </c>
      <c r="BC830" t="inlineStr">
        <is>
          <t>VENCIDO</t>
        </is>
      </c>
      <c r="BN830" t="inlineStr">
        <is>
          <t>No</t>
        </is>
      </c>
      <c r="BO830" s="117" t="n">
        <v>46071.34027777778</v>
      </c>
      <c r="BP830" t="inlineStr">
        <is>
          <t>Magaly Guevara Perez</t>
        </is>
      </c>
      <c r="BR830" t="n">
        <v>7</v>
      </c>
      <c r="BT830" t="n">
        <v>0</v>
      </c>
      <c r="BX830" t="inlineStr">
        <is>
          <t>Cobranzas_2026.csv</t>
        </is>
      </c>
      <c r="BY830" t="n">
        <v>2026</v>
      </c>
      <c r="BZ830" t="inlineStr">
        <is>
          <t>01/01/2024</t>
        </is>
      </c>
      <c r="CA830" t="inlineStr">
        <is>
          <t>30/09/2031</t>
        </is>
      </c>
    </row>
    <row r="831">
      <c r="A831" t="inlineStr">
        <is>
          <t>RESIDENCIAL VENECIA</t>
        </is>
      </c>
      <c r="B831" t="inlineStr">
        <is>
          <t>Etapa 1</t>
        </is>
      </c>
      <c r="C831" t="inlineStr">
        <is>
          <t>Edificio</t>
        </is>
      </c>
      <c r="D831" t="inlineStr">
        <is>
          <t>A</t>
        </is>
      </c>
      <c r="E831" t="inlineStr">
        <is>
          <t>Departamento</t>
        </is>
      </c>
      <c r="F831" t="inlineStr">
        <is>
          <t>402</t>
        </is>
      </c>
      <c r="G831" s="39" t="n">
        <v>623000</v>
      </c>
      <c r="H831" s="39" t="n">
        <v>623000</v>
      </c>
      <c r="M831" s="39" t="n"/>
      <c r="N831" s="39" t="n"/>
      <c r="S831" s="39" t="n"/>
      <c r="T831" s="39" t="n"/>
      <c r="Y831" s="39" t="n"/>
      <c r="Z831" s="39" t="n"/>
      <c r="AA831" t="inlineStr">
        <is>
          <t>Ubaldo Yovera Puruguay</t>
        </is>
      </c>
      <c r="AB831" t="inlineStr">
        <is>
          <t>44369489</t>
        </is>
      </c>
      <c r="AC831" t="inlineStr">
        <is>
          <t>Av. Gerardo Unger 3601</t>
        </is>
      </c>
      <c r="AD831" t="n">
        <v>0</v>
      </c>
      <c r="AE831" t="inlineStr">
        <is>
          <t>916692937</t>
        </is>
      </c>
      <c r="AF831" t="inlineStr">
        <is>
          <t>ubaldoyoverap@gmail.com</t>
        </is>
      </c>
      <c r="AG831" t="inlineStr">
        <is>
          <t>LIMA</t>
        </is>
      </c>
      <c r="AH831" t="inlineStr">
        <is>
          <t>INDEPENDENCIA</t>
        </is>
      </c>
      <c r="AI831" s="116" t="n">
        <v>46249</v>
      </c>
      <c r="AJ831" s="116" t="n"/>
      <c r="AK831" t="inlineStr">
        <is>
          <t>CUOTA INICIAL</t>
        </is>
      </c>
      <c r="AL831" t="n">
        <v>3</v>
      </c>
      <c r="AM831" t="n">
        <v>23000</v>
      </c>
      <c r="AN831" t="n">
        <v>0</v>
      </c>
      <c r="AO831" t="n">
        <v>0</v>
      </c>
      <c r="AP831" s="39" t="n">
        <v>23000</v>
      </c>
      <c r="AQ831" s="39" t="n">
        <v>0</v>
      </c>
      <c r="AR831" s="39" t="n">
        <v>23000</v>
      </c>
      <c r="AT831" t="inlineStr">
        <is>
          <t>Ahorro</t>
        </is>
      </c>
      <c r="AZ831" t="inlineStr">
        <is>
          <t>No</t>
        </is>
      </c>
      <c r="BC831" t="inlineStr">
        <is>
          <t>VENCIDO</t>
        </is>
      </c>
      <c r="BN831" t="inlineStr">
        <is>
          <t>No</t>
        </is>
      </c>
      <c r="BO831" s="117" t="n">
        <v>46071.34027777778</v>
      </c>
      <c r="BP831" t="inlineStr">
        <is>
          <t>Magaly Guevara Perez</t>
        </is>
      </c>
      <c r="BR831" t="n">
        <v>7</v>
      </c>
      <c r="BT831" t="n">
        <v>0</v>
      </c>
      <c r="BX831" t="inlineStr">
        <is>
          <t>Cobranzas_2026.csv</t>
        </is>
      </c>
      <c r="BY831" t="n">
        <v>2026</v>
      </c>
      <c r="BZ831" t="inlineStr">
        <is>
          <t>01/01/2024</t>
        </is>
      </c>
      <c r="CA831" t="inlineStr">
        <is>
          <t>30/09/2031</t>
        </is>
      </c>
    </row>
    <row r="832">
      <c r="A832" t="inlineStr">
        <is>
          <t>RESIDENCIAL VENECIA</t>
        </is>
      </c>
      <c r="B832" t="inlineStr">
        <is>
          <t>Etapa 1</t>
        </is>
      </c>
      <c r="C832" t="inlineStr">
        <is>
          <t>Edificio</t>
        </is>
      </c>
      <c r="D832" t="inlineStr">
        <is>
          <t>A</t>
        </is>
      </c>
      <c r="E832" t="inlineStr">
        <is>
          <t>Departamento</t>
        </is>
      </c>
      <c r="F832" t="inlineStr">
        <is>
          <t>402</t>
        </is>
      </c>
      <c r="G832" s="39" t="n">
        <v>623000</v>
      </c>
      <c r="H832" s="39" t="n">
        <v>623000</v>
      </c>
      <c r="M832" s="39" t="n"/>
      <c r="N832" s="39" t="n"/>
      <c r="S832" s="39" t="n"/>
      <c r="T832" s="39" t="n"/>
      <c r="Y832" s="39" t="n"/>
      <c r="Z832" s="39" t="n"/>
      <c r="AA832" t="inlineStr">
        <is>
          <t>Ubaldo Yovera Puruguay</t>
        </is>
      </c>
      <c r="AB832" t="inlineStr">
        <is>
          <t>44369489</t>
        </is>
      </c>
      <c r="AC832" t="inlineStr">
        <is>
          <t>Av. Gerardo Unger 3601</t>
        </is>
      </c>
      <c r="AD832" t="n">
        <v>0</v>
      </c>
      <c r="AE832" t="inlineStr">
        <is>
          <t>916692937</t>
        </is>
      </c>
      <c r="AF832" t="inlineStr">
        <is>
          <t>ubaldoyoverap@gmail.com</t>
        </is>
      </c>
      <c r="AG832" t="inlineStr">
        <is>
          <t>LIMA</t>
        </is>
      </c>
      <c r="AH832" t="inlineStr">
        <is>
          <t>INDEPENDENCIA</t>
        </is>
      </c>
      <c r="AI832" s="116" t="n">
        <v>46295</v>
      </c>
      <c r="AJ832" s="116" t="n"/>
      <c r="AK832" t="inlineStr">
        <is>
          <t>SALDO FINANCIAR</t>
        </is>
      </c>
      <c r="AL832" t="n">
        <v>1</v>
      </c>
      <c r="AM832" t="n">
        <v>537700</v>
      </c>
      <c r="AN832" t="n">
        <v>0</v>
      </c>
      <c r="AO832" t="n">
        <v>0</v>
      </c>
      <c r="AP832" s="39" t="n">
        <v>537700</v>
      </c>
      <c r="AQ832" s="39" t="n">
        <v>0</v>
      </c>
      <c r="AR832" s="39" t="n">
        <v>537700</v>
      </c>
      <c r="AT832" t="inlineStr">
        <is>
          <t>Ahorro</t>
        </is>
      </c>
      <c r="AZ832" t="inlineStr">
        <is>
          <t>No</t>
        </is>
      </c>
      <c r="BC832" t="inlineStr">
        <is>
          <t>VENCIDO</t>
        </is>
      </c>
      <c r="BN832" t="inlineStr">
        <is>
          <t>No</t>
        </is>
      </c>
      <c r="BO832" s="117" t="n">
        <v>46071.34027777778</v>
      </c>
      <c r="BP832" t="inlineStr">
        <is>
          <t>Magaly Guevara Perez</t>
        </is>
      </c>
      <c r="BR832" t="n">
        <v>7</v>
      </c>
      <c r="BT832" t="n">
        <v>0</v>
      </c>
      <c r="BX832" t="inlineStr">
        <is>
          <t>Cobranzas_2026.csv</t>
        </is>
      </c>
      <c r="BY832" t="n">
        <v>2026</v>
      </c>
      <c r="BZ832" t="inlineStr">
        <is>
          <t>01/01/2024</t>
        </is>
      </c>
      <c r="CA832" t="inlineStr">
        <is>
          <t>30/09/2031</t>
        </is>
      </c>
    </row>
    <row r="833">
      <c r="A833" t="inlineStr">
        <is>
          <t>RESIDENCIAL BEYOND</t>
        </is>
      </c>
      <c r="B833" t="inlineStr">
        <is>
          <t>Etapa 1</t>
        </is>
      </c>
      <c r="C833" t="inlineStr">
        <is>
          <t>Edificio</t>
        </is>
      </c>
      <c r="D833" t="inlineStr">
        <is>
          <t>A</t>
        </is>
      </c>
      <c r="E833" t="inlineStr">
        <is>
          <t>Departamento</t>
        </is>
      </c>
      <c r="F833" t="inlineStr">
        <is>
          <t>702</t>
        </is>
      </c>
      <c r="G833" s="39" t="n">
        <v>430000</v>
      </c>
      <c r="H833" s="39" t="n">
        <v>382000</v>
      </c>
      <c r="M833" s="39" t="n"/>
      <c r="N833" s="39" t="n"/>
      <c r="S833" s="39" t="n"/>
      <c r="T833" s="39" t="n"/>
      <c r="Y833" s="39" t="n"/>
      <c r="Z833" s="39" t="n"/>
      <c r="AA833" t="inlineStr">
        <is>
          <t>Víctor Daniel Chuquihuaccha Hernandez</t>
        </is>
      </c>
      <c r="AB833" t="inlineStr">
        <is>
          <t>73229140</t>
        </is>
      </c>
      <c r="AC833" t="inlineStr">
        <is>
          <t>Calle Los Licopodios 468</t>
        </is>
      </c>
      <c r="AD833" t="n">
        <v>999533600</v>
      </c>
      <c r="AE833" t="inlineStr">
        <is>
          <t>999533600</t>
        </is>
      </c>
      <c r="AF833" t="inlineStr">
        <is>
          <t>victor.d.ch.h@gmail.com</t>
        </is>
      </c>
      <c r="AG833" t="inlineStr">
        <is>
          <t>LIMA</t>
        </is>
      </c>
      <c r="AH833" t="inlineStr">
        <is>
          <t>SAN JUAN DE LURIGANCHO</t>
        </is>
      </c>
      <c r="AI833" s="116" t="n">
        <v>46032</v>
      </c>
      <c r="AJ833" s="116" t="n">
        <v>46031</v>
      </c>
      <c r="AK833" t="inlineStr">
        <is>
          <t>CUOTA INICIAL</t>
        </is>
      </c>
      <c r="AL833" t="n">
        <v>1</v>
      </c>
      <c r="AM833" t="n">
        <v>10000</v>
      </c>
      <c r="AN833" t="n">
        <v>0</v>
      </c>
      <c r="AO833" t="n">
        <v>0</v>
      </c>
      <c r="AP833" s="39" t="n">
        <v>10000</v>
      </c>
      <c r="AQ833" s="39" t="n">
        <v>10000</v>
      </c>
      <c r="AR833" s="39" t="n">
        <v>0</v>
      </c>
      <c r="AS833" t="n">
        <v>0</v>
      </c>
      <c r="AT833" t="inlineStr">
        <is>
          <t>Crédito Hipotecario</t>
        </is>
      </c>
      <c r="AU833" t="inlineStr">
        <is>
          <t>Banco de Credito del Perú</t>
        </is>
      </c>
      <c r="AV833" t="inlineStr">
        <is>
          <t>194-7325779-0-65</t>
        </is>
      </c>
      <c r="AW833" t="inlineStr">
        <is>
          <t>TRANSFERENCIA BANCARIA</t>
        </is>
      </c>
      <c r="AY833" t="inlineStr">
        <is>
          <t>00672532</t>
        </is>
      </c>
      <c r="AZ833" t="inlineStr">
        <is>
          <t>No</t>
        </is>
      </c>
      <c r="BB833" t="n">
        <v>4</v>
      </c>
      <c r="BC833" t="inlineStr">
        <is>
          <t>CANCELADO</t>
        </is>
      </c>
      <c r="BN833" t="inlineStr">
        <is>
          <t>Si</t>
        </is>
      </c>
      <c r="BO833" s="117" t="n">
        <v>46031.40972222222</v>
      </c>
      <c r="BP833" t="inlineStr">
        <is>
          <t>Magaly Guevara Perez</t>
        </is>
      </c>
      <c r="BR833" t="n">
        <v>20</v>
      </c>
      <c r="BS833" t="inlineStr">
        <is>
          <t>23/05/2026 23:59</t>
        </is>
      </c>
      <c r="BT833" t="n">
        <v>0</v>
      </c>
      <c r="BX833" t="inlineStr">
        <is>
          <t>Cobranzas_2026.csv</t>
        </is>
      </c>
      <c r="BY833" t="n">
        <v>2026</v>
      </c>
      <c r="BZ833" t="inlineStr">
        <is>
          <t>01/01/2024</t>
        </is>
      </c>
      <c r="CA833" t="inlineStr">
        <is>
          <t>30/09/2031</t>
        </is>
      </c>
    </row>
    <row r="834">
      <c r="A834" t="inlineStr">
        <is>
          <t>RESIDENCIAL BEYOND</t>
        </is>
      </c>
      <c r="B834" t="inlineStr">
        <is>
          <t>Etapa 1</t>
        </is>
      </c>
      <c r="C834" t="inlineStr">
        <is>
          <t>Edificio</t>
        </is>
      </c>
      <c r="D834" t="inlineStr">
        <is>
          <t>A</t>
        </is>
      </c>
      <c r="E834" t="inlineStr">
        <is>
          <t>Departamento</t>
        </is>
      </c>
      <c r="F834" t="inlineStr">
        <is>
          <t>702</t>
        </is>
      </c>
      <c r="G834" s="39" t="n">
        <v>430000</v>
      </c>
      <c r="H834" s="39" t="n">
        <v>382000</v>
      </c>
      <c r="M834" s="39" t="n"/>
      <c r="N834" s="39" t="n"/>
      <c r="S834" s="39" t="n"/>
      <c r="T834" s="39" t="n"/>
      <c r="Y834" s="39" t="n"/>
      <c r="Z834" s="39" t="n"/>
      <c r="AA834" t="inlineStr">
        <is>
          <t>Víctor Daniel Chuquihuaccha Hernandez</t>
        </is>
      </c>
      <c r="AB834" t="inlineStr">
        <is>
          <t>73229140</t>
        </is>
      </c>
      <c r="AC834" t="inlineStr">
        <is>
          <t>Calle Los Licopodios 468</t>
        </is>
      </c>
      <c r="AD834" t="n">
        <v>999533600</v>
      </c>
      <c r="AE834" t="inlineStr">
        <is>
          <t>999533600</t>
        </is>
      </c>
      <c r="AF834" t="inlineStr">
        <is>
          <t>victor.d.ch.h@gmail.com</t>
        </is>
      </c>
      <c r="AG834" t="inlineStr">
        <is>
          <t>LIMA</t>
        </is>
      </c>
      <c r="AH834" t="inlineStr">
        <is>
          <t>SAN JUAN DE LURIGANCHO</t>
        </is>
      </c>
      <c r="AI834" s="116" t="n">
        <v>46063</v>
      </c>
      <c r="AJ834" s="116" t="n">
        <v>46031</v>
      </c>
      <c r="AK834" t="inlineStr">
        <is>
          <t>CUOTA INICIAL</t>
        </is>
      </c>
      <c r="AL834" t="n">
        <v>2</v>
      </c>
      <c r="AM834" t="n">
        <v>10000</v>
      </c>
      <c r="AN834" t="n">
        <v>0</v>
      </c>
      <c r="AO834" t="n">
        <v>0</v>
      </c>
      <c r="AP834" s="39" t="n">
        <v>10000</v>
      </c>
      <c r="AQ834" s="39" t="n">
        <v>10000</v>
      </c>
      <c r="AR834" s="39" t="n">
        <v>0</v>
      </c>
      <c r="AS834" t="n">
        <v>0</v>
      </c>
      <c r="AT834" t="inlineStr">
        <is>
          <t>Crédito Hipotecario</t>
        </is>
      </c>
      <c r="AU834" t="inlineStr">
        <is>
          <t>Banco de Credito del Perú</t>
        </is>
      </c>
      <c r="AV834" t="inlineStr">
        <is>
          <t>194-7325779-0-65</t>
        </is>
      </c>
      <c r="AW834" t="inlineStr">
        <is>
          <t>TRANSFERENCIA BANCARIA</t>
        </is>
      </c>
      <c r="AY834" t="inlineStr">
        <is>
          <t>02493584</t>
        </is>
      </c>
      <c r="AZ834" t="inlineStr">
        <is>
          <t>No</t>
        </is>
      </c>
      <c r="BB834" t="n">
        <v>4</v>
      </c>
      <c r="BC834" t="inlineStr">
        <is>
          <t>CANCELADO</t>
        </is>
      </c>
      <c r="BN834" t="inlineStr">
        <is>
          <t>Si</t>
        </is>
      </c>
      <c r="BO834" s="117" t="n">
        <v>46031.40972222222</v>
      </c>
      <c r="BP834" t="inlineStr">
        <is>
          <t>Magaly Guevara Perez</t>
        </is>
      </c>
      <c r="BR834" t="n">
        <v>20</v>
      </c>
      <c r="BS834" t="inlineStr">
        <is>
          <t>23/05/2026 23:59</t>
        </is>
      </c>
      <c r="BT834" t="n">
        <v>0</v>
      </c>
      <c r="BX834" t="inlineStr">
        <is>
          <t>Cobranzas_2026.csv</t>
        </is>
      </c>
      <c r="BY834" t="n">
        <v>2026</v>
      </c>
      <c r="BZ834" t="inlineStr">
        <is>
          <t>01/01/2024</t>
        </is>
      </c>
      <c r="CA834" t="inlineStr">
        <is>
          <t>30/09/2031</t>
        </is>
      </c>
    </row>
    <row r="835">
      <c r="A835" t="inlineStr">
        <is>
          <t>RESIDENCIAL BEYOND</t>
        </is>
      </c>
      <c r="B835" t="inlineStr">
        <is>
          <t>Etapa 1</t>
        </is>
      </c>
      <c r="C835" t="inlineStr">
        <is>
          <t>Edificio</t>
        </is>
      </c>
      <c r="D835" t="inlineStr">
        <is>
          <t>A</t>
        </is>
      </c>
      <c r="E835" t="inlineStr">
        <is>
          <t>Departamento</t>
        </is>
      </c>
      <c r="F835" t="inlineStr">
        <is>
          <t>702</t>
        </is>
      </c>
      <c r="G835" s="39" t="n">
        <v>430000</v>
      </c>
      <c r="H835" s="39" t="n">
        <v>382000</v>
      </c>
      <c r="M835" s="39" t="n"/>
      <c r="N835" s="39" t="n"/>
      <c r="S835" s="39" t="n"/>
      <c r="T835" s="39" t="n"/>
      <c r="Y835" s="39" t="n"/>
      <c r="Z835" s="39" t="n"/>
      <c r="AA835" t="inlineStr">
        <is>
          <t>Víctor Daniel Chuquihuaccha Hernandez</t>
        </is>
      </c>
      <c r="AB835" t="inlineStr">
        <is>
          <t>73229140</t>
        </is>
      </c>
      <c r="AC835" t="inlineStr">
        <is>
          <t>Calle Los Licopodios 468</t>
        </is>
      </c>
      <c r="AD835" t="n">
        <v>999533600</v>
      </c>
      <c r="AE835" t="inlineStr">
        <is>
          <t>999533600</t>
        </is>
      </c>
      <c r="AF835" t="inlineStr">
        <is>
          <t>victor.d.ch.h@gmail.com</t>
        </is>
      </c>
      <c r="AG835" t="inlineStr">
        <is>
          <t>LIMA</t>
        </is>
      </c>
      <c r="AH835" t="inlineStr">
        <is>
          <t>SAN JUAN DE LURIGANCHO</t>
        </is>
      </c>
      <c r="AI835" s="116" t="n">
        <v>46091</v>
      </c>
      <c r="AJ835" s="116" t="n">
        <v>46108</v>
      </c>
      <c r="AK835" t="inlineStr">
        <is>
          <t>CUOTA INICIAL</t>
        </is>
      </c>
      <c r="AL835" t="n">
        <v>3</v>
      </c>
      <c r="AM835" t="n">
        <v>15200</v>
      </c>
      <c r="AN835" t="n">
        <v>0</v>
      </c>
      <c r="AO835" t="n">
        <v>0</v>
      </c>
      <c r="AP835" s="39" t="n">
        <v>15200</v>
      </c>
      <c r="AQ835" s="39" t="n">
        <v>7000</v>
      </c>
      <c r="AR835" s="39" t="n">
        <v>0</v>
      </c>
      <c r="AS835" t="n">
        <v>0</v>
      </c>
      <c r="AT835" t="inlineStr">
        <is>
          <t>Crédito Hipotecario</t>
        </is>
      </c>
      <c r="AU835" t="inlineStr">
        <is>
          <t>Banco de Credito del Perú</t>
        </is>
      </c>
      <c r="AV835" t="inlineStr">
        <is>
          <t>194-7325779-0-65</t>
        </is>
      </c>
      <c r="AW835" t="inlineStr">
        <is>
          <t>TRANSFERENCIA BANCARIA</t>
        </is>
      </c>
      <c r="AY835" t="inlineStr">
        <is>
          <t>7844651926764</t>
        </is>
      </c>
      <c r="AZ835" t="inlineStr">
        <is>
          <t>No</t>
        </is>
      </c>
      <c r="BB835" t="n">
        <v>4</v>
      </c>
      <c r="BC835" t="inlineStr">
        <is>
          <t>CANCELADO</t>
        </is>
      </c>
      <c r="BN835" t="inlineStr">
        <is>
          <t>Si</t>
        </is>
      </c>
      <c r="BO835" s="117" t="n">
        <v>46031.40972222222</v>
      </c>
      <c r="BP835" t="inlineStr">
        <is>
          <t>Magaly Guevara Perez</t>
        </is>
      </c>
      <c r="BR835" t="n">
        <v>20</v>
      </c>
      <c r="BS835" t="inlineStr">
        <is>
          <t>24/05/2026 00:00</t>
        </is>
      </c>
      <c r="BT835" t="n">
        <v>0</v>
      </c>
      <c r="BX835" t="inlineStr">
        <is>
          <t>Cobranzas_2026.csv</t>
        </is>
      </c>
      <c r="BY835" t="n">
        <v>2026</v>
      </c>
      <c r="BZ835" t="inlineStr">
        <is>
          <t>01/01/2024</t>
        </is>
      </c>
      <c r="CA835" t="inlineStr">
        <is>
          <t>30/09/2031</t>
        </is>
      </c>
    </row>
    <row r="836">
      <c r="A836" t="inlineStr">
        <is>
          <t>RESIDENCIAL BEYOND</t>
        </is>
      </c>
      <c r="B836" t="inlineStr">
        <is>
          <t>Etapa 1</t>
        </is>
      </c>
      <c r="C836" t="inlineStr">
        <is>
          <t>Edificio</t>
        </is>
      </c>
      <c r="D836" t="inlineStr">
        <is>
          <t>A</t>
        </is>
      </c>
      <c r="E836" t="inlineStr">
        <is>
          <t>Departamento</t>
        </is>
      </c>
      <c r="F836" t="inlineStr">
        <is>
          <t>702</t>
        </is>
      </c>
      <c r="G836" s="39" t="n">
        <v>430000</v>
      </c>
      <c r="H836" s="39" t="n">
        <v>382000</v>
      </c>
      <c r="M836" s="39" t="n"/>
      <c r="N836" s="39" t="n"/>
      <c r="S836" s="39" t="n"/>
      <c r="T836" s="39" t="n"/>
      <c r="Y836" s="39" t="n"/>
      <c r="Z836" s="39" t="n"/>
      <c r="AA836" t="inlineStr">
        <is>
          <t>Víctor Daniel Chuquihuaccha Hernandez</t>
        </is>
      </c>
      <c r="AB836" t="inlineStr">
        <is>
          <t>73229140</t>
        </is>
      </c>
      <c r="AC836" t="inlineStr">
        <is>
          <t>Calle Los Licopodios 468</t>
        </is>
      </c>
      <c r="AD836" t="n">
        <v>999533600</v>
      </c>
      <c r="AE836" t="inlineStr">
        <is>
          <t>999533600</t>
        </is>
      </c>
      <c r="AF836" t="inlineStr">
        <is>
          <t>victor.d.ch.h@gmail.com</t>
        </is>
      </c>
      <c r="AG836" t="inlineStr">
        <is>
          <t>LIMA</t>
        </is>
      </c>
      <c r="AH836" t="inlineStr">
        <is>
          <t>SAN JUAN DE LURIGANCHO</t>
        </is>
      </c>
      <c r="AI836" s="116" t="n">
        <v>46091</v>
      </c>
      <c r="AJ836" s="116" t="n">
        <v>46169</v>
      </c>
      <c r="AK836" t="inlineStr">
        <is>
          <t>CUOTA INICIAL</t>
        </is>
      </c>
      <c r="AL836" t="n">
        <v>3</v>
      </c>
      <c r="AM836" t="n">
        <v>0</v>
      </c>
      <c r="AN836" t="n">
        <v>0</v>
      </c>
      <c r="AO836" t="n">
        <v>0</v>
      </c>
      <c r="AP836" s="39" t="n">
        <v>0</v>
      </c>
      <c r="AQ836" s="39" t="n">
        <v>8200</v>
      </c>
      <c r="AR836" s="39" t="n">
        <v>0</v>
      </c>
      <c r="AS836" t="n">
        <v>0</v>
      </c>
      <c r="AT836" t="inlineStr">
        <is>
          <t>Crédito Hipotecario</t>
        </is>
      </c>
      <c r="AU836" t="inlineStr">
        <is>
          <t>Banco de Credito del Perú</t>
        </is>
      </c>
      <c r="AV836" t="inlineStr">
        <is>
          <t>194-7325779-0-65</t>
        </is>
      </c>
      <c r="AW836" t="inlineStr">
        <is>
          <t>TRANSFERENCIA BANCARIA</t>
        </is>
      </c>
      <c r="AY836" t="inlineStr">
        <is>
          <t>013309973</t>
        </is>
      </c>
      <c r="AZ836" t="inlineStr">
        <is>
          <t>No</t>
        </is>
      </c>
      <c r="BB836" t="n">
        <v>4</v>
      </c>
      <c r="BC836" t="inlineStr">
        <is>
          <t>CANCELADO</t>
        </is>
      </c>
      <c r="BN836" t="inlineStr">
        <is>
          <t>Si</t>
        </is>
      </c>
      <c r="BO836" s="117" t="n">
        <v>46031.40972222222</v>
      </c>
      <c r="BP836" t="inlineStr">
        <is>
          <t>Magaly Guevara Perez</t>
        </is>
      </c>
      <c r="BR836" t="n">
        <v>20</v>
      </c>
      <c r="BS836" t="inlineStr">
        <is>
          <t>24/05/2026 00:01</t>
        </is>
      </c>
      <c r="BT836" t="n">
        <v>0</v>
      </c>
      <c r="BX836" t="inlineStr">
        <is>
          <t>Cobranzas_2026.csv</t>
        </is>
      </c>
      <c r="BY836" t="n">
        <v>2026</v>
      </c>
      <c r="BZ836" t="inlineStr">
        <is>
          <t>01/01/2024</t>
        </is>
      </c>
      <c r="CA836" t="inlineStr">
        <is>
          <t>30/09/2031</t>
        </is>
      </c>
    </row>
    <row r="837">
      <c r="A837" t="inlineStr">
        <is>
          <t>RESIDENCIAL BEYOND</t>
        </is>
      </c>
      <c r="B837" t="inlineStr">
        <is>
          <t>Etapa 1</t>
        </is>
      </c>
      <c r="C837" t="inlineStr">
        <is>
          <t>Edificio</t>
        </is>
      </c>
      <c r="D837" t="inlineStr">
        <is>
          <t>A</t>
        </is>
      </c>
      <c r="E837" t="inlineStr">
        <is>
          <t>Departamento</t>
        </is>
      </c>
      <c r="F837" t="inlineStr">
        <is>
          <t>702</t>
        </is>
      </c>
      <c r="G837" s="39" t="n">
        <v>430000</v>
      </c>
      <c r="H837" s="39" t="n">
        <v>382000</v>
      </c>
      <c r="M837" s="39" t="n"/>
      <c r="N837" s="39" t="n"/>
      <c r="S837" s="39" t="n"/>
      <c r="T837" s="39" t="n"/>
      <c r="Y837" s="39" t="n"/>
      <c r="Z837" s="39" t="n"/>
      <c r="AA837" t="inlineStr">
        <is>
          <t>Víctor Daniel Chuquihuaccha Hernandez</t>
        </is>
      </c>
      <c r="AB837" t="inlineStr">
        <is>
          <t>73229140</t>
        </is>
      </c>
      <c r="AC837" t="inlineStr">
        <is>
          <t>Calle Los Licopodios 468</t>
        </is>
      </c>
      <c r="AD837" t="n">
        <v>999533600</v>
      </c>
      <c r="AE837" t="inlineStr">
        <is>
          <t>999533600</t>
        </is>
      </c>
      <c r="AF837" t="inlineStr">
        <is>
          <t>victor.d.ch.h@gmail.com</t>
        </is>
      </c>
      <c r="AG837" t="inlineStr">
        <is>
          <t>LIMA</t>
        </is>
      </c>
      <c r="AH837" t="inlineStr">
        <is>
          <t>SAN JUAN DE LURIGANCHO</t>
        </is>
      </c>
      <c r="AI837" s="116" t="n">
        <v>46084</v>
      </c>
      <c r="AJ837" s="116" t="n"/>
      <c r="AK837" t="inlineStr">
        <is>
          <t>SALDO FINANCIAR</t>
        </is>
      </c>
      <c r="AL837" t="n">
        <v>1</v>
      </c>
      <c r="AM837" t="n">
        <v>343800</v>
      </c>
      <c r="AN837" t="n">
        <v>0</v>
      </c>
      <c r="AO837" t="n">
        <v>0</v>
      </c>
      <c r="AP837" s="39" t="n">
        <v>343800</v>
      </c>
      <c r="AQ837" s="39" t="n">
        <v>0</v>
      </c>
      <c r="AR837" s="39" t="n">
        <v>343800</v>
      </c>
      <c r="AT837" t="inlineStr">
        <is>
          <t>Crédito Hipotecario</t>
        </is>
      </c>
      <c r="AZ837" t="inlineStr">
        <is>
          <t>No</t>
        </is>
      </c>
      <c r="BC837" t="inlineStr">
        <is>
          <t>VENCIDO</t>
        </is>
      </c>
      <c r="BN837" t="inlineStr">
        <is>
          <t>No</t>
        </is>
      </c>
      <c r="BO837" s="117" t="n">
        <v>46031.40972222222</v>
      </c>
      <c r="BP837" t="inlineStr">
        <is>
          <t>Magaly Guevara Perez</t>
        </is>
      </c>
      <c r="BR837" t="n">
        <v>20</v>
      </c>
      <c r="BT837" t="n">
        <v>0</v>
      </c>
      <c r="BX837" t="inlineStr">
        <is>
          <t>Cobranzas_2026.csv</t>
        </is>
      </c>
      <c r="BY837" t="n">
        <v>2026</v>
      </c>
      <c r="BZ837" t="inlineStr">
        <is>
          <t>01/01/2024</t>
        </is>
      </c>
      <c r="CA837" t="inlineStr">
        <is>
          <t>30/09/2031</t>
        </is>
      </c>
    </row>
    <row r="838">
      <c r="A838" t="inlineStr">
        <is>
          <t>RESIDENCIAL BEYOND</t>
        </is>
      </c>
      <c r="B838" t="inlineStr">
        <is>
          <t>Etapa 1</t>
        </is>
      </c>
      <c r="C838" t="inlineStr">
        <is>
          <t>Edificio</t>
        </is>
      </c>
      <c r="D838" t="inlineStr">
        <is>
          <t>A</t>
        </is>
      </c>
      <c r="E838" t="inlineStr">
        <is>
          <t>Departamento</t>
        </is>
      </c>
      <c r="F838" t="inlineStr">
        <is>
          <t>301</t>
        </is>
      </c>
      <c r="G838" s="39" t="n">
        <v>531100</v>
      </c>
      <c r="H838" s="39" t="n">
        <v>475000</v>
      </c>
      <c r="M838" s="39" t="n"/>
      <c r="N838" s="39" t="n"/>
      <c r="S838" s="39" t="n"/>
      <c r="T838" s="39" t="n"/>
      <c r="Y838" s="39" t="n"/>
      <c r="Z838" s="39" t="n"/>
      <c r="AA838" t="inlineStr">
        <is>
          <t>Victor Hugo Quispe Cupe</t>
        </is>
      </c>
      <c r="AB838" t="inlineStr">
        <is>
          <t>09848317</t>
        </is>
      </c>
      <c r="AC838" t="inlineStr">
        <is>
          <t>Jr. Jose Arnaldo Marquez 1152 urb. Fundo Oyaque</t>
        </is>
      </c>
      <c r="AD838" t="n">
        <v>0</v>
      </c>
      <c r="AE838" t="inlineStr">
        <is>
          <t>998980237</t>
        </is>
      </c>
      <c r="AF838" t="inlineStr">
        <is>
          <t>vitolosc58@gmail.com</t>
        </is>
      </c>
      <c r="AG838" t="inlineStr">
        <is>
          <t>LIMA</t>
        </is>
      </c>
      <c r="AH838" t="inlineStr">
        <is>
          <t>JESUS MARIA</t>
        </is>
      </c>
      <c r="AI838" s="116" t="n">
        <v>46136</v>
      </c>
      <c r="AJ838" s="116" t="n">
        <v>46136</v>
      </c>
      <c r="AK838" t="inlineStr">
        <is>
          <t>CUOTA INICIAL</t>
        </is>
      </c>
      <c r="AL838" t="n">
        <v>1</v>
      </c>
      <c r="AM838" t="n">
        <v>139500</v>
      </c>
      <c r="AN838" t="n">
        <v>0</v>
      </c>
      <c r="AO838" t="n">
        <v>0</v>
      </c>
      <c r="AP838" s="39" t="n">
        <v>139500</v>
      </c>
      <c r="AQ838" s="39" t="n">
        <v>139500</v>
      </c>
      <c r="AR838" s="39" t="n">
        <v>0</v>
      </c>
      <c r="AS838" t="n">
        <v>0</v>
      </c>
      <c r="AT838" t="inlineStr">
        <is>
          <t>Crédito Directo</t>
        </is>
      </c>
      <c r="AU838" t="inlineStr">
        <is>
          <t>Banco de Credito del Perú</t>
        </is>
      </c>
      <c r="AV838" t="inlineStr">
        <is>
          <t>194-7325779-0-65</t>
        </is>
      </c>
      <c r="AW838" t="inlineStr">
        <is>
          <t>TRANSFERENCIA BANCARIA</t>
        </is>
      </c>
      <c r="AY838" t="inlineStr">
        <is>
          <t>8480027</t>
        </is>
      </c>
      <c r="AZ838" t="inlineStr">
        <is>
          <t>No</t>
        </is>
      </c>
      <c r="BB838" t="n">
        <v>4</v>
      </c>
      <c r="BC838" t="inlineStr">
        <is>
          <t>CANCELADO</t>
        </is>
      </c>
      <c r="BN838" t="inlineStr">
        <is>
          <t>Si</t>
        </is>
      </c>
      <c r="BO838" s="117" t="n">
        <v>46142.61944444444</v>
      </c>
      <c r="BP838" t="inlineStr">
        <is>
          <t>Magaly Guevara Perez</t>
        </is>
      </c>
      <c r="BR838" t="n">
        <v>50</v>
      </c>
      <c r="BS838" t="inlineStr">
        <is>
          <t>29/08/2026 17:24</t>
        </is>
      </c>
      <c r="BT838" t="n">
        <v>0</v>
      </c>
      <c r="BX838" t="inlineStr">
        <is>
          <t>Cobranzas_2026.csv</t>
        </is>
      </c>
      <c r="BY838" t="n">
        <v>2026</v>
      </c>
      <c r="BZ838" t="inlineStr">
        <is>
          <t>01/01/2024</t>
        </is>
      </c>
      <c r="CA838" t="inlineStr">
        <is>
          <t>30/09/2031</t>
        </is>
      </c>
    </row>
    <row r="839">
      <c r="A839" t="inlineStr">
        <is>
          <t>RESIDENCIAL BEYOND</t>
        </is>
      </c>
      <c r="B839" t="inlineStr">
        <is>
          <t>Etapa 1</t>
        </is>
      </c>
      <c r="C839" t="inlineStr">
        <is>
          <t>Edificio</t>
        </is>
      </c>
      <c r="D839" t="inlineStr">
        <is>
          <t>A</t>
        </is>
      </c>
      <c r="E839" t="inlineStr">
        <is>
          <t>Departamento</t>
        </is>
      </c>
      <c r="F839" t="inlineStr">
        <is>
          <t>301</t>
        </is>
      </c>
      <c r="G839" s="39" t="n">
        <v>531100</v>
      </c>
      <c r="H839" s="39" t="n">
        <v>475000</v>
      </c>
      <c r="M839" s="39" t="n"/>
      <c r="N839" s="39" t="n"/>
      <c r="S839" s="39" t="n"/>
      <c r="T839" s="39" t="n"/>
      <c r="Y839" s="39" t="n"/>
      <c r="Z839" s="39" t="n"/>
      <c r="AA839" t="inlineStr">
        <is>
          <t>Victor Hugo Quispe Cupe</t>
        </is>
      </c>
      <c r="AB839" t="inlineStr">
        <is>
          <t>09848317</t>
        </is>
      </c>
      <c r="AC839" t="inlineStr">
        <is>
          <t>Jr. Jose Arnaldo Marquez 1152 urb. Fundo Oyaque</t>
        </is>
      </c>
      <c r="AD839" t="n">
        <v>0</v>
      </c>
      <c r="AE839" t="inlineStr">
        <is>
          <t>998980237</t>
        </is>
      </c>
      <c r="AF839" t="inlineStr">
        <is>
          <t>vitolosc58@gmail.com</t>
        </is>
      </c>
      <c r="AG839" t="inlineStr">
        <is>
          <t>LIMA</t>
        </is>
      </c>
      <c r="AH839" t="inlineStr">
        <is>
          <t>JESUS MARIA</t>
        </is>
      </c>
      <c r="AI839" s="116" t="n">
        <v>46326</v>
      </c>
      <c r="AJ839" s="116" t="n"/>
      <c r="AK839" t="inlineStr">
        <is>
          <t>SALDO FINANCIAR</t>
        </is>
      </c>
      <c r="AL839" t="n">
        <v>1</v>
      </c>
      <c r="AM839" t="n">
        <v>20000</v>
      </c>
      <c r="AN839" t="n">
        <v>0</v>
      </c>
      <c r="AO839" t="n">
        <v>0</v>
      </c>
      <c r="AP839" s="39" t="n">
        <v>20000</v>
      </c>
      <c r="AQ839" s="39" t="n">
        <v>0</v>
      </c>
      <c r="AR839" s="39" t="n">
        <v>20000</v>
      </c>
      <c r="AT839" t="inlineStr">
        <is>
          <t>Crédito Directo</t>
        </is>
      </c>
      <c r="AZ839" t="inlineStr">
        <is>
          <t>No</t>
        </is>
      </c>
      <c r="BC839" t="inlineStr">
        <is>
          <t>PENDIENTE</t>
        </is>
      </c>
      <c r="BN839" t="inlineStr">
        <is>
          <t>No</t>
        </is>
      </c>
      <c r="BO839" s="117" t="n">
        <v>46142.61944444444</v>
      </c>
      <c r="BP839" t="inlineStr">
        <is>
          <t>Magaly Guevara Perez</t>
        </is>
      </c>
      <c r="BR839" t="n">
        <v>50</v>
      </c>
      <c r="BT839" t="n">
        <v>0</v>
      </c>
      <c r="BX839" t="inlineStr">
        <is>
          <t>Cobranzas_2026.csv</t>
        </is>
      </c>
      <c r="BY839" t="n">
        <v>2026</v>
      </c>
      <c r="BZ839" t="inlineStr">
        <is>
          <t>01/01/2024</t>
        </is>
      </c>
      <c r="CA839" t="inlineStr">
        <is>
          <t>30/09/2031</t>
        </is>
      </c>
    </row>
    <row r="840">
      <c r="A840" t="inlineStr">
        <is>
          <t>RESIDENCIAL BEYOND</t>
        </is>
      </c>
      <c r="B840" t="inlineStr">
        <is>
          <t>Etapa 1</t>
        </is>
      </c>
      <c r="C840" t="inlineStr">
        <is>
          <t>Edificio</t>
        </is>
      </c>
      <c r="D840" t="inlineStr">
        <is>
          <t>A</t>
        </is>
      </c>
      <c r="E840" t="inlineStr">
        <is>
          <t>Departamento</t>
        </is>
      </c>
      <c r="F840" t="inlineStr">
        <is>
          <t>301</t>
        </is>
      </c>
      <c r="G840" s="39" t="n">
        <v>531100</v>
      </c>
      <c r="H840" s="39" t="n">
        <v>475000</v>
      </c>
      <c r="M840" s="39" t="n"/>
      <c r="N840" s="39" t="n"/>
      <c r="S840" s="39" t="n"/>
      <c r="T840" s="39" t="n"/>
      <c r="Y840" s="39" t="n"/>
      <c r="Z840" s="39" t="n"/>
      <c r="AA840" t="inlineStr">
        <is>
          <t>Victor Hugo Quispe Cupe</t>
        </is>
      </c>
      <c r="AB840" t="inlineStr">
        <is>
          <t>09848317</t>
        </is>
      </c>
      <c r="AC840" t="inlineStr">
        <is>
          <t>Jr. Jose Arnaldo Marquez 1152 urb. Fundo Oyaque</t>
        </is>
      </c>
      <c r="AD840" t="n">
        <v>0</v>
      </c>
      <c r="AE840" t="inlineStr">
        <is>
          <t>998980237</t>
        </is>
      </c>
      <c r="AF840" t="inlineStr">
        <is>
          <t>vitolosc58@gmail.com</t>
        </is>
      </c>
      <c r="AG840" t="inlineStr">
        <is>
          <t>LIMA</t>
        </is>
      </c>
      <c r="AH840" t="inlineStr">
        <is>
          <t>JESUS MARIA</t>
        </is>
      </c>
      <c r="AI840" s="116" t="n">
        <v>46356</v>
      </c>
      <c r="AJ840" s="116" t="n"/>
      <c r="AK840" t="inlineStr">
        <is>
          <t>SALDO FINANCIAR</t>
        </is>
      </c>
      <c r="AL840" t="n">
        <v>2</v>
      </c>
      <c r="AM840" t="n">
        <v>20000</v>
      </c>
      <c r="AN840" t="n">
        <v>0</v>
      </c>
      <c r="AO840" t="n">
        <v>0</v>
      </c>
      <c r="AP840" s="39" t="n">
        <v>20000</v>
      </c>
      <c r="AQ840" s="39" t="n">
        <v>0</v>
      </c>
      <c r="AR840" s="39" t="n">
        <v>20000</v>
      </c>
      <c r="AT840" t="inlineStr">
        <is>
          <t>Crédito Directo</t>
        </is>
      </c>
      <c r="AZ840" t="inlineStr">
        <is>
          <t>No</t>
        </is>
      </c>
      <c r="BC840" t="inlineStr">
        <is>
          <t>PENDIENTE</t>
        </is>
      </c>
      <c r="BN840" t="inlineStr">
        <is>
          <t>No</t>
        </is>
      </c>
      <c r="BO840" s="117" t="n">
        <v>46142.61944444444</v>
      </c>
      <c r="BP840" t="inlineStr">
        <is>
          <t>Magaly Guevara Perez</t>
        </is>
      </c>
      <c r="BR840" t="n">
        <v>50</v>
      </c>
      <c r="BT840" t="n">
        <v>0</v>
      </c>
      <c r="BX840" t="inlineStr">
        <is>
          <t>Cobranzas_2026.csv</t>
        </is>
      </c>
      <c r="BY840" t="n">
        <v>2026</v>
      </c>
      <c r="BZ840" t="inlineStr">
        <is>
          <t>01/01/2024</t>
        </is>
      </c>
      <c r="CA840" t="inlineStr">
        <is>
          <t>30/09/2031</t>
        </is>
      </c>
    </row>
    <row r="841">
      <c r="A841" t="inlineStr">
        <is>
          <t>RESIDENCIAL BEYOND</t>
        </is>
      </c>
      <c r="B841" t="inlineStr">
        <is>
          <t>Etapa 1</t>
        </is>
      </c>
      <c r="C841" t="inlineStr">
        <is>
          <t>Edificio</t>
        </is>
      </c>
      <c r="D841" t="inlineStr">
        <is>
          <t>A</t>
        </is>
      </c>
      <c r="E841" t="inlineStr">
        <is>
          <t>Departamento</t>
        </is>
      </c>
      <c r="F841" t="inlineStr">
        <is>
          <t>301</t>
        </is>
      </c>
      <c r="G841" s="39" t="n">
        <v>531100</v>
      </c>
      <c r="H841" s="39" t="n">
        <v>475000</v>
      </c>
      <c r="M841" s="39" t="n"/>
      <c r="N841" s="39" t="n"/>
      <c r="S841" s="39" t="n"/>
      <c r="T841" s="39" t="n"/>
      <c r="Y841" s="39" t="n"/>
      <c r="Z841" s="39" t="n"/>
      <c r="AA841" t="inlineStr">
        <is>
          <t>Victor Hugo Quispe Cupe</t>
        </is>
      </c>
      <c r="AB841" t="inlineStr">
        <is>
          <t>09848317</t>
        </is>
      </c>
      <c r="AC841" t="inlineStr">
        <is>
          <t>Jr. Jose Arnaldo Marquez 1152 urb. Fundo Oyaque</t>
        </is>
      </c>
      <c r="AD841" t="n">
        <v>0</v>
      </c>
      <c r="AE841" t="inlineStr">
        <is>
          <t>998980237</t>
        </is>
      </c>
      <c r="AF841" t="inlineStr">
        <is>
          <t>vitolosc58@gmail.com</t>
        </is>
      </c>
      <c r="AG841" t="inlineStr">
        <is>
          <t>LIMA</t>
        </is>
      </c>
      <c r="AH841" t="inlineStr">
        <is>
          <t>JESUS MARIA</t>
        </is>
      </c>
      <c r="AI841" s="116" t="n">
        <v>46387</v>
      </c>
      <c r="AJ841" s="116" t="n"/>
      <c r="AK841" t="inlineStr">
        <is>
          <t>SALDO FINANCIAR</t>
        </is>
      </c>
      <c r="AL841" t="n">
        <v>3</v>
      </c>
      <c r="AM841" t="n">
        <v>20000</v>
      </c>
      <c r="AN841" t="n">
        <v>0</v>
      </c>
      <c r="AO841" t="n">
        <v>0</v>
      </c>
      <c r="AP841" s="39" t="n">
        <v>20000</v>
      </c>
      <c r="AQ841" s="39" t="n">
        <v>0</v>
      </c>
      <c r="AR841" s="39" t="n">
        <v>20000</v>
      </c>
      <c r="AT841" t="inlineStr">
        <is>
          <t>Crédito Directo</t>
        </is>
      </c>
      <c r="AZ841" t="inlineStr">
        <is>
          <t>No</t>
        </is>
      </c>
      <c r="BC841" t="inlineStr">
        <is>
          <t>PENDIENTE</t>
        </is>
      </c>
      <c r="BN841" t="inlineStr">
        <is>
          <t>No</t>
        </is>
      </c>
      <c r="BO841" s="117" t="n">
        <v>46142.61944444444</v>
      </c>
      <c r="BP841" t="inlineStr">
        <is>
          <t>Magaly Guevara Perez</t>
        </is>
      </c>
      <c r="BR841" t="n">
        <v>50</v>
      </c>
      <c r="BT841" t="n">
        <v>0</v>
      </c>
      <c r="BX841" t="inlineStr">
        <is>
          <t>Cobranzas_2026.csv</t>
        </is>
      </c>
      <c r="BY841" t="n">
        <v>2026</v>
      </c>
      <c r="BZ841" t="inlineStr">
        <is>
          <t>01/01/2024</t>
        </is>
      </c>
      <c r="CA841" t="inlineStr">
        <is>
          <t>30/09/2031</t>
        </is>
      </c>
    </row>
    <row r="842">
      <c r="A842" t="inlineStr">
        <is>
          <t>RESIDENCIAL BEYOND</t>
        </is>
      </c>
      <c r="B842" t="inlineStr">
        <is>
          <t>Etapa 1</t>
        </is>
      </c>
      <c r="C842" t="inlineStr">
        <is>
          <t>Edificio</t>
        </is>
      </c>
      <c r="D842" t="inlineStr">
        <is>
          <t>A</t>
        </is>
      </c>
      <c r="E842" t="inlineStr">
        <is>
          <t>Estacionamiento</t>
        </is>
      </c>
      <c r="F842" t="inlineStr">
        <is>
          <t>E 04 - D 02</t>
        </is>
      </c>
      <c r="G842" s="39" t="n">
        <v>52500</v>
      </c>
      <c r="H842" s="39" t="n">
        <v>52500</v>
      </c>
      <c r="M842" s="39" t="n"/>
      <c r="N842" s="39" t="n"/>
      <c r="S842" s="39" t="n"/>
      <c r="T842" s="39" t="n"/>
      <c r="Y842" s="39" t="n"/>
      <c r="Z842" s="39" t="n"/>
      <c r="AA842" t="inlineStr">
        <is>
          <t>Victor Hugo Quispe Cupe</t>
        </is>
      </c>
      <c r="AB842" t="inlineStr">
        <is>
          <t>09848317</t>
        </is>
      </c>
      <c r="AC842" t="inlineStr">
        <is>
          <t>Jr. Jose Arnaldo Marquez 1152 urb. Fundo Oyaque</t>
        </is>
      </c>
      <c r="AD842" t="n">
        <v>0</v>
      </c>
      <c r="AE842" t="inlineStr">
        <is>
          <t>998980237</t>
        </is>
      </c>
      <c r="AF842" t="inlineStr">
        <is>
          <t>vitolosc58@gmail.com</t>
        </is>
      </c>
      <c r="AG842" t="inlineStr">
        <is>
          <t>LIMA</t>
        </is>
      </c>
      <c r="AH842" t="inlineStr">
        <is>
          <t>JESUS MARIA</t>
        </is>
      </c>
      <c r="AI842" s="116" t="n">
        <v>46271</v>
      </c>
      <c r="AJ842" s="116" t="n">
        <v>45906</v>
      </c>
      <c r="AK842" t="inlineStr">
        <is>
          <t>CUOTA INICIAL</t>
        </is>
      </c>
      <c r="AL842" t="n">
        <v>1</v>
      </c>
      <c r="AM842" t="n">
        <v>7000</v>
      </c>
      <c r="AN842" t="n">
        <v>0</v>
      </c>
      <c r="AO842" t="n">
        <v>0</v>
      </c>
      <c r="AP842" s="39" t="n">
        <v>7000</v>
      </c>
      <c r="AQ842" s="39" t="n">
        <v>7000</v>
      </c>
      <c r="AR842" s="39" t="n">
        <v>0</v>
      </c>
      <c r="AS842" t="n">
        <v>0</v>
      </c>
      <c r="AT842" t="inlineStr">
        <is>
          <t>Crédito Directo</t>
        </is>
      </c>
      <c r="AU842" t="inlineStr">
        <is>
          <t>Banco de Credito del Perú</t>
        </is>
      </c>
      <c r="AV842" t="inlineStr">
        <is>
          <t>194-7325779-0-65</t>
        </is>
      </c>
      <c r="AW842" t="inlineStr">
        <is>
          <t>TRANSFERENCIA BANCARIA</t>
        </is>
      </c>
      <c r="AY842" t="inlineStr">
        <is>
          <t>01694756</t>
        </is>
      </c>
      <c r="AZ842" t="inlineStr">
        <is>
          <t>No</t>
        </is>
      </c>
      <c r="BB842" t="n">
        <v>4</v>
      </c>
      <c r="BC842" t="inlineStr">
        <is>
          <t>CANCELADO</t>
        </is>
      </c>
      <c r="BN842" t="inlineStr">
        <is>
          <t>Si</t>
        </is>
      </c>
      <c r="BO842" s="117" t="n">
        <v>45906.88125</v>
      </c>
      <c r="BP842" t="inlineStr">
        <is>
          <t>Magaly Guevara Perez</t>
        </is>
      </c>
      <c r="BR842" t="n">
        <v>56</v>
      </c>
      <c r="BS842" t="inlineStr">
        <is>
          <t>26/08/2026 21:12</t>
        </is>
      </c>
      <c r="BT842" t="n">
        <v>0</v>
      </c>
      <c r="BX842" t="inlineStr">
        <is>
          <t>Cobranzas_2026.csv</t>
        </is>
      </c>
      <c r="BY842" t="n">
        <v>2026</v>
      </c>
      <c r="BZ842" t="inlineStr">
        <is>
          <t>01/01/2024</t>
        </is>
      </c>
      <c r="CA842" t="inlineStr">
        <is>
          <t>30/09/2031</t>
        </is>
      </c>
    </row>
    <row r="843">
      <c r="A843" t="inlineStr">
        <is>
          <t>RESIDENCIAL BEYOND</t>
        </is>
      </c>
      <c r="B843" t="inlineStr">
        <is>
          <t>Etapa 1</t>
        </is>
      </c>
      <c r="C843" t="inlineStr">
        <is>
          <t>Edificio</t>
        </is>
      </c>
      <c r="D843" t="inlineStr">
        <is>
          <t>A</t>
        </is>
      </c>
      <c r="E843" t="inlineStr">
        <is>
          <t>Departamento</t>
        </is>
      </c>
      <c r="F843" t="inlineStr">
        <is>
          <t>603</t>
        </is>
      </c>
      <c r="G843" s="39" t="n">
        <v>504700</v>
      </c>
      <c r="H843" s="39" t="n">
        <v>478000</v>
      </c>
      <c r="I843" t="inlineStr">
        <is>
          <t>Edificio</t>
        </is>
      </c>
      <c r="J843" t="inlineStr">
        <is>
          <t>A</t>
        </is>
      </c>
      <c r="K843" t="inlineStr">
        <is>
          <t>Estacionamiento</t>
        </is>
      </c>
      <c r="L843" t="inlineStr">
        <is>
          <t>E 37 - D 23</t>
        </is>
      </c>
      <c r="M843" s="39" t="n">
        <v>50000</v>
      </c>
      <c r="N843" s="39" t="n">
        <v>50000</v>
      </c>
      <c r="S843" s="39" t="n"/>
      <c r="T843" s="39" t="n"/>
      <c r="Y843" s="39" t="n"/>
      <c r="Z843" s="39" t="n"/>
      <c r="AA843" t="inlineStr">
        <is>
          <t>Vivina Pasco Blas Vda. De Saenz</t>
        </is>
      </c>
      <c r="AB843" t="inlineStr">
        <is>
          <t>08494885</t>
        </is>
      </c>
      <c r="AC843" t="inlineStr">
        <is>
          <t>Av. Cordialidad 8079 Urb. Floresta De Pro</t>
        </is>
      </c>
      <c r="AD843" t="n">
        <v>0</v>
      </c>
      <c r="AE843" t="inlineStr">
        <is>
          <t>992686657</t>
        </is>
      </c>
      <c r="AF843" t="inlineStr">
        <is>
          <t>g.saenz22@gmail.com</t>
        </is>
      </c>
      <c r="AG843" t="inlineStr">
        <is>
          <t>LIMA</t>
        </is>
      </c>
      <c r="AH843" t="inlineStr">
        <is>
          <t>LOS OLIVOS</t>
        </is>
      </c>
      <c r="AI843" s="116" t="n">
        <v>46096</v>
      </c>
      <c r="AJ843" s="116" t="n">
        <v>46096</v>
      </c>
      <c r="AK843" t="inlineStr">
        <is>
          <t>SEPARACION</t>
        </is>
      </c>
      <c r="AL843" t="n">
        <v>1</v>
      </c>
      <c r="AM843" t="n">
        <v>3000</v>
      </c>
      <c r="AN843" t="n">
        <v>0</v>
      </c>
      <c r="AO843" t="n">
        <v>0</v>
      </c>
      <c r="AP843" s="39" t="n">
        <v>3000</v>
      </c>
      <c r="AQ843" s="39" t="n">
        <v>3000</v>
      </c>
      <c r="AR843" s="39" t="n">
        <v>0</v>
      </c>
      <c r="AS843" t="n">
        <v>0</v>
      </c>
      <c r="AT843" t="inlineStr">
        <is>
          <t>Ahorro</t>
        </is>
      </c>
      <c r="AU843" t="inlineStr">
        <is>
          <t>Banco de Credito del Perú</t>
        </is>
      </c>
      <c r="AV843" t="inlineStr">
        <is>
          <t>194-7325779-0-65</t>
        </is>
      </c>
      <c r="AW843" t="inlineStr">
        <is>
          <t>POS VISA</t>
        </is>
      </c>
      <c r="AY843" t="inlineStr">
        <is>
          <t>0046485044</t>
        </is>
      </c>
      <c r="AZ843" t="inlineStr">
        <is>
          <t>No</t>
        </is>
      </c>
      <c r="BB843" t="n">
        <v>4</v>
      </c>
      <c r="BC843" t="inlineStr">
        <is>
          <t>CANCELADO</t>
        </is>
      </c>
      <c r="BN843" t="inlineStr">
        <is>
          <t>Si</t>
        </is>
      </c>
      <c r="BO843" s="117" t="n">
        <v>46112.40555555555</v>
      </c>
      <c r="BP843" t="inlineStr">
        <is>
          <t>Magaly Guevara Perez</t>
        </is>
      </c>
      <c r="BR843" t="n">
        <v>23</v>
      </c>
      <c r="BS843" t="inlineStr">
        <is>
          <t>01/05/2026 20:31</t>
        </is>
      </c>
      <c r="BT843" t="n">
        <v>0</v>
      </c>
      <c r="BX843" t="inlineStr">
        <is>
          <t>Cobranzas_2026.csv</t>
        </is>
      </c>
      <c r="BY843" t="n">
        <v>2026</v>
      </c>
      <c r="BZ843" t="inlineStr">
        <is>
          <t>01/01/2024</t>
        </is>
      </c>
      <c r="CA843" t="inlineStr">
        <is>
          <t>30/09/2031</t>
        </is>
      </c>
    </row>
    <row r="844">
      <c r="A844" t="inlineStr">
        <is>
          <t>RESIDENCIAL BEYOND</t>
        </is>
      </c>
      <c r="B844" t="inlineStr">
        <is>
          <t>Etapa 1</t>
        </is>
      </c>
      <c r="C844" t="inlineStr">
        <is>
          <t>Edificio</t>
        </is>
      </c>
      <c r="D844" t="inlineStr">
        <is>
          <t>A</t>
        </is>
      </c>
      <c r="E844" t="inlineStr">
        <is>
          <t>Departamento</t>
        </is>
      </c>
      <c r="F844" t="inlineStr">
        <is>
          <t>603</t>
        </is>
      </c>
      <c r="G844" s="39" t="n">
        <v>504700</v>
      </c>
      <c r="H844" s="39" t="n">
        <v>478000</v>
      </c>
      <c r="I844" t="inlineStr">
        <is>
          <t>Edificio</t>
        </is>
      </c>
      <c r="J844" t="inlineStr">
        <is>
          <t>A</t>
        </is>
      </c>
      <c r="K844" t="inlineStr">
        <is>
          <t>Estacionamiento</t>
        </is>
      </c>
      <c r="L844" t="inlineStr">
        <is>
          <t>E 37 - D 23</t>
        </is>
      </c>
      <c r="M844" s="39" t="n">
        <v>50000</v>
      </c>
      <c r="N844" s="39" t="n">
        <v>50000</v>
      </c>
      <c r="S844" s="39" t="n"/>
      <c r="T844" s="39" t="n"/>
      <c r="Y844" s="39" t="n"/>
      <c r="Z844" s="39" t="n"/>
      <c r="AA844" t="inlineStr">
        <is>
          <t>Vivina Pasco Blas Vda. De Saenz</t>
        </is>
      </c>
      <c r="AB844" t="inlineStr">
        <is>
          <t>08494885</t>
        </is>
      </c>
      <c r="AC844" t="inlineStr">
        <is>
          <t>Av. Cordialidad 8079 Urb. Floresta De Pro</t>
        </is>
      </c>
      <c r="AD844" t="n">
        <v>0</v>
      </c>
      <c r="AE844" t="inlineStr">
        <is>
          <t>992686657</t>
        </is>
      </c>
      <c r="AF844" t="inlineStr">
        <is>
          <t>g.saenz22@gmail.com</t>
        </is>
      </c>
      <c r="AG844" t="inlineStr">
        <is>
          <t>LIMA</t>
        </is>
      </c>
      <c r="AH844" t="inlineStr">
        <is>
          <t>LOS OLIVOS</t>
        </is>
      </c>
      <c r="AI844" s="116" t="n">
        <v>46112</v>
      </c>
      <c r="AJ844" s="116" t="n">
        <v>46112</v>
      </c>
      <c r="AK844" t="inlineStr">
        <is>
          <t>CUOTA INICIAL</t>
        </is>
      </c>
      <c r="AL844" t="n">
        <v>1</v>
      </c>
      <c r="AM844" t="n">
        <v>100000</v>
      </c>
      <c r="AN844" t="n">
        <v>0</v>
      </c>
      <c r="AO844" t="n">
        <v>0</v>
      </c>
      <c r="AP844" s="39" t="n">
        <v>100000</v>
      </c>
      <c r="AQ844" s="39" t="n">
        <v>100000</v>
      </c>
      <c r="AR844" s="39" t="n">
        <v>0</v>
      </c>
      <c r="AS844" t="n">
        <v>0</v>
      </c>
      <c r="AT844" t="inlineStr">
        <is>
          <t>Ahorro</t>
        </is>
      </c>
      <c r="AU844" t="inlineStr">
        <is>
          <t>Banco de Credito del Perú</t>
        </is>
      </c>
      <c r="AV844" t="inlineStr">
        <is>
          <t>194-7325779-0-65</t>
        </is>
      </c>
      <c r="AW844" t="inlineStr">
        <is>
          <t>TRANSFERENCIA BANCARIA</t>
        </is>
      </c>
      <c r="AY844" t="inlineStr">
        <is>
          <t>00034</t>
        </is>
      </c>
      <c r="AZ844" t="inlineStr">
        <is>
          <t>No</t>
        </is>
      </c>
      <c r="BB844" t="n">
        <v>3.47</v>
      </c>
      <c r="BC844" t="inlineStr">
        <is>
          <t>CANCELADO</t>
        </is>
      </c>
      <c r="BN844" t="inlineStr">
        <is>
          <t>Si</t>
        </is>
      </c>
      <c r="BO844" s="117" t="n">
        <v>46112.40555555555</v>
      </c>
      <c r="BP844" t="inlineStr">
        <is>
          <t>Magaly Guevara Perez</t>
        </is>
      </c>
      <c r="BR844" t="n">
        <v>23</v>
      </c>
      <c r="BS844" t="inlineStr">
        <is>
          <t>20/08/2026 07:55</t>
        </is>
      </c>
      <c r="BT844" t="n">
        <v>0</v>
      </c>
      <c r="BX844" t="inlineStr">
        <is>
          <t>Cobranzas_2026.csv</t>
        </is>
      </c>
      <c r="BY844" t="n">
        <v>2026</v>
      </c>
      <c r="BZ844" t="inlineStr">
        <is>
          <t>01/01/2024</t>
        </is>
      </c>
      <c r="CA844" t="inlineStr">
        <is>
          <t>30/09/2031</t>
        </is>
      </c>
    </row>
    <row r="845">
      <c r="A845" t="inlineStr">
        <is>
          <t>RESIDENCIAL BEYOND</t>
        </is>
      </c>
      <c r="B845" t="inlineStr">
        <is>
          <t>Etapa 1</t>
        </is>
      </c>
      <c r="C845" t="inlineStr">
        <is>
          <t>Edificio</t>
        </is>
      </c>
      <c r="D845" t="inlineStr">
        <is>
          <t>A</t>
        </is>
      </c>
      <c r="E845" t="inlineStr">
        <is>
          <t>Departamento</t>
        </is>
      </c>
      <c r="F845" t="inlineStr">
        <is>
          <t>603</t>
        </is>
      </c>
      <c r="G845" s="39" t="n">
        <v>504700</v>
      </c>
      <c r="H845" s="39" t="n">
        <v>478000</v>
      </c>
      <c r="I845" t="inlineStr">
        <is>
          <t>Edificio</t>
        </is>
      </c>
      <c r="J845" t="inlineStr">
        <is>
          <t>A</t>
        </is>
      </c>
      <c r="K845" t="inlineStr">
        <is>
          <t>Estacionamiento</t>
        </is>
      </c>
      <c r="L845" t="inlineStr">
        <is>
          <t>E 37 - D 23</t>
        </is>
      </c>
      <c r="M845" s="39" t="n">
        <v>50000</v>
      </c>
      <c r="N845" s="39" t="n">
        <v>50000</v>
      </c>
      <c r="S845" s="39" t="n"/>
      <c r="T845" s="39" t="n"/>
      <c r="Y845" s="39" t="n"/>
      <c r="Z845" s="39" t="n"/>
      <c r="AA845" t="inlineStr">
        <is>
          <t>Vivina Pasco Blas Vda. De Saenz</t>
        </is>
      </c>
      <c r="AB845" t="inlineStr">
        <is>
          <t>08494885</t>
        </is>
      </c>
      <c r="AC845" t="inlineStr">
        <is>
          <t>Av. Cordialidad 8079 Urb. Floresta De Pro</t>
        </is>
      </c>
      <c r="AD845" t="n">
        <v>0</v>
      </c>
      <c r="AE845" t="inlineStr">
        <is>
          <t>992686657</t>
        </is>
      </c>
      <c r="AF845" t="inlineStr">
        <is>
          <t>g.saenz22@gmail.com</t>
        </is>
      </c>
      <c r="AG845" t="inlineStr">
        <is>
          <t>LIMA</t>
        </is>
      </c>
      <c r="AH845" t="inlineStr">
        <is>
          <t>LOS OLIVOS</t>
        </is>
      </c>
      <c r="AI845" s="116" t="n">
        <v>46127</v>
      </c>
      <c r="AJ845" s="116" t="n">
        <v>46127</v>
      </c>
      <c r="AK845" t="inlineStr">
        <is>
          <t>CUOTA INICIAL</t>
        </is>
      </c>
      <c r="AL845" t="n">
        <v>2</v>
      </c>
      <c r="AM845" t="n">
        <v>161000</v>
      </c>
      <c r="AN845" t="n">
        <v>0</v>
      </c>
      <c r="AO845" t="n">
        <v>0</v>
      </c>
      <c r="AP845" s="39" t="n">
        <v>161000</v>
      </c>
      <c r="AQ845" s="39" t="n">
        <v>161000</v>
      </c>
      <c r="AR845" s="39" t="n">
        <v>0</v>
      </c>
      <c r="AS845" t="n">
        <v>0</v>
      </c>
      <c r="AT845" t="inlineStr">
        <is>
          <t>Ahorro</t>
        </is>
      </c>
      <c r="AU845" t="inlineStr">
        <is>
          <t>Banco de Credito del Perú</t>
        </is>
      </c>
      <c r="AV845" t="inlineStr">
        <is>
          <t>194-7325779-0-65</t>
        </is>
      </c>
      <c r="AW845" t="inlineStr">
        <is>
          <t>TRANSFERENCIA BANCARIA</t>
        </is>
      </c>
      <c r="AY845" t="inlineStr">
        <is>
          <t>00112</t>
        </is>
      </c>
      <c r="AZ845" t="inlineStr">
        <is>
          <t>No</t>
        </is>
      </c>
      <c r="BB845" t="n">
        <v>3.47</v>
      </c>
      <c r="BC845" t="inlineStr">
        <is>
          <t>CANCELADO</t>
        </is>
      </c>
      <c r="BN845" t="inlineStr">
        <is>
          <t>Si</t>
        </is>
      </c>
      <c r="BO845" s="117" t="n">
        <v>46112.40555555555</v>
      </c>
      <c r="BP845" t="inlineStr">
        <is>
          <t>Magaly Guevara Perez</t>
        </is>
      </c>
      <c r="BR845" t="n">
        <v>23</v>
      </c>
      <c r="BS845" t="inlineStr">
        <is>
          <t>20/08/2026 07:55</t>
        </is>
      </c>
      <c r="BT845" t="n">
        <v>0</v>
      </c>
      <c r="BX845" t="inlineStr">
        <is>
          <t>Cobranzas_2026.csv</t>
        </is>
      </c>
      <c r="BY845" t="n">
        <v>2026</v>
      </c>
      <c r="BZ845" t="inlineStr">
        <is>
          <t>01/01/2024</t>
        </is>
      </c>
      <c r="CA845" t="inlineStr">
        <is>
          <t>30/09/2031</t>
        </is>
      </c>
    </row>
    <row r="846">
      <c r="A846" t="inlineStr">
        <is>
          <t>RESIDENCIAL BEYOND</t>
        </is>
      </c>
      <c r="B846" t="inlineStr">
        <is>
          <t>Etapa 1</t>
        </is>
      </c>
      <c r="C846" t="inlineStr">
        <is>
          <t>Edificio</t>
        </is>
      </c>
      <c r="D846" t="inlineStr">
        <is>
          <t>A</t>
        </is>
      </c>
      <c r="E846" t="inlineStr">
        <is>
          <t>Departamento</t>
        </is>
      </c>
      <c r="F846" t="inlineStr">
        <is>
          <t>603</t>
        </is>
      </c>
      <c r="G846" s="39" t="n">
        <v>504700</v>
      </c>
      <c r="H846" s="39" t="n">
        <v>478000</v>
      </c>
      <c r="I846" t="inlineStr">
        <is>
          <t>Edificio</t>
        </is>
      </c>
      <c r="J846" t="inlineStr">
        <is>
          <t>A</t>
        </is>
      </c>
      <c r="K846" t="inlineStr">
        <is>
          <t>Estacionamiento</t>
        </is>
      </c>
      <c r="L846" t="inlineStr">
        <is>
          <t>E 37 - D 23</t>
        </is>
      </c>
      <c r="M846" s="39" t="n">
        <v>50000</v>
      </c>
      <c r="N846" s="39" t="n">
        <v>50000</v>
      </c>
      <c r="S846" s="39" t="n"/>
      <c r="T846" s="39" t="n"/>
      <c r="Y846" s="39" t="n"/>
      <c r="Z846" s="39" t="n"/>
      <c r="AA846" t="inlineStr">
        <is>
          <t>Vivina Pasco Blas Vda. De Saenz</t>
        </is>
      </c>
      <c r="AB846" t="inlineStr">
        <is>
          <t>08494885</t>
        </is>
      </c>
      <c r="AC846" t="inlineStr">
        <is>
          <t>Av. Cordialidad 8079 Urb. Floresta De Pro</t>
        </is>
      </c>
      <c r="AD846" t="n">
        <v>0</v>
      </c>
      <c r="AE846" t="inlineStr">
        <is>
          <t>992686657</t>
        </is>
      </c>
      <c r="AF846" t="inlineStr">
        <is>
          <t>g.saenz22@gmail.com</t>
        </is>
      </c>
      <c r="AG846" t="inlineStr">
        <is>
          <t>LIMA</t>
        </is>
      </c>
      <c r="AH846" t="inlineStr">
        <is>
          <t>LOS OLIVOS</t>
        </is>
      </c>
      <c r="AI846" s="116" t="n">
        <v>46387</v>
      </c>
      <c r="AJ846" s="116" t="n"/>
      <c r="AK846" t="inlineStr">
        <is>
          <t>SALDO FINANCIAR</t>
        </is>
      </c>
      <c r="AL846" t="n">
        <v>1</v>
      </c>
      <c r="AM846" t="n">
        <v>66000</v>
      </c>
      <c r="AN846" t="n">
        <v>0</v>
      </c>
      <c r="AO846" t="n">
        <v>0</v>
      </c>
      <c r="AP846" s="39" t="n">
        <v>66000</v>
      </c>
      <c r="AQ846" s="39" t="n">
        <v>0</v>
      </c>
      <c r="AR846" s="39" t="n">
        <v>66000</v>
      </c>
      <c r="AT846" t="inlineStr">
        <is>
          <t>Ahorro</t>
        </is>
      </c>
      <c r="AZ846" t="inlineStr">
        <is>
          <t>No</t>
        </is>
      </c>
      <c r="BC846" t="inlineStr">
        <is>
          <t>PENDIENTE</t>
        </is>
      </c>
      <c r="BN846" t="inlineStr">
        <is>
          <t>No</t>
        </is>
      </c>
      <c r="BO846" s="117" t="n">
        <v>46112.40555555555</v>
      </c>
      <c r="BP846" t="inlineStr">
        <is>
          <t>Magaly Guevara Perez</t>
        </is>
      </c>
      <c r="BR846" t="n">
        <v>23</v>
      </c>
      <c r="BT846" t="n">
        <v>0</v>
      </c>
      <c r="BX846" t="inlineStr">
        <is>
          <t>Cobranzas_2026.csv</t>
        </is>
      </c>
      <c r="BY846" t="n">
        <v>2026</v>
      </c>
      <c r="BZ846" t="inlineStr">
        <is>
          <t>01/01/2024</t>
        </is>
      </c>
      <c r="CA846" t="inlineStr">
        <is>
          <t>30/09/2031</t>
        </is>
      </c>
    </row>
    <row r="847">
      <c r="A847" t="inlineStr">
        <is>
          <t>RESIDENCIAL PRADA</t>
        </is>
      </c>
      <c r="B847" t="inlineStr">
        <is>
          <t>Etapa 1</t>
        </is>
      </c>
      <c r="C847" t="inlineStr">
        <is>
          <t>Edificio</t>
        </is>
      </c>
      <c r="D847" t="inlineStr">
        <is>
          <t>A</t>
        </is>
      </c>
      <c r="E847" t="inlineStr">
        <is>
          <t>Departamento</t>
        </is>
      </c>
      <c r="F847" t="inlineStr">
        <is>
          <t>905</t>
        </is>
      </c>
      <c r="G847" s="39" t="n">
        <v>489000</v>
      </c>
      <c r="H847" s="39" t="n">
        <v>489000</v>
      </c>
      <c r="I847" t="inlineStr">
        <is>
          <t>Edificio</t>
        </is>
      </c>
      <c r="J847" t="inlineStr">
        <is>
          <t>A</t>
        </is>
      </c>
      <c r="K847" t="inlineStr">
        <is>
          <t>Estacionamiento</t>
        </is>
      </c>
      <c r="L847" t="inlineStr">
        <is>
          <t>E 36</t>
        </is>
      </c>
      <c r="M847" s="39" t="n">
        <v>46000</v>
      </c>
      <c r="N847" s="39" t="n">
        <v>46000</v>
      </c>
      <c r="S847" s="39" t="n"/>
      <c r="T847" s="39" t="n"/>
      <c r="Y847" s="39" t="n"/>
      <c r="Z847" s="39" t="n"/>
      <c r="AA847" t="inlineStr">
        <is>
          <t>Walther Antonio Espinoza Gomez</t>
        </is>
      </c>
      <c r="AB847" t="inlineStr">
        <is>
          <t>08657121</t>
        </is>
      </c>
      <c r="AC847" t="inlineStr">
        <is>
          <t>Jr. El Chaco 2422</t>
        </is>
      </c>
      <c r="AD847" t="n">
        <v>0</v>
      </c>
      <c r="AE847" t="inlineStr">
        <is>
          <t>998144198</t>
        </is>
      </c>
      <c r="AF847" t="inlineStr">
        <is>
          <t>wespinozawaeg@gmail.com</t>
        </is>
      </c>
      <c r="AG847" t="inlineStr">
        <is>
          <t>LIMA</t>
        </is>
      </c>
      <c r="AH847" t="inlineStr">
        <is>
          <t>SAN MARTIN DE PORRES</t>
        </is>
      </c>
      <c r="AI847" s="116" t="n">
        <v>46033</v>
      </c>
      <c r="AJ847" s="116" t="n">
        <v>46027</v>
      </c>
      <c r="AK847" t="inlineStr">
        <is>
          <t>CUOTA INICIAL</t>
        </is>
      </c>
      <c r="AL847" t="n">
        <v>1</v>
      </c>
      <c r="AM847" t="n">
        <v>53500</v>
      </c>
      <c r="AN847" t="n">
        <v>0</v>
      </c>
      <c r="AO847" t="n">
        <v>0</v>
      </c>
      <c r="AP847" s="39" t="n">
        <v>53500</v>
      </c>
      <c r="AQ847" s="39" t="n">
        <v>3000</v>
      </c>
      <c r="AR847" s="39" t="n">
        <v>0</v>
      </c>
      <c r="AS847" t="n">
        <v>0</v>
      </c>
      <c r="AT847" t="inlineStr">
        <is>
          <t>Crédito Hipotecario</t>
        </is>
      </c>
      <c r="AU847" t="inlineStr">
        <is>
          <t>Scotiabank Perú</t>
        </is>
      </c>
      <c r="AV847" t="inlineStr">
        <is>
          <t>000-2768484</t>
        </is>
      </c>
      <c r="AW847" t="inlineStr">
        <is>
          <t>TRANSFERENCIA BANCARIA</t>
        </is>
      </c>
      <c r="AY847" t="inlineStr">
        <is>
          <t>7844655534658</t>
        </is>
      </c>
      <c r="AZ847" t="inlineStr">
        <is>
          <t>No</t>
        </is>
      </c>
      <c r="BB847" t="n">
        <v>4</v>
      </c>
      <c r="BC847" t="inlineStr">
        <is>
          <t>CANCELADO</t>
        </is>
      </c>
      <c r="BN847" t="inlineStr">
        <is>
          <t>Si</t>
        </is>
      </c>
      <c r="BO847" s="117" t="n">
        <v>46033.65763888889</v>
      </c>
      <c r="BP847" t="inlineStr">
        <is>
          <t>Magaly Guevara Perez</t>
        </is>
      </c>
      <c r="BR847" t="n">
        <v>51</v>
      </c>
      <c r="BS847" t="inlineStr">
        <is>
          <t>07/07/2026 15:44</t>
        </is>
      </c>
      <c r="BT847" t="n">
        <v>0</v>
      </c>
      <c r="BX847" t="inlineStr">
        <is>
          <t>Cobranzas_2026.csv</t>
        </is>
      </c>
      <c r="BY847" t="n">
        <v>2026</v>
      </c>
      <c r="BZ847" t="inlineStr">
        <is>
          <t>01/01/2024</t>
        </is>
      </c>
      <c r="CA847" t="inlineStr">
        <is>
          <t>30/09/2031</t>
        </is>
      </c>
    </row>
    <row r="848">
      <c r="A848" t="inlineStr">
        <is>
          <t>RESIDENCIAL PRADA</t>
        </is>
      </c>
      <c r="B848" t="inlineStr">
        <is>
          <t>Etapa 1</t>
        </is>
      </c>
      <c r="C848" t="inlineStr">
        <is>
          <t>Edificio</t>
        </is>
      </c>
      <c r="D848" t="inlineStr">
        <is>
          <t>A</t>
        </is>
      </c>
      <c r="E848" t="inlineStr">
        <is>
          <t>Departamento</t>
        </is>
      </c>
      <c r="F848" t="inlineStr">
        <is>
          <t>905</t>
        </is>
      </c>
      <c r="G848" s="39" t="n">
        <v>489000</v>
      </c>
      <c r="H848" s="39" t="n">
        <v>489000</v>
      </c>
      <c r="I848" t="inlineStr">
        <is>
          <t>Edificio</t>
        </is>
      </c>
      <c r="J848" t="inlineStr">
        <is>
          <t>A</t>
        </is>
      </c>
      <c r="K848" t="inlineStr">
        <is>
          <t>Estacionamiento</t>
        </is>
      </c>
      <c r="L848" t="inlineStr">
        <is>
          <t>E 36</t>
        </is>
      </c>
      <c r="M848" s="39" t="n">
        <v>46000</v>
      </c>
      <c r="N848" s="39" t="n">
        <v>46000</v>
      </c>
      <c r="S848" s="39" t="n"/>
      <c r="T848" s="39" t="n"/>
      <c r="Y848" s="39" t="n"/>
      <c r="Z848" s="39" t="n"/>
      <c r="AA848" t="inlineStr">
        <is>
          <t>Walther Antonio Espinoza Gomez</t>
        </is>
      </c>
      <c r="AB848" t="inlineStr">
        <is>
          <t>08657121</t>
        </is>
      </c>
      <c r="AC848" t="inlineStr">
        <is>
          <t>Jr. El Chaco 2422</t>
        </is>
      </c>
      <c r="AD848" t="n">
        <v>0</v>
      </c>
      <c r="AE848" t="inlineStr">
        <is>
          <t>998144198</t>
        </is>
      </c>
      <c r="AF848" t="inlineStr">
        <is>
          <t>wespinozawaeg@gmail.com</t>
        </is>
      </c>
      <c r="AG848" t="inlineStr">
        <is>
          <t>LIMA</t>
        </is>
      </c>
      <c r="AH848" t="inlineStr">
        <is>
          <t>SAN MARTIN DE PORRES</t>
        </is>
      </c>
      <c r="AI848" s="116" t="n">
        <v>46033</v>
      </c>
      <c r="AJ848" s="116" t="n">
        <v>46033</v>
      </c>
      <c r="AK848" t="inlineStr">
        <is>
          <t>CUOTA INICIAL</t>
        </is>
      </c>
      <c r="AL848" t="n">
        <v>1</v>
      </c>
      <c r="AM848" t="n">
        <v>0</v>
      </c>
      <c r="AN848" t="n">
        <v>0</v>
      </c>
      <c r="AO848" t="n">
        <v>0</v>
      </c>
      <c r="AP848" s="39" t="n">
        <v>0</v>
      </c>
      <c r="AQ848" s="39" t="n">
        <v>50500</v>
      </c>
      <c r="AR848" s="39" t="n">
        <v>0</v>
      </c>
      <c r="AS848" t="n">
        <v>0</v>
      </c>
      <c r="AT848" t="inlineStr">
        <is>
          <t>Crédito Hipotecario</t>
        </is>
      </c>
      <c r="AU848" t="inlineStr">
        <is>
          <t>Scotiabank Perú</t>
        </is>
      </c>
      <c r="AV848" t="inlineStr">
        <is>
          <t>000-2768484</t>
        </is>
      </c>
      <c r="AW848" t="inlineStr">
        <is>
          <t>TRANSFERENCIA BANCARIA</t>
        </is>
      </c>
      <c r="AY848" t="inlineStr">
        <is>
          <t>039000000012211</t>
        </is>
      </c>
      <c r="AZ848" t="inlineStr">
        <is>
          <t>No</t>
        </is>
      </c>
      <c r="BB848" t="n">
        <v>4</v>
      </c>
      <c r="BC848" t="inlineStr">
        <is>
          <t>CANCELADO</t>
        </is>
      </c>
      <c r="BN848" t="inlineStr">
        <is>
          <t>Si</t>
        </is>
      </c>
      <c r="BO848" s="117" t="n">
        <v>46033.65763888889</v>
      </c>
      <c r="BP848" t="inlineStr">
        <is>
          <t>Magaly Guevara Perez</t>
        </is>
      </c>
      <c r="BR848" t="n">
        <v>51</v>
      </c>
      <c r="BS848" t="inlineStr">
        <is>
          <t>07/07/2026 15:45</t>
        </is>
      </c>
      <c r="BT848" t="n">
        <v>0</v>
      </c>
      <c r="BX848" t="inlineStr">
        <is>
          <t>Cobranzas_2026.csv</t>
        </is>
      </c>
      <c r="BY848" t="n">
        <v>2026</v>
      </c>
      <c r="BZ848" t="inlineStr">
        <is>
          <t>01/01/2024</t>
        </is>
      </c>
      <c r="CA848" t="inlineStr">
        <is>
          <t>30/09/2031</t>
        </is>
      </c>
    </row>
    <row r="849">
      <c r="A849" t="inlineStr">
        <is>
          <t>RESIDENCIAL PRADA</t>
        </is>
      </c>
      <c r="B849" t="inlineStr">
        <is>
          <t>Etapa 1</t>
        </is>
      </c>
      <c r="C849" t="inlineStr">
        <is>
          <t>Edificio</t>
        </is>
      </c>
      <c r="D849" t="inlineStr">
        <is>
          <t>A</t>
        </is>
      </c>
      <c r="E849" t="inlineStr">
        <is>
          <t>Departamento</t>
        </is>
      </c>
      <c r="F849" t="inlineStr">
        <is>
          <t>905</t>
        </is>
      </c>
      <c r="G849" s="39" t="n">
        <v>489000</v>
      </c>
      <c r="H849" s="39" t="n">
        <v>489000</v>
      </c>
      <c r="I849" t="inlineStr">
        <is>
          <t>Edificio</t>
        </is>
      </c>
      <c r="J849" t="inlineStr">
        <is>
          <t>A</t>
        </is>
      </c>
      <c r="K849" t="inlineStr">
        <is>
          <t>Estacionamiento</t>
        </is>
      </c>
      <c r="L849" t="inlineStr">
        <is>
          <t>E 36</t>
        </is>
      </c>
      <c r="M849" s="39" t="n">
        <v>46000</v>
      </c>
      <c r="N849" s="39" t="n">
        <v>46000</v>
      </c>
      <c r="S849" s="39" t="n"/>
      <c r="T849" s="39" t="n"/>
      <c r="Y849" s="39" t="n"/>
      <c r="Z849" s="39" t="n"/>
      <c r="AA849" t="inlineStr">
        <is>
          <t>Walther Antonio Espinoza Gomez</t>
        </is>
      </c>
      <c r="AB849" t="inlineStr">
        <is>
          <t>08657121</t>
        </is>
      </c>
      <c r="AC849" t="inlineStr">
        <is>
          <t>Jr. El Chaco 2422</t>
        </is>
      </c>
      <c r="AD849" t="n">
        <v>0</v>
      </c>
      <c r="AE849" t="inlineStr">
        <is>
          <t>998144198</t>
        </is>
      </c>
      <c r="AF849" t="inlineStr">
        <is>
          <t>wespinozawaeg@gmail.com</t>
        </is>
      </c>
      <c r="AG849" t="inlineStr">
        <is>
          <t>LIMA</t>
        </is>
      </c>
      <c r="AH849" t="inlineStr">
        <is>
          <t>SAN MARTIN DE PORRES</t>
        </is>
      </c>
      <c r="AI849" s="116" t="n">
        <v>46081</v>
      </c>
      <c r="AJ849" s="116" t="n">
        <v>46053</v>
      </c>
      <c r="AK849" t="inlineStr">
        <is>
          <t>SALDO FINANCIAR</t>
        </is>
      </c>
      <c r="AL849" t="n">
        <v>1</v>
      </c>
      <c r="AM849" t="n">
        <v>481500</v>
      </c>
      <c r="AN849" t="n">
        <v>0</v>
      </c>
      <c r="AO849" t="n">
        <v>0</v>
      </c>
      <c r="AP849" s="39" t="n">
        <v>481500</v>
      </c>
      <c r="AQ849" s="39" t="n">
        <v>481500</v>
      </c>
      <c r="AR849" s="39" t="n">
        <v>0</v>
      </c>
      <c r="AS849" t="n">
        <v>0</v>
      </c>
      <c r="AT849" t="inlineStr">
        <is>
          <t>Crédito Hipotecario</t>
        </is>
      </c>
      <c r="AU849" t="inlineStr">
        <is>
          <t>Scotiabank Perú</t>
        </is>
      </c>
      <c r="AV849" t="inlineStr">
        <is>
          <t>000-2768484</t>
        </is>
      </c>
      <c r="AW849" t="inlineStr">
        <is>
          <t>TRANSFERENCIA BANCARIA</t>
        </is>
      </c>
      <c r="AY849" t="inlineStr">
        <is>
          <t>0270800039</t>
        </is>
      </c>
      <c r="AZ849" t="inlineStr">
        <is>
          <t>No</t>
        </is>
      </c>
      <c r="BB849" t="n">
        <v>4</v>
      </c>
      <c r="BC849" t="inlineStr">
        <is>
          <t>CANCELADO</t>
        </is>
      </c>
      <c r="BN849" t="inlineStr">
        <is>
          <t>Si</t>
        </is>
      </c>
      <c r="BO849" s="117" t="n">
        <v>46033.65763888889</v>
      </c>
      <c r="BP849" t="inlineStr">
        <is>
          <t>Magaly Guevara Perez</t>
        </is>
      </c>
      <c r="BR849" t="n">
        <v>51</v>
      </c>
      <c r="BS849" t="inlineStr">
        <is>
          <t>07/07/2026 15:46</t>
        </is>
      </c>
      <c r="BT849" t="n">
        <v>0</v>
      </c>
      <c r="BX849" t="inlineStr">
        <is>
          <t>Cobranzas_2026.csv</t>
        </is>
      </c>
      <c r="BY849" t="n">
        <v>2026</v>
      </c>
      <c r="BZ849" t="inlineStr">
        <is>
          <t>01/01/2024</t>
        </is>
      </c>
      <c r="CA849" t="inlineStr">
        <is>
          <t>30/09/2031</t>
        </is>
      </c>
    </row>
    <row r="850">
      <c r="A850" t="inlineStr">
        <is>
          <t>RESIDENCIAL BEYOND</t>
        </is>
      </c>
      <c r="B850" t="inlineStr">
        <is>
          <t>Etapa 1</t>
        </is>
      </c>
      <c r="C850" t="inlineStr">
        <is>
          <t>Edificio</t>
        </is>
      </c>
      <c r="D850" t="inlineStr">
        <is>
          <t>A</t>
        </is>
      </c>
      <c r="E850" t="inlineStr">
        <is>
          <t>Departamento</t>
        </is>
      </c>
      <c r="F850" t="inlineStr">
        <is>
          <t>1705</t>
        </is>
      </c>
      <c r="G850" s="39" t="n">
        <v>482100</v>
      </c>
      <c r="H850" s="39" t="n">
        <v>482100</v>
      </c>
      <c r="I850" t="inlineStr">
        <is>
          <t>Edificio</t>
        </is>
      </c>
      <c r="J850" t="inlineStr">
        <is>
          <t>A</t>
        </is>
      </c>
      <c r="K850" t="inlineStr">
        <is>
          <t>Estacionamiento</t>
        </is>
      </c>
      <c r="L850" t="inlineStr">
        <is>
          <t>E 13 - D 11</t>
        </is>
      </c>
      <c r="M850" s="39" t="n">
        <v>54000</v>
      </c>
      <c r="N850" s="39" t="n">
        <v>54000</v>
      </c>
      <c r="S850" s="39" t="n"/>
      <c r="T850" s="39" t="n"/>
      <c r="Y850" s="39" t="n"/>
      <c r="Z850" s="39" t="n"/>
      <c r="AA850" t="inlineStr">
        <is>
          <t>Alejandro David Dianderas Leyzaquia</t>
        </is>
      </c>
      <c r="AB850" t="inlineStr">
        <is>
          <t>71802853</t>
        </is>
      </c>
      <c r="AC850" t="inlineStr">
        <is>
          <t>Av. Revolucion 530 - Urb. Collique Etapa 1</t>
        </is>
      </c>
      <c r="AD850" t="n">
        <v>0</v>
      </c>
      <c r="AE850" t="inlineStr">
        <is>
          <t>926428673</t>
        </is>
      </c>
      <c r="AF850" t="inlineStr">
        <is>
          <t>926428673@gmail.com</t>
        </is>
      </c>
      <c r="AG850" t="inlineStr">
        <is>
          <t>LIMA</t>
        </is>
      </c>
      <c r="AH850" t="inlineStr">
        <is>
          <t>COMAS</t>
        </is>
      </c>
      <c r="AI850" s="116" t="n">
        <v>46446</v>
      </c>
      <c r="AJ850" s="116" t="n"/>
      <c r="AK850" t="inlineStr">
        <is>
          <t>SALDO FINANCIAR</t>
        </is>
      </c>
      <c r="AL850" t="n">
        <v>1</v>
      </c>
      <c r="AM850" t="n">
        <v>428880</v>
      </c>
      <c r="AN850" t="n">
        <v>0</v>
      </c>
      <c r="AO850" t="n">
        <v>0</v>
      </c>
      <c r="AP850" s="39" t="n">
        <v>428880</v>
      </c>
      <c r="AQ850" s="39" t="n">
        <v>0</v>
      </c>
      <c r="AR850" s="39" t="n">
        <v>428880</v>
      </c>
      <c r="AT850" t="inlineStr">
        <is>
          <t>Ahorro</t>
        </is>
      </c>
      <c r="AZ850" t="inlineStr">
        <is>
          <t>No</t>
        </is>
      </c>
      <c r="BC850" t="inlineStr">
        <is>
          <t>PENDIENTE</t>
        </is>
      </c>
      <c r="BN850" t="inlineStr">
        <is>
          <t>No</t>
        </is>
      </c>
      <c r="BO850" s="117" t="n">
        <v>46172.7375</v>
      </c>
      <c r="BP850" t="inlineStr">
        <is>
          <t>Magaly Guevara Perez</t>
        </is>
      </c>
      <c r="BR850" t="n">
        <v>41</v>
      </c>
      <c r="BT850" t="n">
        <v>0</v>
      </c>
      <c r="BX850" t="inlineStr">
        <is>
          <t>Cobranzas_2027.csv</t>
        </is>
      </c>
      <c r="BY850" t="n">
        <v>2027</v>
      </c>
      <c r="BZ850" t="inlineStr">
        <is>
          <t>01/01/2024</t>
        </is>
      </c>
      <c r="CA850" t="inlineStr">
        <is>
          <t>30/09/2031</t>
        </is>
      </c>
    </row>
    <row r="851">
      <c r="A851" t="inlineStr">
        <is>
          <t>RESIDENCIAL BEYOND</t>
        </is>
      </c>
      <c r="B851" t="inlineStr">
        <is>
          <t>Etapa 1</t>
        </is>
      </c>
      <c r="C851" t="inlineStr">
        <is>
          <t>Edificio</t>
        </is>
      </c>
      <c r="D851" t="inlineStr">
        <is>
          <t>A</t>
        </is>
      </c>
      <c r="E851" t="inlineStr">
        <is>
          <t>Departamento</t>
        </is>
      </c>
      <c r="F851" t="inlineStr">
        <is>
          <t>1502</t>
        </is>
      </c>
      <c r="G851" s="39" t="n">
        <v>430000</v>
      </c>
      <c r="H851" s="39" t="n">
        <v>369000</v>
      </c>
      <c r="I851" t="inlineStr">
        <is>
          <t>Edificio</t>
        </is>
      </c>
      <c r="J851" t="inlineStr">
        <is>
          <t>A</t>
        </is>
      </c>
      <c r="K851" t="inlineStr">
        <is>
          <t>Estacionamiento</t>
        </is>
      </c>
      <c r="L851" t="inlineStr">
        <is>
          <t>E 39</t>
        </is>
      </c>
      <c r="M851" s="39" t="n">
        <v>43200</v>
      </c>
      <c r="N851" s="39" t="n">
        <v>43200</v>
      </c>
      <c r="S851" s="39" t="n"/>
      <c r="T851" s="39" t="n"/>
      <c r="Y851" s="39" t="n"/>
      <c r="Z851" s="39" t="n"/>
      <c r="AA851" t="inlineStr">
        <is>
          <t>Christian Eduardo Blas Acosta</t>
        </is>
      </c>
      <c r="AB851" t="inlineStr">
        <is>
          <t>47824606</t>
        </is>
      </c>
      <c r="AC851" t="inlineStr">
        <is>
          <t>Av. Los Alisos Urb. Naranjal MZ Ñ-1 LT 27</t>
        </is>
      </c>
      <c r="AD851" t="n">
        <v>0</v>
      </c>
      <c r="AE851" t="inlineStr">
        <is>
          <t>915133898</t>
        </is>
      </c>
      <c r="AF851" t="inlineStr">
        <is>
          <t>cristian12dn@gmail.com</t>
        </is>
      </c>
      <c r="AG851" t="inlineStr">
        <is>
          <t>LIMA</t>
        </is>
      </c>
      <c r="AH851" t="inlineStr">
        <is>
          <t>SAN MARTIN DE PORRES</t>
        </is>
      </c>
      <c r="AI851" s="116" t="n">
        <v>46417</v>
      </c>
      <c r="AJ851" s="116" t="n"/>
      <c r="AK851" t="inlineStr">
        <is>
          <t>SALDO FINANCIAR</t>
        </is>
      </c>
      <c r="AL851" t="n">
        <v>9</v>
      </c>
      <c r="AM851" t="n">
        <v>12000</v>
      </c>
      <c r="AN851" t="n">
        <v>0</v>
      </c>
      <c r="AO851" t="n">
        <v>0</v>
      </c>
      <c r="AP851" s="39" t="n">
        <v>12000</v>
      </c>
      <c r="AQ851" s="39" t="n">
        <v>0</v>
      </c>
      <c r="AR851" s="39" t="n">
        <v>12000</v>
      </c>
      <c r="AT851" t="inlineStr">
        <is>
          <t>Crédito Directo</t>
        </is>
      </c>
      <c r="AZ851" t="inlineStr">
        <is>
          <t>No</t>
        </is>
      </c>
      <c r="BC851" t="inlineStr">
        <is>
          <t>PENDIENTE</t>
        </is>
      </c>
      <c r="BN851" t="inlineStr">
        <is>
          <t>No</t>
        </is>
      </c>
      <c r="BO851" s="117" t="n">
        <v>46046.47361111111</v>
      </c>
      <c r="BP851" t="inlineStr">
        <is>
          <t>Carla Michue M</t>
        </is>
      </c>
      <c r="BR851" t="n">
        <v>10</v>
      </c>
      <c r="BT851" t="n">
        <v>0</v>
      </c>
      <c r="BX851" t="inlineStr">
        <is>
          <t>Cobranzas_2027.csv</t>
        </is>
      </c>
      <c r="BY851" t="n">
        <v>2027</v>
      </c>
      <c r="BZ851" t="inlineStr">
        <is>
          <t>01/01/2024</t>
        </is>
      </c>
      <c r="CA851" t="inlineStr">
        <is>
          <t>30/09/2031</t>
        </is>
      </c>
    </row>
    <row r="852">
      <c r="A852" t="inlineStr">
        <is>
          <t>RESIDENCIAL BEYOND</t>
        </is>
      </c>
      <c r="B852" t="inlineStr">
        <is>
          <t>Etapa 1</t>
        </is>
      </c>
      <c r="C852" t="inlineStr">
        <is>
          <t>Edificio</t>
        </is>
      </c>
      <c r="D852" t="inlineStr">
        <is>
          <t>A</t>
        </is>
      </c>
      <c r="E852" t="inlineStr">
        <is>
          <t>Departamento</t>
        </is>
      </c>
      <c r="F852" t="inlineStr">
        <is>
          <t>1502</t>
        </is>
      </c>
      <c r="G852" s="39" t="n">
        <v>430000</v>
      </c>
      <c r="H852" s="39" t="n">
        <v>369000</v>
      </c>
      <c r="I852" t="inlineStr">
        <is>
          <t>Edificio</t>
        </is>
      </c>
      <c r="J852" t="inlineStr">
        <is>
          <t>A</t>
        </is>
      </c>
      <c r="K852" t="inlineStr">
        <is>
          <t>Estacionamiento</t>
        </is>
      </c>
      <c r="L852" t="inlineStr">
        <is>
          <t>E 39</t>
        </is>
      </c>
      <c r="M852" s="39" t="n">
        <v>43200</v>
      </c>
      <c r="N852" s="39" t="n">
        <v>43200</v>
      </c>
      <c r="S852" s="39" t="n"/>
      <c r="T852" s="39" t="n"/>
      <c r="Y852" s="39" t="n"/>
      <c r="Z852" s="39" t="n"/>
      <c r="AA852" t="inlineStr">
        <is>
          <t>Christian Eduardo Blas Acosta</t>
        </is>
      </c>
      <c r="AB852" t="inlineStr">
        <is>
          <t>47824606</t>
        </is>
      </c>
      <c r="AC852" t="inlineStr">
        <is>
          <t>Av. Los Alisos Urb. Naranjal MZ Ñ-1 LT 27</t>
        </is>
      </c>
      <c r="AD852" t="n">
        <v>0</v>
      </c>
      <c r="AE852" t="inlineStr">
        <is>
          <t>915133898</t>
        </is>
      </c>
      <c r="AF852" t="inlineStr">
        <is>
          <t>cristian12dn@gmail.com</t>
        </is>
      </c>
      <c r="AG852" t="inlineStr">
        <is>
          <t>LIMA</t>
        </is>
      </c>
      <c r="AH852" t="inlineStr">
        <is>
          <t>SAN MARTIN DE PORRES</t>
        </is>
      </c>
      <c r="AI852" s="116" t="n">
        <v>46446</v>
      </c>
      <c r="AJ852" s="116" t="n"/>
      <c r="AK852" t="inlineStr">
        <is>
          <t>SALDO FINANCIAR</t>
        </is>
      </c>
      <c r="AL852" t="n">
        <v>10</v>
      </c>
      <c r="AM852" t="n">
        <v>12000</v>
      </c>
      <c r="AN852" t="n">
        <v>0</v>
      </c>
      <c r="AO852" t="n">
        <v>0</v>
      </c>
      <c r="AP852" s="39" t="n">
        <v>12000</v>
      </c>
      <c r="AQ852" s="39" t="n">
        <v>0</v>
      </c>
      <c r="AR852" s="39" t="n">
        <v>12000</v>
      </c>
      <c r="AT852" t="inlineStr">
        <is>
          <t>Crédito Directo</t>
        </is>
      </c>
      <c r="AZ852" t="inlineStr">
        <is>
          <t>No</t>
        </is>
      </c>
      <c r="BC852" t="inlineStr">
        <is>
          <t>PENDIENTE</t>
        </is>
      </c>
      <c r="BN852" t="inlineStr">
        <is>
          <t>No</t>
        </is>
      </c>
      <c r="BO852" s="117" t="n">
        <v>46046.47361111111</v>
      </c>
      <c r="BP852" t="inlineStr">
        <is>
          <t>Carla Michue M</t>
        </is>
      </c>
      <c r="BR852" t="n">
        <v>10</v>
      </c>
      <c r="BT852" t="n">
        <v>0</v>
      </c>
      <c r="BX852" t="inlineStr">
        <is>
          <t>Cobranzas_2027.csv</t>
        </is>
      </c>
      <c r="BY852" t="n">
        <v>2027</v>
      </c>
      <c r="BZ852" t="inlineStr">
        <is>
          <t>01/01/2024</t>
        </is>
      </c>
      <c r="CA852" t="inlineStr">
        <is>
          <t>30/09/2031</t>
        </is>
      </c>
    </row>
    <row r="853">
      <c r="A853" t="inlineStr">
        <is>
          <t>RESIDENCIAL BEYOND</t>
        </is>
      </c>
      <c r="B853" t="inlineStr">
        <is>
          <t>Etapa 1</t>
        </is>
      </c>
      <c r="C853" t="inlineStr">
        <is>
          <t>Edificio</t>
        </is>
      </c>
      <c r="D853" t="inlineStr">
        <is>
          <t>A</t>
        </is>
      </c>
      <c r="E853" t="inlineStr">
        <is>
          <t>Departamento</t>
        </is>
      </c>
      <c r="F853" t="inlineStr">
        <is>
          <t>1502</t>
        </is>
      </c>
      <c r="G853" s="39" t="n">
        <v>430000</v>
      </c>
      <c r="H853" s="39" t="n">
        <v>369000</v>
      </c>
      <c r="I853" t="inlineStr">
        <is>
          <t>Edificio</t>
        </is>
      </c>
      <c r="J853" t="inlineStr">
        <is>
          <t>A</t>
        </is>
      </c>
      <c r="K853" t="inlineStr">
        <is>
          <t>Estacionamiento</t>
        </is>
      </c>
      <c r="L853" t="inlineStr">
        <is>
          <t>E 39</t>
        </is>
      </c>
      <c r="M853" s="39" t="n">
        <v>43200</v>
      </c>
      <c r="N853" s="39" t="n">
        <v>43200</v>
      </c>
      <c r="S853" s="39" t="n"/>
      <c r="T853" s="39" t="n"/>
      <c r="Y853" s="39" t="n"/>
      <c r="Z853" s="39" t="n"/>
      <c r="AA853" t="inlineStr">
        <is>
          <t>Christian Eduardo Blas Acosta</t>
        </is>
      </c>
      <c r="AB853" t="inlineStr">
        <is>
          <t>47824606</t>
        </is>
      </c>
      <c r="AC853" t="inlineStr">
        <is>
          <t>Av. Los Alisos Urb. Naranjal MZ Ñ-1 LT 27</t>
        </is>
      </c>
      <c r="AD853" t="n">
        <v>0</v>
      </c>
      <c r="AE853" t="inlineStr">
        <is>
          <t>915133898</t>
        </is>
      </c>
      <c r="AF853" t="inlineStr">
        <is>
          <t>cristian12dn@gmail.com</t>
        </is>
      </c>
      <c r="AG853" t="inlineStr">
        <is>
          <t>LIMA</t>
        </is>
      </c>
      <c r="AH853" t="inlineStr">
        <is>
          <t>SAN MARTIN DE PORRES</t>
        </is>
      </c>
      <c r="AI853" s="116" t="n">
        <v>46476</v>
      </c>
      <c r="AJ853" s="116" t="n"/>
      <c r="AK853" t="inlineStr">
        <is>
          <t>SALDO FINANCIAR</t>
        </is>
      </c>
      <c r="AL853" t="n">
        <v>11</v>
      </c>
      <c r="AM853" t="n">
        <v>12000</v>
      </c>
      <c r="AN853" t="n">
        <v>0</v>
      </c>
      <c r="AO853" t="n">
        <v>0</v>
      </c>
      <c r="AP853" s="39" t="n">
        <v>12000</v>
      </c>
      <c r="AQ853" s="39" t="n">
        <v>0</v>
      </c>
      <c r="AR853" s="39" t="n">
        <v>12000</v>
      </c>
      <c r="AT853" t="inlineStr">
        <is>
          <t>Crédito Directo</t>
        </is>
      </c>
      <c r="AZ853" t="inlineStr">
        <is>
          <t>No</t>
        </is>
      </c>
      <c r="BC853" t="inlineStr">
        <is>
          <t>PENDIENTE</t>
        </is>
      </c>
      <c r="BN853" t="inlineStr">
        <is>
          <t>No</t>
        </is>
      </c>
      <c r="BO853" s="117" t="n">
        <v>46046.47361111111</v>
      </c>
      <c r="BP853" t="inlineStr">
        <is>
          <t>Carla Michue M</t>
        </is>
      </c>
      <c r="BR853" t="n">
        <v>10</v>
      </c>
      <c r="BT853" t="n">
        <v>0</v>
      </c>
      <c r="BX853" t="inlineStr">
        <is>
          <t>Cobranzas_2027.csv</t>
        </is>
      </c>
      <c r="BY853" t="n">
        <v>2027</v>
      </c>
      <c r="BZ853" t="inlineStr">
        <is>
          <t>01/01/2024</t>
        </is>
      </c>
      <c r="CA853" t="inlineStr">
        <is>
          <t>30/09/2031</t>
        </is>
      </c>
    </row>
    <row r="854">
      <c r="A854" t="inlineStr">
        <is>
          <t>RESIDENCIAL BEYOND</t>
        </is>
      </c>
      <c r="B854" t="inlineStr">
        <is>
          <t>Etapa 1</t>
        </is>
      </c>
      <c r="C854" t="inlineStr">
        <is>
          <t>Edificio</t>
        </is>
      </c>
      <c r="D854" t="inlineStr">
        <is>
          <t>A</t>
        </is>
      </c>
      <c r="E854" t="inlineStr">
        <is>
          <t>Departamento</t>
        </is>
      </c>
      <c r="F854" t="inlineStr">
        <is>
          <t>1502</t>
        </is>
      </c>
      <c r="G854" s="39" t="n">
        <v>430000</v>
      </c>
      <c r="H854" s="39" t="n">
        <v>369000</v>
      </c>
      <c r="I854" t="inlineStr">
        <is>
          <t>Edificio</t>
        </is>
      </c>
      <c r="J854" t="inlineStr">
        <is>
          <t>A</t>
        </is>
      </c>
      <c r="K854" t="inlineStr">
        <is>
          <t>Estacionamiento</t>
        </is>
      </c>
      <c r="L854" t="inlineStr">
        <is>
          <t>E 39</t>
        </is>
      </c>
      <c r="M854" s="39" t="n">
        <v>43200</v>
      </c>
      <c r="N854" s="39" t="n">
        <v>43200</v>
      </c>
      <c r="S854" s="39" t="n"/>
      <c r="T854" s="39" t="n"/>
      <c r="Y854" s="39" t="n"/>
      <c r="Z854" s="39" t="n"/>
      <c r="AA854" t="inlineStr">
        <is>
          <t>Christian Eduardo Blas Acosta</t>
        </is>
      </c>
      <c r="AB854" t="inlineStr">
        <is>
          <t>47824606</t>
        </is>
      </c>
      <c r="AC854" t="inlineStr">
        <is>
          <t>Av. Los Alisos Urb. Naranjal MZ Ñ-1 LT 27</t>
        </is>
      </c>
      <c r="AD854" t="n">
        <v>0</v>
      </c>
      <c r="AE854" t="inlineStr">
        <is>
          <t>915133898</t>
        </is>
      </c>
      <c r="AF854" t="inlineStr">
        <is>
          <t>cristian12dn@gmail.com</t>
        </is>
      </c>
      <c r="AG854" t="inlineStr">
        <is>
          <t>LIMA</t>
        </is>
      </c>
      <c r="AH854" t="inlineStr">
        <is>
          <t>SAN MARTIN DE PORRES</t>
        </is>
      </c>
      <c r="AI854" s="116" t="n">
        <v>46507</v>
      </c>
      <c r="AJ854" s="116" t="n"/>
      <c r="AK854" t="inlineStr">
        <is>
          <t>SALDO FINANCIAR</t>
        </is>
      </c>
      <c r="AL854" t="n">
        <v>12</v>
      </c>
      <c r="AM854" t="n">
        <v>12000</v>
      </c>
      <c r="AN854" t="n">
        <v>0</v>
      </c>
      <c r="AO854" t="n">
        <v>0</v>
      </c>
      <c r="AP854" s="39" t="n">
        <v>12000</v>
      </c>
      <c r="AQ854" s="39" t="n">
        <v>0</v>
      </c>
      <c r="AR854" s="39" t="n">
        <v>12000</v>
      </c>
      <c r="AT854" t="inlineStr">
        <is>
          <t>Crédito Directo</t>
        </is>
      </c>
      <c r="AZ854" t="inlineStr">
        <is>
          <t>No</t>
        </is>
      </c>
      <c r="BC854" t="inlineStr">
        <is>
          <t>PENDIENTE</t>
        </is>
      </c>
      <c r="BN854" t="inlineStr">
        <is>
          <t>No</t>
        </is>
      </c>
      <c r="BO854" s="117" t="n">
        <v>46046.47361111111</v>
      </c>
      <c r="BP854" t="inlineStr">
        <is>
          <t>Carla Michue M</t>
        </is>
      </c>
      <c r="BR854" t="n">
        <v>10</v>
      </c>
      <c r="BT854" t="n">
        <v>0</v>
      </c>
      <c r="BX854" t="inlineStr">
        <is>
          <t>Cobranzas_2027.csv</t>
        </is>
      </c>
      <c r="BY854" t="n">
        <v>2027</v>
      </c>
      <c r="BZ854" t="inlineStr">
        <is>
          <t>01/01/2024</t>
        </is>
      </c>
      <c r="CA854" t="inlineStr">
        <is>
          <t>30/09/2031</t>
        </is>
      </c>
    </row>
    <row r="855">
      <c r="A855" t="inlineStr">
        <is>
          <t>RESIDENCIAL BEYOND</t>
        </is>
      </c>
      <c r="B855" t="inlineStr">
        <is>
          <t>Etapa 1</t>
        </is>
      </c>
      <c r="C855" t="inlineStr">
        <is>
          <t>Edificio</t>
        </is>
      </c>
      <c r="D855" t="inlineStr">
        <is>
          <t>A</t>
        </is>
      </c>
      <c r="E855" t="inlineStr">
        <is>
          <t>Departamento</t>
        </is>
      </c>
      <c r="F855" t="inlineStr">
        <is>
          <t>1502</t>
        </is>
      </c>
      <c r="G855" s="39" t="n">
        <v>430000</v>
      </c>
      <c r="H855" s="39" t="n">
        <v>369000</v>
      </c>
      <c r="I855" t="inlineStr">
        <is>
          <t>Edificio</t>
        </is>
      </c>
      <c r="J855" t="inlineStr">
        <is>
          <t>A</t>
        </is>
      </c>
      <c r="K855" t="inlineStr">
        <is>
          <t>Estacionamiento</t>
        </is>
      </c>
      <c r="L855" t="inlineStr">
        <is>
          <t>E 39</t>
        </is>
      </c>
      <c r="M855" s="39" t="n">
        <v>43200</v>
      </c>
      <c r="N855" s="39" t="n">
        <v>43200</v>
      </c>
      <c r="S855" s="39" t="n"/>
      <c r="T855" s="39" t="n"/>
      <c r="Y855" s="39" t="n"/>
      <c r="Z855" s="39" t="n"/>
      <c r="AA855" t="inlineStr">
        <is>
          <t>Christian Eduardo Blas Acosta</t>
        </is>
      </c>
      <c r="AB855" t="inlineStr">
        <is>
          <t>47824606</t>
        </is>
      </c>
      <c r="AC855" t="inlineStr">
        <is>
          <t>Av. Los Alisos Urb. Naranjal MZ Ñ-1 LT 27</t>
        </is>
      </c>
      <c r="AD855" t="n">
        <v>0</v>
      </c>
      <c r="AE855" t="inlineStr">
        <is>
          <t>915133898</t>
        </is>
      </c>
      <c r="AF855" t="inlineStr">
        <is>
          <t>cristian12dn@gmail.com</t>
        </is>
      </c>
      <c r="AG855" t="inlineStr">
        <is>
          <t>LIMA</t>
        </is>
      </c>
      <c r="AH855" t="inlineStr">
        <is>
          <t>SAN MARTIN DE PORRES</t>
        </is>
      </c>
      <c r="AI855" s="116" t="n">
        <v>46537</v>
      </c>
      <c r="AJ855" s="116" t="n"/>
      <c r="AK855" t="inlineStr">
        <is>
          <t>SALDO FINANCIAR</t>
        </is>
      </c>
      <c r="AL855" t="n">
        <v>13</v>
      </c>
      <c r="AM855" t="n">
        <v>12000</v>
      </c>
      <c r="AN855" t="n">
        <v>0</v>
      </c>
      <c r="AO855" t="n">
        <v>0</v>
      </c>
      <c r="AP855" s="39" t="n">
        <v>12000</v>
      </c>
      <c r="AQ855" s="39" t="n">
        <v>0</v>
      </c>
      <c r="AR855" s="39" t="n">
        <v>12000</v>
      </c>
      <c r="AT855" t="inlineStr">
        <is>
          <t>Crédito Directo</t>
        </is>
      </c>
      <c r="AZ855" t="inlineStr">
        <is>
          <t>No</t>
        </is>
      </c>
      <c r="BC855" t="inlineStr">
        <is>
          <t>PENDIENTE</t>
        </is>
      </c>
      <c r="BN855" t="inlineStr">
        <is>
          <t>No</t>
        </is>
      </c>
      <c r="BO855" s="117" t="n">
        <v>46046.47361111111</v>
      </c>
      <c r="BP855" t="inlineStr">
        <is>
          <t>Carla Michue M</t>
        </is>
      </c>
      <c r="BR855" t="n">
        <v>10</v>
      </c>
      <c r="BT855" t="n">
        <v>0</v>
      </c>
      <c r="BX855" t="inlineStr">
        <is>
          <t>Cobranzas_2027.csv</t>
        </is>
      </c>
      <c r="BY855" t="n">
        <v>2027</v>
      </c>
      <c r="BZ855" t="inlineStr">
        <is>
          <t>01/01/2024</t>
        </is>
      </c>
      <c r="CA855" t="inlineStr">
        <is>
          <t>30/09/2031</t>
        </is>
      </c>
    </row>
    <row r="856">
      <c r="A856" t="inlineStr">
        <is>
          <t>RESIDENCIAL BEYOND</t>
        </is>
      </c>
      <c r="B856" t="inlineStr">
        <is>
          <t>Etapa 1</t>
        </is>
      </c>
      <c r="C856" t="inlineStr">
        <is>
          <t>Edificio</t>
        </is>
      </c>
      <c r="D856" t="inlineStr">
        <is>
          <t>A</t>
        </is>
      </c>
      <c r="E856" t="inlineStr">
        <is>
          <t>Departamento</t>
        </is>
      </c>
      <c r="F856" t="inlineStr">
        <is>
          <t>1502</t>
        </is>
      </c>
      <c r="G856" s="39" t="n">
        <v>430000</v>
      </c>
      <c r="H856" s="39" t="n">
        <v>369000</v>
      </c>
      <c r="I856" t="inlineStr">
        <is>
          <t>Edificio</t>
        </is>
      </c>
      <c r="J856" t="inlineStr">
        <is>
          <t>A</t>
        </is>
      </c>
      <c r="K856" t="inlineStr">
        <is>
          <t>Estacionamiento</t>
        </is>
      </c>
      <c r="L856" t="inlineStr">
        <is>
          <t>E 39</t>
        </is>
      </c>
      <c r="M856" s="39" t="n">
        <v>43200</v>
      </c>
      <c r="N856" s="39" t="n">
        <v>43200</v>
      </c>
      <c r="S856" s="39" t="n"/>
      <c r="T856" s="39" t="n"/>
      <c r="Y856" s="39" t="n"/>
      <c r="Z856" s="39" t="n"/>
      <c r="AA856" t="inlineStr">
        <is>
          <t>Christian Eduardo Blas Acosta</t>
        </is>
      </c>
      <c r="AB856" t="inlineStr">
        <is>
          <t>47824606</t>
        </is>
      </c>
      <c r="AC856" t="inlineStr">
        <is>
          <t>Av. Los Alisos Urb. Naranjal MZ Ñ-1 LT 27</t>
        </is>
      </c>
      <c r="AD856" t="n">
        <v>0</v>
      </c>
      <c r="AE856" t="inlineStr">
        <is>
          <t>915133898</t>
        </is>
      </c>
      <c r="AF856" t="inlineStr">
        <is>
          <t>cristian12dn@gmail.com</t>
        </is>
      </c>
      <c r="AG856" t="inlineStr">
        <is>
          <t>LIMA</t>
        </is>
      </c>
      <c r="AH856" t="inlineStr">
        <is>
          <t>SAN MARTIN DE PORRES</t>
        </is>
      </c>
      <c r="AI856" s="116" t="n">
        <v>46568</v>
      </c>
      <c r="AJ856" s="116" t="n"/>
      <c r="AK856" t="inlineStr">
        <is>
          <t>SALDO FINANCIAR</t>
        </is>
      </c>
      <c r="AL856" t="n">
        <v>14</v>
      </c>
      <c r="AM856" t="n">
        <v>12000</v>
      </c>
      <c r="AN856" t="n">
        <v>0</v>
      </c>
      <c r="AO856" t="n">
        <v>0</v>
      </c>
      <c r="AP856" s="39" t="n">
        <v>12000</v>
      </c>
      <c r="AQ856" s="39" t="n">
        <v>0</v>
      </c>
      <c r="AR856" s="39" t="n">
        <v>12000</v>
      </c>
      <c r="AT856" t="inlineStr">
        <is>
          <t>Crédito Directo</t>
        </is>
      </c>
      <c r="AZ856" t="inlineStr">
        <is>
          <t>No</t>
        </is>
      </c>
      <c r="BC856" t="inlineStr">
        <is>
          <t>PENDIENTE</t>
        </is>
      </c>
      <c r="BN856" t="inlineStr">
        <is>
          <t>No</t>
        </is>
      </c>
      <c r="BO856" s="117" t="n">
        <v>46046.47361111111</v>
      </c>
      <c r="BP856" t="inlineStr">
        <is>
          <t>Carla Michue M</t>
        </is>
      </c>
      <c r="BR856" t="n">
        <v>10</v>
      </c>
      <c r="BT856" t="n">
        <v>0</v>
      </c>
      <c r="BX856" t="inlineStr">
        <is>
          <t>Cobranzas_2027.csv</t>
        </is>
      </c>
      <c r="BY856" t="n">
        <v>2027</v>
      </c>
      <c r="BZ856" t="inlineStr">
        <is>
          <t>01/01/2024</t>
        </is>
      </c>
      <c r="CA856" t="inlineStr">
        <is>
          <t>30/09/2031</t>
        </is>
      </c>
    </row>
    <row r="857">
      <c r="A857" t="inlineStr">
        <is>
          <t>RESIDENCIAL BEYOND</t>
        </is>
      </c>
      <c r="B857" t="inlineStr">
        <is>
          <t>Etapa 1</t>
        </is>
      </c>
      <c r="C857" t="inlineStr">
        <is>
          <t>Edificio</t>
        </is>
      </c>
      <c r="D857" t="inlineStr">
        <is>
          <t>A</t>
        </is>
      </c>
      <c r="E857" t="inlineStr">
        <is>
          <t>Departamento</t>
        </is>
      </c>
      <c r="F857" t="inlineStr">
        <is>
          <t>1502</t>
        </is>
      </c>
      <c r="G857" s="39" t="n">
        <v>430000</v>
      </c>
      <c r="H857" s="39" t="n">
        <v>369000</v>
      </c>
      <c r="I857" t="inlineStr">
        <is>
          <t>Edificio</t>
        </is>
      </c>
      <c r="J857" t="inlineStr">
        <is>
          <t>A</t>
        </is>
      </c>
      <c r="K857" t="inlineStr">
        <is>
          <t>Estacionamiento</t>
        </is>
      </c>
      <c r="L857" t="inlineStr">
        <is>
          <t>E 39</t>
        </is>
      </c>
      <c r="M857" s="39" t="n">
        <v>43200</v>
      </c>
      <c r="N857" s="39" t="n">
        <v>43200</v>
      </c>
      <c r="S857" s="39" t="n"/>
      <c r="T857" s="39" t="n"/>
      <c r="Y857" s="39" t="n"/>
      <c r="Z857" s="39" t="n"/>
      <c r="AA857" t="inlineStr">
        <is>
          <t>Christian Eduardo Blas Acosta</t>
        </is>
      </c>
      <c r="AB857" t="inlineStr">
        <is>
          <t>47824606</t>
        </is>
      </c>
      <c r="AC857" t="inlineStr">
        <is>
          <t>Av. Los Alisos Urb. Naranjal MZ Ñ-1 LT 27</t>
        </is>
      </c>
      <c r="AD857" t="n">
        <v>0</v>
      </c>
      <c r="AE857" t="inlineStr">
        <is>
          <t>915133898</t>
        </is>
      </c>
      <c r="AF857" t="inlineStr">
        <is>
          <t>cristian12dn@gmail.com</t>
        </is>
      </c>
      <c r="AG857" t="inlineStr">
        <is>
          <t>LIMA</t>
        </is>
      </c>
      <c r="AH857" t="inlineStr">
        <is>
          <t>SAN MARTIN DE PORRES</t>
        </is>
      </c>
      <c r="AI857" s="116" t="n">
        <v>46598</v>
      </c>
      <c r="AJ857" s="116" t="n"/>
      <c r="AK857" t="inlineStr">
        <is>
          <t>SALDO FINANCIAR</t>
        </is>
      </c>
      <c r="AL857" t="n">
        <v>15</v>
      </c>
      <c r="AM857" t="n">
        <v>12000</v>
      </c>
      <c r="AN857" t="n">
        <v>0</v>
      </c>
      <c r="AO857" t="n">
        <v>0</v>
      </c>
      <c r="AP857" s="39" t="n">
        <v>12000</v>
      </c>
      <c r="AQ857" s="39" t="n">
        <v>0</v>
      </c>
      <c r="AR857" s="39" t="n">
        <v>12000</v>
      </c>
      <c r="AT857" t="inlineStr">
        <is>
          <t>Crédito Directo</t>
        </is>
      </c>
      <c r="AZ857" t="inlineStr">
        <is>
          <t>No</t>
        </is>
      </c>
      <c r="BC857" t="inlineStr">
        <is>
          <t>PENDIENTE</t>
        </is>
      </c>
      <c r="BN857" t="inlineStr">
        <is>
          <t>No</t>
        </is>
      </c>
      <c r="BO857" s="117" t="n">
        <v>46046.47361111111</v>
      </c>
      <c r="BP857" t="inlineStr">
        <is>
          <t>Carla Michue M</t>
        </is>
      </c>
      <c r="BR857" t="n">
        <v>10</v>
      </c>
      <c r="BT857" t="n">
        <v>0</v>
      </c>
      <c r="BX857" t="inlineStr">
        <is>
          <t>Cobranzas_2027.csv</t>
        </is>
      </c>
      <c r="BY857" t="n">
        <v>2027</v>
      </c>
      <c r="BZ857" t="inlineStr">
        <is>
          <t>01/01/2024</t>
        </is>
      </c>
      <c r="CA857" t="inlineStr">
        <is>
          <t>30/09/2031</t>
        </is>
      </c>
    </row>
    <row r="858">
      <c r="A858" t="inlineStr">
        <is>
          <t>RESIDENCIAL BEYOND</t>
        </is>
      </c>
      <c r="B858" t="inlineStr">
        <is>
          <t>Etapa 1</t>
        </is>
      </c>
      <c r="C858" t="inlineStr">
        <is>
          <t>Edificio</t>
        </is>
      </c>
      <c r="D858" t="inlineStr">
        <is>
          <t>A</t>
        </is>
      </c>
      <c r="E858" t="inlineStr">
        <is>
          <t>Departamento</t>
        </is>
      </c>
      <c r="F858" t="inlineStr">
        <is>
          <t>1502</t>
        </is>
      </c>
      <c r="G858" s="39" t="n">
        <v>430000</v>
      </c>
      <c r="H858" s="39" t="n">
        <v>369000</v>
      </c>
      <c r="I858" t="inlineStr">
        <is>
          <t>Edificio</t>
        </is>
      </c>
      <c r="J858" t="inlineStr">
        <is>
          <t>A</t>
        </is>
      </c>
      <c r="K858" t="inlineStr">
        <is>
          <t>Estacionamiento</t>
        </is>
      </c>
      <c r="L858" t="inlineStr">
        <is>
          <t>E 39</t>
        </is>
      </c>
      <c r="M858" s="39" t="n">
        <v>43200</v>
      </c>
      <c r="N858" s="39" t="n">
        <v>43200</v>
      </c>
      <c r="S858" s="39" t="n"/>
      <c r="T858" s="39" t="n"/>
      <c r="Y858" s="39" t="n"/>
      <c r="Z858" s="39" t="n"/>
      <c r="AA858" t="inlineStr">
        <is>
          <t>Christian Eduardo Blas Acosta</t>
        </is>
      </c>
      <c r="AB858" t="inlineStr">
        <is>
          <t>47824606</t>
        </is>
      </c>
      <c r="AC858" t="inlineStr">
        <is>
          <t>Av. Los Alisos Urb. Naranjal MZ Ñ-1 LT 27</t>
        </is>
      </c>
      <c r="AD858" t="n">
        <v>0</v>
      </c>
      <c r="AE858" t="inlineStr">
        <is>
          <t>915133898</t>
        </is>
      </c>
      <c r="AF858" t="inlineStr">
        <is>
          <t>cristian12dn@gmail.com</t>
        </is>
      </c>
      <c r="AG858" t="inlineStr">
        <is>
          <t>LIMA</t>
        </is>
      </c>
      <c r="AH858" t="inlineStr">
        <is>
          <t>SAN MARTIN DE PORRES</t>
        </is>
      </c>
      <c r="AI858" s="116" t="n">
        <v>46629</v>
      </c>
      <c r="AJ858" s="116" t="n"/>
      <c r="AK858" t="inlineStr">
        <is>
          <t>SALDO FINANCIAR</t>
        </is>
      </c>
      <c r="AL858" t="n">
        <v>16</v>
      </c>
      <c r="AM858" t="n">
        <v>12000</v>
      </c>
      <c r="AN858" t="n">
        <v>0</v>
      </c>
      <c r="AO858" t="n">
        <v>0</v>
      </c>
      <c r="AP858" s="39" t="n">
        <v>12000</v>
      </c>
      <c r="AQ858" s="39" t="n">
        <v>0</v>
      </c>
      <c r="AR858" s="39" t="n">
        <v>12000</v>
      </c>
      <c r="AT858" t="inlineStr">
        <is>
          <t>Crédito Directo</t>
        </is>
      </c>
      <c r="AZ858" t="inlineStr">
        <is>
          <t>No</t>
        </is>
      </c>
      <c r="BC858" t="inlineStr">
        <is>
          <t>PENDIENTE</t>
        </is>
      </c>
      <c r="BN858" t="inlineStr">
        <is>
          <t>No</t>
        </is>
      </c>
      <c r="BO858" s="117" t="n">
        <v>46046.47361111111</v>
      </c>
      <c r="BP858" t="inlineStr">
        <is>
          <t>Carla Michue M</t>
        </is>
      </c>
      <c r="BR858" t="n">
        <v>10</v>
      </c>
      <c r="BT858" t="n">
        <v>0</v>
      </c>
      <c r="BX858" t="inlineStr">
        <is>
          <t>Cobranzas_2027.csv</t>
        </is>
      </c>
      <c r="BY858" t="n">
        <v>2027</v>
      </c>
      <c r="BZ858" t="inlineStr">
        <is>
          <t>01/01/2024</t>
        </is>
      </c>
      <c r="CA858" t="inlineStr">
        <is>
          <t>30/09/2031</t>
        </is>
      </c>
    </row>
    <row r="859">
      <c r="A859" t="inlineStr">
        <is>
          <t>RESIDENCIAL BEYOND</t>
        </is>
      </c>
      <c r="B859" t="inlineStr">
        <is>
          <t>Etapa 1</t>
        </is>
      </c>
      <c r="C859" t="inlineStr">
        <is>
          <t>Edificio</t>
        </is>
      </c>
      <c r="D859" t="inlineStr">
        <is>
          <t>A</t>
        </is>
      </c>
      <c r="E859" t="inlineStr">
        <is>
          <t>Departamento</t>
        </is>
      </c>
      <c r="F859" t="inlineStr">
        <is>
          <t>1502</t>
        </is>
      </c>
      <c r="G859" s="39" t="n">
        <v>430000</v>
      </c>
      <c r="H859" s="39" t="n">
        <v>369000</v>
      </c>
      <c r="I859" t="inlineStr">
        <is>
          <t>Edificio</t>
        </is>
      </c>
      <c r="J859" t="inlineStr">
        <is>
          <t>A</t>
        </is>
      </c>
      <c r="K859" t="inlineStr">
        <is>
          <t>Estacionamiento</t>
        </is>
      </c>
      <c r="L859" t="inlineStr">
        <is>
          <t>E 39</t>
        </is>
      </c>
      <c r="M859" s="39" t="n">
        <v>43200</v>
      </c>
      <c r="N859" s="39" t="n">
        <v>43200</v>
      </c>
      <c r="S859" s="39" t="n"/>
      <c r="T859" s="39" t="n"/>
      <c r="Y859" s="39" t="n"/>
      <c r="Z859" s="39" t="n"/>
      <c r="AA859" t="inlineStr">
        <is>
          <t>Christian Eduardo Blas Acosta</t>
        </is>
      </c>
      <c r="AB859" t="inlineStr">
        <is>
          <t>47824606</t>
        </is>
      </c>
      <c r="AC859" t="inlineStr">
        <is>
          <t>Av. Los Alisos Urb. Naranjal MZ Ñ-1 LT 27</t>
        </is>
      </c>
      <c r="AD859" t="n">
        <v>0</v>
      </c>
      <c r="AE859" t="inlineStr">
        <is>
          <t>915133898</t>
        </is>
      </c>
      <c r="AF859" t="inlineStr">
        <is>
          <t>cristian12dn@gmail.com</t>
        </is>
      </c>
      <c r="AG859" t="inlineStr">
        <is>
          <t>LIMA</t>
        </is>
      </c>
      <c r="AH859" t="inlineStr">
        <is>
          <t>SAN MARTIN DE PORRES</t>
        </is>
      </c>
      <c r="AI859" s="116" t="n">
        <v>46660</v>
      </c>
      <c r="AJ859" s="116" t="n"/>
      <c r="AK859" t="inlineStr">
        <is>
          <t>SALDO FINANCIAR</t>
        </is>
      </c>
      <c r="AL859" t="n">
        <v>17</v>
      </c>
      <c r="AM859" t="n">
        <v>12000</v>
      </c>
      <c r="AN859" t="n">
        <v>0</v>
      </c>
      <c r="AO859" t="n">
        <v>0</v>
      </c>
      <c r="AP859" s="39" t="n">
        <v>12000</v>
      </c>
      <c r="AQ859" s="39" t="n">
        <v>0</v>
      </c>
      <c r="AR859" s="39" t="n">
        <v>12000</v>
      </c>
      <c r="AT859" t="inlineStr">
        <is>
          <t>Crédito Directo</t>
        </is>
      </c>
      <c r="AZ859" t="inlineStr">
        <is>
          <t>No</t>
        </is>
      </c>
      <c r="BC859" t="inlineStr">
        <is>
          <t>PENDIENTE</t>
        </is>
      </c>
      <c r="BN859" t="inlineStr">
        <is>
          <t>No</t>
        </is>
      </c>
      <c r="BO859" s="117" t="n">
        <v>46046.47361111111</v>
      </c>
      <c r="BP859" t="inlineStr">
        <is>
          <t>Carla Michue M</t>
        </is>
      </c>
      <c r="BR859" t="n">
        <v>10</v>
      </c>
      <c r="BT859" t="n">
        <v>0</v>
      </c>
      <c r="BX859" t="inlineStr">
        <is>
          <t>Cobranzas_2027.csv</t>
        </is>
      </c>
      <c r="BY859" t="n">
        <v>2027</v>
      </c>
      <c r="BZ859" t="inlineStr">
        <is>
          <t>01/01/2024</t>
        </is>
      </c>
      <c r="CA859" t="inlineStr">
        <is>
          <t>30/09/2031</t>
        </is>
      </c>
    </row>
    <row r="860">
      <c r="A860" t="inlineStr">
        <is>
          <t>RESIDENCIAL BEYOND</t>
        </is>
      </c>
      <c r="B860" t="inlineStr">
        <is>
          <t>Etapa 1</t>
        </is>
      </c>
      <c r="C860" t="inlineStr">
        <is>
          <t>Edificio</t>
        </is>
      </c>
      <c r="D860" t="inlineStr">
        <is>
          <t>A</t>
        </is>
      </c>
      <c r="E860" t="inlineStr">
        <is>
          <t>Departamento</t>
        </is>
      </c>
      <c r="F860" t="inlineStr">
        <is>
          <t>1502</t>
        </is>
      </c>
      <c r="G860" s="39" t="n">
        <v>430000</v>
      </c>
      <c r="H860" s="39" t="n">
        <v>369000</v>
      </c>
      <c r="I860" t="inlineStr">
        <is>
          <t>Edificio</t>
        </is>
      </c>
      <c r="J860" t="inlineStr">
        <is>
          <t>A</t>
        </is>
      </c>
      <c r="K860" t="inlineStr">
        <is>
          <t>Estacionamiento</t>
        </is>
      </c>
      <c r="L860" t="inlineStr">
        <is>
          <t>E 39</t>
        </is>
      </c>
      <c r="M860" s="39" t="n">
        <v>43200</v>
      </c>
      <c r="N860" s="39" t="n">
        <v>43200</v>
      </c>
      <c r="S860" s="39" t="n"/>
      <c r="T860" s="39" t="n"/>
      <c r="Y860" s="39" t="n"/>
      <c r="Z860" s="39" t="n"/>
      <c r="AA860" t="inlineStr">
        <is>
          <t>Christian Eduardo Blas Acosta</t>
        </is>
      </c>
      <c r="AB860" t="inlineStr">
        <is>
          <t>47824606</t>
        </is>
      </c>
      <c r="AC860" t="inlineStr">
        <is>
          <t>Av. Los Alisos Urb. Naranjal MZ Ñ-1 LT 27</t>
        </is>
      </c>
      <c r="AD860" t="n">
        <v>0</v>
      </c>
      <c r="AE860" t="inlineStr">
        <is>
          <t>915133898</t>
        </is>
      </c>
      <c r="AF860" t="inlineStr">
        <is>
          <t>cristian12dn@gmail.com</t>
        </is>
      </c>
      <c r="AG860" t="inlineStr">
        <is>
          <t>LIMA</t>
        </is>
      </c>
      <c r="AH860" t="inlineStr">
        <is>
          <t>SAN MARTIN DE PORRES</t>
        </is>
      </c>
      <c r="AI860" s="116" t="n">
        <v>46690</v>
      </c>
      <c r="AJ860" s="116" t="n"/>
      <c r="AK860" t="inlineStr">
        <is>
          <t>SALDO FINANCIAR</t>
        </is>
      </c>
      <c r="AL860" t="n">
        <v>18</v>
      </c>
      <c r="AM860" t="n">
        <v>63930</v>
      </c>
      <c r="AN860" t="n">
        <v>0</v>
      </c>
      <c r="AO860" t="n">
        <v>0</v>
      </c>
      <c r="AP860" s="39" t="n">
        <v>63930</v>
      </c>
      <c r="AQ860" s="39" t="n">
        <v>0</v>
      </c>
      <c r="AR860" s="39" t="n">
        <v>63930</v>
      </c>
      <c r="AT860" t="inlineStr">
        <is>
          <t>Crédito Directo</t>
        </is>
      </c>
      <c r="AZ860" t="inlineStr">
        <is>
          <t>No</t>
        </is>
      </c>
      <c r="BC860" t="inlineStr">
        <is>
          <t>PENDIENTE</t>
        </is>
      </c>
      <c r="BN860" t="inlineStr">
        <is>
          <t>No</t>
        </is>
      </c>
      <c r="BO860" s="117" t="n">
        <v>46046.47361111111</v>
      </c>
      <c r="BP860" t="inlineStr">
        <is>
          <t>Carla Michue M</t>
        </is>
      </c>
      <c r="BR860" t="n">
        <v>10</v>
      </c>
      <c r="BT860" t="n">
        <v>0</v>
      </c>
      <c r="BX860" t="inlineStr">
        <is>
          <t>Cobranzas_2027.csv</t>
        </is>
      </c>
      <c r="BY860" t="n">
        <v>2027</v>
      </c>
      <c r="BZ860" t="inlineStr">
        <is>
          <t>01/01/2024</t>
        </is>
      </c>
      <c r="CA860" t="inlineStr">
        <is>
          <t>30/09/2031</t>
        </is>
      </c>
    </row>
    <row r="861">
      <c r="A861" t="inlineStr">
        <is>
          <t>RESIDENCIAL BEYOND</t>
        </is>
      </c>
      <c r="B861" t="inlineStr">
        <is>
          <t>Etapa 1</t>
        </is>
      </c>
      <c r="C861" t="inlineStr">
        <is>
          <t>Edificio</t>
        </is>
      </c>
      <c r="D861" t="inlineStr">
        <is>
          <t>A</t>
        </is>
      </c>
      <c r="E861" t="inlineStr">
        <is>
          <t>Departamento</t>
        </is>
      </c>
      <c r="F861" t="inlineStr">
        <is>
          <t>1202</t>
        </is>
      </c>
      <c r="G861" s="39" t="n">
        <v>422000</v>
      </c>
      <c r="H861" s="39" t="n">
        <v>370000</v>
      </c>
      <c r="M861" s="39" t="n"/>
      <c r="N861" s="39" t="n"/>
      <c r="S861" s="39" t="n"/>
      <c r="T861" s="39" t="n"/>
      <c r="Y861" s="39" t="n"/>
      <c r="Z861" s="39" t="n"/>
      <c r="AA861" t="inlineStr">
        <is>
          <t>Diana Carolina Asmat Cuno</t>
        </is>
      </c>
      <c r="AB861" t="inlineStr">
        <is>
          <t>47198881</t>
        </is>
      </c>
      <c r="AC861" t="inlineStr">
        <is>
          <t>Jr. Las Cidras 684 Coop Las Flores</t>
        </is>
      </c>
      <c r="AD861" t="n">
        <v>0</v>
      </c>
      <c r="AE861" t="inlineStr">
        <is>
          <t>+61451852811</t>
        </is>
      </c>
      <c r="AF861" t="inlineStr">
        <is>
          <t>ianikro@outlook.com</t>
        </is>
      </c>
      <c r="AG861" t="inlineStr">
        <is>
          <t>LIMA</t>
        </is>
      </c>
      <c r="AH861" t="inlineStr">
        <is>
          <t>SAN JUAN DE LURIGANCHO</t>
        </is>
      </c>
      <c r="AI861" s="116" t="n">
        <v>46568</v>
      </c>
      <c r="AJ861" s="116" t="n"/>
      <c r="AK861" t="inlineStr">
        <is>
          <t>SALDO FINANCIAR</t>
        </is>
      </c>
      <c r="AL861" t="n">
        <v>2</v>
      </c>
      <c r="AM861" t="n">
        <v>240500</v>
      </c>
      <c r="AN861" t="n">
        <v>0</v>
      </c>
      <c r="AO861" t="n">
        <v>0</v>
      </c>
      <c r="AP861" s="39" t="n">
        <v>240500</v>
      </c>
      <c r="AQ861" s="39" t="n">
        <v>0</v>
      </c>
      <c r="AR861" s="39" t="n">
        <v>240500</v>
      </c>
      <c r="AT861" t="inlineStr">
        <is>
          <t>Crédito Directo</t>
        </is>
      </c>
      <c r="AZ861" t="inlineStr">
        <is>
          <t>No</t>
        </is>
      </c>
      <c r="BC861" t="inlineStr">
        <is>
          <t>PENDIENTE</t>
        </is>
      </c>
      <c r="BN861" t="inlineStr">
        <is>
          <t>No</t>
        </is>
      </c>
      <c r="BO861" s="117" t="n">
        <v>46079.4375</v>
      </c>
      <c r="BP861" t="inlineStr">
        <is>
          <t>Magaly Guevara Perez</t>
        </is>
      </c>
      <c r="BR861" t="n">
        <v>15</v>
      </c>
      <c r="BT861" t="n">
        <v>0</v>
      </c>
      <c r="BX861" t="inlineStr">
        <is>
          <t>Cobranzas_2027.csv</t>
        </is>
      </c>
      <c r="BY861" t="n">
        <v>2027</v>
      </c>
      <c r="BZ861" t="inlineStr">
        <is>
          <t>01/01/2024</t>
        </is>
      </c>
      <c r="CA861" t="inlineStr">
        <is>
          <t>30/09/2031</t>
        </is>
      </c>
    </row>
    <row r="862">
      <c r="A862" t="inlineStr">
        <is>
          <t>RESIDENCIAL VENECIA</t>
        </is>
      </c>
      <c r="B862" t="inlineStr">
        <is>
          <t>Etapa 1</t>
        </is>
      </c>
      <c r="C862" t="inlineStr">
        <is>
          <t>Edificio</t>
        </is>
      </c>
      <c r="D862" t="inlineStr">
        <is>
          <t>A</t>
        </is>
      </c>
      <c r="E862" t="inlineStr">
        <is>
          <t>Departamento</t>
        </is>
      </c>
      <c r="F862" t="inlineStr">
        <is>
          <t>101</t>
        </is>
      </c>
      <c r="G862" s="39" t="n">
        <v>483000</v>
      </c>
      <c r="H862" s="39" t="n">
        <v>420000</v>
      </c>
      <c r="M862" s="39" t="n"/>
      <c r="N862" s="39" t="n"/>
      <c r="S862" s="39" t="n"/>
      <c r="T862" s="39" t="n"/>
      <c r="Y862" s="39" t="n"/>
      <c r="Z862" s="39" t="n"/>
      <c r="AA862" t="inlineStr">
        <is>
          <t>DROPER TUCTA MALDONADO</t>
        </is>
      </c>
      <c r="AB862" t="inlineStr">
        <is>
          <t>40277633</t>
        </is>
      </c>
      <c r="AC862" t="inlineStr">
        <is>
          <t>PROLONGACION LOS PALTOS S/N</t>
        </is>
      </c>
      <c r="AD862" t="n">
        <v>0</v>
      </c>
      <c r="AE862" t="inlineStr">
        <is>
          <t>934614220</t>
        </is>
      </c>
      <c r="AF862" t="inlineStr">
        <is>
          <t>droper-123tucta@hotmail.com</t>
        </is>
      </c>
      <c r="AG862" t="inlineStr">
        <is>
          <t>CAÑETE</t>
        </is>
      </c>
      <c r="AH862" t="inlineStr">
        <is>
          <t>MALA</t>
        </is>
      </c>
      <c r="AI862" s="116" t="n">
        <v>46476</v>
      </c>
      <c r="AJ862" s="116" t="n"/>
      <c r="AK862" t="inlineStr">
        <is>
          <t>SALDO FINANCIAR</t>
        </is>
      </c>
      <c r="AL862" t="n">
        <v>1</v>
      </c>
      <c r="AM862" t="n">
        <v>140000</v>
      </c>
      <c r="AN862" t="n">
        <v>0</v>
      </c>
      <c r="AO862" t="n">
        <v>0</v>
      </c>
      <c r="AP862" s="39" t="n">
        <v>140000</v>
      </c>
      <c r="AQ862" s="39" t="n">
        <v>0</v>
      </c>
      <c r="AR862" s="39" t="n">
        <v>140000</v>
      </c>
      <c r="AT862" t="inlineStr">
        <is>
          <t>Crédito Directo</t>
        </is>
      </c>
      <c r="AZ862" t="inlineStr">
        <is>
          <t>No</t>
        </is>
      </c>
      <c r="BC862" t="inlineStr">
        <is>
          <t>PENDIENTE</t>
        </is>
      </c>
      <c r="BN862" t="inlineStr">
        <is>
          <t>No</t>
        </is>
      </c>
      <c r="BO862" s="117" t="n">
        <v>46190.45694444444</v>
      </c>
      <c r="BP862" t="inlineStr">
        <is>
          <t>Magaly Guevara Perez</t>
        </is>
      </c>
      <c r="BR862" t="n">
        <v>21</v>
      </c>
      <c r="BT862" t="n">
        <v>0</v>
      </c>
      <c r="BX862" t="inlineStr">
        <is>
          <t>Cobranzas_2027.csv</t>
        </is>
      </c>
      <c r="BY862" t="n">
        <v>2027</v>
      </c>
      <c r="BZ862" t="inlineStr">
        <is>
          <t>01/01/2024</t>
        </is>
      </c>
      <c r="CA862" t="inlineStr">
        <is>
          <t>30/09/2031</t>
        </is>
      </c>
    </row>
    <row r="863">
      <c r="A863" t="inlineStr">
        <is>
          <t>RESIDENCIAL VENECIA</t>
        </is>
      </c>
      <c r="B863" t="inlineStr">
        <is>
          <t>Etapa 1</t>
        </is>
      </c>
      <c r="C863" t="inlineStr">
        <is>
          <t>Edificio</t>
        </is>
      </c>
      <c r="D863" t="inlineStr">
        <is>
          <t>A</t>
        </is>
      </c>
      <c r="E863" t="inlineStr">
        <is>
          <t>Departamento</t>
        </is>
      </c>
      <c r="F863" t="inlineStr">
        <is>
          <t>101</t>
        </is>
      </c>
      <c r="G863" s="39" t="n">
        <v>483000</v>
      </c>
      <c r="H863" s="39" t="n">
        <v>420000</v>
      </c>
      <c r="M863" s="39" t="n"/>
      <c r="N863" s="39" t="n"/>
      <c r="S863" s="39" t="n"/>
      <c r="T863" s="39" t="n"/>
      <c r="Y863" s="39" t="n"/>
      <c r="Z863" s="39" t="n"/>
      <c r="AA863" t="inlineStr">
        <is>
          <t>DROPER TUCTA MALDONADO</t>
        </is>
      </c>
      <c r="AB863" t="inlineStr">
        <is>
          <t>40277633</t>
        </is>
      </c>
      <c r="AC863" t="inlineStr">
        <is>
          <t>PROLONGACION LOS PALTOS S/N</t>
        </is>
      </c>
      <c r="AD863" t="n">
        <v>0</v>
      </c>
      <c r="AE863" t="inlineStr">
        <is>
          <t>934614220</t>
        </is>
      </c>
      <c r="AF863" t="inlineStr">
        <is>
          <t>droper-123tucta@hotmail.com</t>
        </is>
      </c>
      <c r="AG863" t="inlineStr">
        <is>
          <t>CAÑETE</t>
        </is>
      </c>
      <c r="AH863" t="inlineStr">
        <is>
          <t>MALA</t>
        </is>
      </c>
      <c r="AI863" s="116" t="n">
        <v>46721</v>
      </c>
      <c r="AJ863" s="116" t="n"/>
      <c r="AK863" t="inlineStr">
        <is>
          <t>SALDO FINANCIAR</t>
        </is>
      </c>
      <c r="AL863" t="n">
        <v>2</v>
      </c>
      <c r="AM863" t="n">
        <v>140000</v>
      </c>
      <c r="AN863" t="n">
        <v>0</v>
      </c>
      <c r="AO863" t="n">
        <v>0</v>
      </c>
      <c r="AP863" s="39" t="n">
        <v>140000</v>
      </c>
      <c r="AQ863" s="39" t="n">
        <v>0</v>
      </c>
      <c r="AR863" s="39" t="n">
        <v>140000</v>
      </c>
      <c r="AT863" t="inlineStr">
        <is>
          <t>Crédito Directo</t>
        </is>
      </c>
      <c r="AZ863" t="inlineStr">
        <is>
          <t>No</t>
        </is>
      </c>
      <c r="BC863" t="inlineStr">
        <is>
          <t>PENDIENTE</t>
        </is>
      </c>
      <c r="BN863" t="inlineStr">
        <is>
          <t>No</t>
        </is>
      </c>
      <c r="BO863" s="117" t="n">
        <v>46190.45694444444</v>
      </c>
      <c r="BP863" t="inlineStr">
        <is>
          <t>Magaly Guevara Perez</t>
        </is>
      </c>
      <c r="BR863" t="n">
        <v>21</v>
      </c>
      <c r="BT863" t="n">
        <v>0</v>
      </c>
      <c r="BX863" t="inlineStr">
        <is>
          <t>Cobranzas_2027.csv</t>
        </is>
      </c>
      <c r="BY863" t="n">
        <v>2027</v>
      </c>
      <c r="BZ863" t="inlineStr">
        <is>
          <t>01/01/2024</t>
        </is>
      </c>
      <c r="CA863" t="inlineStr">
        <is>
          <t>30/09/2031</t>
        </is>
      </c>
    </row>
    <row r="864">
      <c r="A864" t="inlineStr">
        <is>
          <t>RESIDENCIAL BEYOND</t>
        </is>
      </c>
      <c r="B864" t="inlineStr">
        <is>
          <t>Etapa 1</t>
        </is>
      </c>
      <c r="C864" t="inlineStr">
        <is>
          <t>Edificio</t>
        </is>
      </c>
      <c r="D864" t="inlineStr">
        <is>
          <t>A</t>
        </is>
      </c>
      <c r="E864" t="inlineStr">
        <is>
          <t>Estacionamiento</t>
        </is>
      </c>
      <c r="F864" t="inlineStr">
        <is>
          <t>E 26 - D 17</t>
        </is>
      </c>
      <c r="G864" s="39" t="n">
        <v>51000</v>
      </c>
      <c r="H864" s="39" t="n">
        <v>51000</v>
      </c>
      <c r="M864" s="39" t="n"/>
      <c r="N864" s="39" t="n"/>
      <c r="S864" s="39" t="n"/>
      <c r="T864" s="39" t="n"/>
      <c r="Y864" s="39" t="n"/>
      <c r="Z864" s="39" t="n"/>
      <c r="AA864" t="inlineStr">
        <is>
          <t>Elizabeth Bertha Fierro Cancho</t>
        </is>
      </c>
      <c r="AB864" t="inlineStr">
        <is>
          <t>10599276</t>
        </is>
      </c>
      <c r="AC864" t="inlineStr">
        <is>
          <t>Calle uno Numero 270 Edif D Dpto. 301 – Urb. Los Parques del El Agustino</t>
        </is>
      </c>
      <c r="AD864" t="n">
        <v>0</v>
      </c>
      <c r="AE864" t="inlineStr">
        <is>
          <t>966794666</t>
        </is>
      </c>
      <c r="AF864" t="inlineStr">
        <is>
          <t>esdrasjoelpatillarojas@hotmail.com</t>
        </is>
      </c>
      <c r="AG864" t="inlineStr">
        <is>
          <t>LIMA</t>
        </is>
      </c>
      <c r="AH864" t="inlineStr">
        <is>
          <t>EL AGUSTINO</t>
        </is>
      </c>
      <c r="AI864" s="116" t="n">
        <v>46417</v>
      </c>
      <c r="AJ864" s="116" t="n"/>
      <c r="AK864" t="inlineStr">
        <is>
          <t>SALDO FINANCIAR</t>
        </is>
      </c>
      <c r="AL864" t="n">
        <v>8</v>
      </c>
      <c r="AM864" t="n">
        <v>3000</v>
      </c>
      <c r="AN864" t="n">
        <v>0</v>
      </c>
      <c r="AO864" t="n">
        <v>0</v>
      </c>
      <c r="AP864" s="39" t="n">
        <v>3000</v>
      </c>
      <c r="AQ864" s="39" t="n">
        <v>0</v>
      </c>
      <c r="AR864" s="39" t="n">
        <v>3000</v>
      </c>
      <c r="AT864" t="inlineStr">
        <is>
          <t>Crédito Directo</t>
        </is>
      </c>
      <c r="AZ864" t="inlineStr">
        <is>
          <t>No</t>
        </is>
      </c>
      <c r="BC864" t="inlineStr">
        <is>
          <t>PENDIENTE</t>
        </is>
      </c>
      <c r="BN864" t="inlineStr">
        <is>
          <t>No</t>
        </is>
      </c>
      <c r="BO864" s="117" t="n">
        <v>46141.39236111111</v>
      </c>
      <c r="BP864" t="inlineStr">
        <is>
          <t>Carla Michue M</t>
        </is>
      </c>
      <c r="BR864" t="n">
        <v>49</v>
      </c>
      <c r="BT864" t="n">
        <v>0</v>
      </c>
      <c r="BX864" t="inlineStr">
        <is>
          <t>Cobranzas_2027.csv</t>
        </is>
      </c>
      <c r="BY864" t="n">
        <v>2027</v>
      </c>
      <c r="BZ864" t="inlineStr">
        <is>
          <t>01/01/2024</t>
        </is>
      </c>
      <c r="CA864" t="inlineStr">
        <is>
          <t>30/09/2031</t>
        </is>
      </c>
    </row>
    <row r="865">
      <c r="A865" t="inlineStr">
        <is>
          <t>RESIDENCIAL BEYOND</t>
        </is>
      </c>
      <c r="B865" t="inlineStr">
        <is>
          <t>Etapa 1</t>
        </is>
      </c>
      <c r="C865" t="inlineStr">
        <is>
          <t>Edificio</t>
        </is>
      </c>
      <c r="D865" t="inlineStr">
        <is>
          <t>A</t>
        </is>
      </c>
      <c r="E865" t="inlineStr">
        <is>
          <t>Estacionamiento</t>
        </is>
      </c>
      <c r="F865" t="inlineStr">
        <is>
          <t>E 26 - D 17</t>
        </is>
      </c>
      <c r="G865" s="39" t="n">
        <v>51000</v>
      </c>
      <c r="H865" s="39" t="n">
        <v>51000</v>
      </c>
      <c r="M865" s="39" t="n"/>
      <c r="N865" s="39" t="n"/>
      <c r="S865" s="39" t="n"/>
      <c r="T865" s="39" t="n"/>
      <c r="Y865" s="39" t="n"/>
      <c r="Z865" s="39" t="n"/>
      <c r="AA865" t="inlineStr">
        <is>
          <t>Elizabeth Bertha Fierro Cancho</t>
        </is>
      </c>
      <c r="AB865" t="inlineStr">
        <is>
          <t>10599276</t>
        </is>
      </c>
      <c r="AC865" t="inlineStr">
        <is>
          <t>Calle uno Numero 270 Edif D Dpto. 301 – Urb. Los Parques del El Agustino</t>
        </is>
      </c>
      <c r="AD865" t="n">
        <v>0</v>
      </c>
      <c r="AE865" t="inlineStr">
        <is>
          <t>966794666</t>
        </is>
      </c>
      <c r="AF865" t="inlineStr">
        <is>
          <t>esdrasjoelpatillarojas@hotmail.com</t>
        </is>
      </c>
      <c r="AG865" t="inlineStr">
        <is>
          <t>LIMA</t>
        </is>
      </c>
      <c r="AH865" t="inlineStr">
        <is>
          <t>EL AGUSTINO</t>
        </is>
      </c>
      <c r="AI865" s="116" t="n">
        <v>46446</v>
      </c>
      <c r="AJ865" s="116" t="n"/>
      <c r="AK865" t="inlineStr">
        <is>
          <t>SALDO FINANCIAR</t>
        </is>
      </c>
      <c r="AL865" t="n">
        <v>9</v>
      </c>
      <c r="AM865" t="n">
        <v>3000</v>
      </c>
      <c r="AN865" t="n">
        <v>0</v>
      </c>
      <c r="AO865" t="n">
        <v>0</v>
      </c>
      <c r="AP865" s="39" t="n">
        <v>3000</v>
      </c>
      <c r="AQ865" s="39" t="n">
        <v>0</v>
      </c>
      <c r="AR865" s="39" t="n">
        <v>3000</v>
      </c>
      <c r="AT865" t="inlineStr">
        <is>
          <t>Crédito Directo</t>
        </is>
      </c>
      <c r="AZ865" t="inlineStr">
        <is>
          <t>No</t>
        </is>
      </c>
      <c r="BC865" t="inlineStr">
        <is>
          <t>PENDIENTE</t>
        </is>
      </c>
      <c r="BN865" t="inlineStr">
        <is>
          <t>No</t>
        </is>
      </c>
      <c r="BO865" s="117" t="n">
        <v>46141.39236111111</v>
      </c>
      <c r="BP865" t="inlineStr">
        <is>
          <t>Carla Michue M</t>
        </is>
      </c>
      <c r="BR865" t="n">
        <v>49</v>
      </c>
      <c r="BT865" t="n">
        <v>0</v>
      </c>
      <c r="BX865" t="inlineStr">
        <is>
          <t>Cobranzas_2027.csv</t>
        </is>
      </c>
      <c r="BY865" t="n">
        <v>2027</v>
      </c>
      <c r="BZ865" t="inlineStr">
        <is>
          <t>01/01/2024</t>
        </is>
      </c>
      <c r="CA865" t="inlineStr">
        <is>
          <t>30/09/2031</t>
        </is>
      </c>
    </row>
    <row r="866">
      <c r="A866" t="inlineStr">
        <is>
          <t>RESIDENCIAL BEYOND</t>
        </is>
      </c>
      <c r="B866" t="inlineStr">
        <is>
          <t>Etapa 1</t>
        </is>
      </c>
      <c r="C866" t="inlineStr">
        <is>
          <t>Edificio</t>
        </is>
      </c>
      <c r="D866" t="inlineStr">
        <is>
          <t>A</t>
        </is>
      </c>
      <c r="E866" t="inlineStr">
        <is>
          <t>Estacionamiento</t>
        </is>
      </c>
      <c r="F866" t="inlineStr">
        <is>
          <t>E 26 - D 17</t>
        </is>
      </c>
      <c r="G866" s="39" t="n">
        <v>51000</v>
      </c>
      <c r="H866" s="39" t="n">
        <v>51000</v>
      </c>
      <c r="M866" s="39" t="n"/>
      <c r="N866" s="39" t="n"/>
      <c r="S866" s="39" t="n"/>
      <c r="T866" s="39" t="n"/>
      <c r="Y866" s="39" t="n"/>
      <c r="Z866" s="39" t="n"/>
      <c r="AA866" t="inlineStr">
        <is>
          <t>Elizabeth Bertha Fierro Cancho</t>
        </is>
      </c>
      <c r="AB866" t="inlineStr">
        <is>
          <t>10599276</t>
        </is>
      </c>
      <c r="AC866" t="inlineStr">
        <is>
          <t>Calle uno Numero 270 Edif D Dpto. 301 – Urb. Los Parques del El Agustino</t>
        </is>
      </c>
      <c r="AD866" t="n">
        <v>0</v>
      </c>
      <c r="AE866" t="inlineStr">
        <is>
          <t>966794666</t>
        </is>
      </c>
      <c r="AF866" t="inlineStr">
        <is>
          <t>esdrasjoelpatillarojas@hotmail.com</t>
        </is>
      </c>
      <c r="AG866" t="inlineStr">
        <is>
          <t>LIMA</t>
        </is>
      </c>
      <c r="AH866" t="inlineStr">
        <is>
          <t>EL AGUSTINO</t>
        </is>
      </c>
      <c r="AI866" s="116" t="n">
        <v>46476</v>
      </c>
      <c r="AJ866" s="116" t="n"/>
      <c r="AK866" t="inlineStr">
        <is>
          <t>SALDO FINANCIAR</t>
        </is>
      </c>
      <c r="AL866" t="n">
        <v>10</v>
      </c>
      <c r="AM866" t="n">
        <v>3000</v>
      </c>
      <c r="AN866" t="n">
        <v>0</v>
      </c>
      <c r="AO866" t="n">
        <v>0</v>
      </c>
      <c r="AP866" s="39" t="n">
        <v>3000</v>
      </c>
      <c r="AQ866" s="39" t="n">
        <v>0</v>
      </c>
      <c r="AR866" s="39" t="n">
        <v>3000</v>
      </c>
      <c r="AT866" t="inlineStr">
        <is>
          <t>Crédito Directo</t>
        </is>
      </c>
      <c r="AZ866" t="inlineStr">
        <is>
          <t>No</t>
        </is>
      </c>
      <c r="BC866" t="inlineStr">
        <is>
          <t>PENDIENTE</t>
        </is>
      </c>
      <c r="BN866" t="inlineStr">
        <is>
          <t>No</t>
        </is>
      </c>
      <c r="BO866" s="117" t="n">
        <v>46141.39236111111</v>
      </c>
      <c r="BP866" t="inlineStr">
        <is>
          <t>Carla Michue M</t>
        </is>
      </c>
      <c r="BR866" t="n">
        <v>49</v>
      </c>
      <c r="BT866" t="n">
        <v>0</v>
      </c>
      <c r="BX866" t="inlineStr">
        <is>
          <t>Cobranzas_2027.csv</t>
        </is>
      </c>
      <c r="BY866" t="n">
        <v>2027</v>
      </c>
      <c r="BZ866" t="inlineStr">
        <is>
          <t>01/01/2024</t>
        </is>
      </c>
      <c r="CA866" t="inlineStr">
        <is>
          <t>30/09/2031</t>
        </is>
      </c>
    </row>
    <row r="867">
      <c r="A867" t="inlineStr">
        <is>
          <t>RESIDENCIAL BEYOND</t>
        </is>
      </c>
      <c r="B867" t="inlineStr">
        <is>
          <t>Etapa 1</t>
        </is>
      </c>
      <c r="C867" t="inlineStr">
        <is>
          <t>Edificio</t>
        </is>
      </c>
      <c r="D867" t="inlineStr">
        <is>
          <t>A</t>
        </is>
      </c>
      <c r="E867" t="inlineStr">
        <is>
          <t>Estacionamiento</t>
        </is>
      </c>
      <c r="F867" t="inlineStr">
        <is>
          <t>E 26 - D 17</t>
        </is>
      </c>
      <c r="G867" s="39" t="n">
        <v>51000</v>
      </c>
      <c r="H867" s="39" t="n">
        <v>51000</v>
      </c>
      <c r="M867" s="39" t="n"/>
      <c r="N867" s="39" t="n"/>
      <c r="S867" s="39" t="n"/>
      <c r="T867" s="39" t="n"/>
      <c r="Y867" s="39" t="n"/>
      <c r="Z867" s="39" t="n"/>
      <c r="AA867" t="inlineStr">
        <is>
          <t>Elizabeth Bertha Fierro Cancho</t>
        </is>
      </c>
      <c r="AB867" t="inlineStr">
        <is>
          <t>10599276</t>
        </is>
      </c>
      <c r="AC867" t="inlineStr">
        <is>
          <t>Calle uno Numero 270 Edif D Dpto. 301 – Urb. Los Parques del El Agustino</t>
        </is>
      </c>
      <c r="AD867" t="n">
        <v>0</v>
      </c>
      <c r="AE867" t="inlineStr">
        <is>
          <t>966794666</t>
        </is>
      </c>
      <c r="AF867" t="inlineStr">
        <is>
          <t>esdrasjoelpatillarojas@hotmail.com</t>
        </is>
      </c>
      <c r="AG867" t="inlineStr">
        <is>
          <t>LIMA</t>
        </is>
      </c>
      <c r="AH867" t="inlineStr">
        <is>
          <t>EL AGUSTINO</t>
        </is>
      </c>
      <c r="AI867" s="116" t="n">
        <v>46507</v>
      </c>
      <c r="AJ867" s="116" t="n"/>
      <c r="AK867" t="inlineStr">
        <is>
          <t>SALDO FINANCIAR</t>
        </is>
      </c>
      <c r="AL867" t="n">
        <v>11</v>
      </c>
      <c r="AM867" t="n">
        <v>3000</v>
      </c>
      <c r="AN867" t="n">
        <v>0</v>
      </c>
      <c r="AO867" t="n">
        <v>0</v>
      </c>
      <c r="AP867" s="39" t="n">
        <v>3000</v>
      </c>
      <c r="AQ867" s="39" t="n">
        <v>0</v>
      </c>
      <c r="AR867" s="39" t="n">
        <v>3000</v>
      </c>
      <c r="AT867" t="inlineStr">
        <is>
          <t>Crédito Directo</t>
        </is>
      </c>
      <c r="AZ867" t="inlineStr">
        <is>
          <t>No</t>
        </is>
      </c>
      <c r="BC867" t="inlineStr">
        <is>
          <t>PENDIENTE</t>
        </is>
      </c>
      <c r="BN867" t="inlineStr">
        <is>
          <t>No</t>
        </is>
      </c>
      <c r="BO867" s="117" t="n">
        <v>46141.39236111111</v>
      </c>
      <c r="BP867" t="inlineStr">
        <is>
          <t>Carla Michue M</t>
        </is>
      </c>
      <c r="BR867" t="n">
        <v>49</v>
      </c>
      <c r="BT867" t="n">
        <v>0</v>
      </c>
      <c r="BX867" t="inlineStr">
        <is>
          <t>Cobranzas_2027.csv</t>
        </is>
      </c>
      <c r="BY867" t="n">
        <v>2027</v>
      </c>
      <c r="BZ867" t="inlineStr">
        <is>
          <t>01/01/2024</t>
        </is>
      </c>
      <c r="CA867" t="inlineStr">
        <is>
          <t>30/09/2031</t>
        </is>
      </c>
    </row>
    <row r="868">
      <c r="A868" t="inlineStr">
        <is>
          <t>RESIDENCIAL BEYOND</t>
        </is>
      </c>
      <c r="B868" t="inlineStr">
        <is>
          <t>Etapa 1</t>
        </is>
      </c>
      <c r="C868" t="inlineStr">
        <is>
          <t>Edificio</t>
        </is>
      </c>
      <c r="D868" t="inlineStr">
        <is>
          <t>A</t>
        </is>
      </c>
      <c r="E868" t="inlineStr">
        <is>
          <t>Estacionamiento</t>
        </is>
      </c>
      <c r="F868" t="inlineStr">
        <is>
          <t>E 26 - D 17</t>
        </is>
      </c>
      <c r="G868" s="39" t="n">
        <v>51000</v>
      </c>
      <c r="H868" s="39" t="n">
        <v>51000</v>
      </c>
      <c r="M868" s="39" t="n"/>
      <c r="N868" s="39" t="n"/>
      <c r="S868" s="39" t="n"/>
      <c r="T868" s="39" t="n"/>
      <c r="Y868" s="39" t="n"/>
      <c r="Z868" s="39" t="n"/>
      <c r="AA868" t="inlineStr">
        <is>
          <t>Elizabeth Bertha Fierro Cancho</t>
        </is>
      </c>
      <c r="AB868" t="inlineStr">
        <is>
          <t>10599276</t>
        </is>
      </c>
      <c r="AC868" t="inlineStr">
        <is>
          <t>Calle uno Numero 270 Edif D Dpto. 301 – Urb. Los Parques del El Agustino</t>
        </is>
      </c>
      <c r="AD868" t="n">
        <v>0</v>
      </c>
      <c r="AE868" t="inlineStr">
        <is>
          <t>966794666</t>
        </is>
      </c>
      <c r="AF868" t="inlineStr">
        <is>
          <t>esdrasjoelpatillarojas@hotmail.com</t>
        </is>
      </c>
      <c r="AG868" t="inlineStr">
        <is>
          <t>LIMA</t>
        </is>
      </c>
      <c r="AH868" t="inlineStr">
        <is>
          <t>EL AGUSTINO</t>
        </is>
      </c>
      <c r="AI868" s="116" t="n">
        <v>46537</v>
      </c>
      <c r="AJ868" s="116" t="n"/>
      <c r="AK868" t="inlineStr">
        <is>
          <t>SALDO FINANCIAR</t>
        </is>
      </c>
      <c r="AL868" t="n">
        <v>12</v>
      </c>
      <c r="AM868" t="n">
        <v>8000</v>
      </c>
      <c r="AN868" t="n">
        <v>0</v>
      </c>
      <c r="AO868" t="n">
        <v>0</v>
      </c>
      <c r="AP868" s="39" t="n">
        <v>8000</v>
      </c>
      <c r="AQ868" s="39" t="n">
        <v>0</v>
      </c>
      <c r="AR868" s="39" t="n">
        <v>8000</v>
      </c>
      <c r="AT868" t="inlineStr">
        <is>
          <t>Crédito Directo</t>
        </is>
      </c>
      <c r="AZ868" t="inlineStr">
        <is>
          <t>No</t>
        </is>
      </c>
      <c r="BC868" t="inlineStr">
        <is>
          <t>PENDIENTE</t>
        </is>
      </c>
      <c r="BN868" t="inlineStr">
        <is>
          <t>No</t>
        </is>
      </c>
      <c r="BO868" s="117" t="n">
        <v>46141.39236111111</v>
      </c>
      <c r="BP868" t="inlineStr">
        <is>
          <t>Carla Michue M</t>
        </is>
      </c>
      <c r="BR868" t="n">
        <v>49</v>
      </c>
      <c r="BT868" t="n">
        <v>0</v>
      </c>
      <c r="BX868" t="inlineStr">
        <is>
          <t>Cobranzas_2027.csv</t>
        </is>
      </c>
      <c r="BY868" t="n">
        <v>2027</v>
      </c>
      <c r="BZ868" t="inlineStr">
        <is>
          <t>01/01/2024</t>
        </is>
      </c>
      <c r="CA868" t="inlineStr">
        <is>
          <t>30/09/2031</t>
        </is>
      </c>
    </row>
    <row r="869">
      <c r="A869" t="inlineStr">
        <is>
          <t>RESIDENCIAL BEYOND</t>
        </is>
      </c>
      <c r="B869" t="inlineStr">
        <is>
          <t>Etapa 1</t>
        </is>
      </c>
      <c r="C869" t="inlineStr">
        <is>
          <t>Edificio</t>
        </is>
      </c>
      <c r="D869" t="inlineStr">
        <is>
          <t>A</t>
        </is>
      </c>
      <c r="E869" t="inlineStr">
        <is>
          <t>Departamento</t>
        </is>
      </c>
      <c r="F869" t="inlineStr">
        <is>
          <t>1406</t>
        </is>
      </c>
      <c r="G869" s="39" t="n">
        <v>333000</v>
      </c>
      <c r="H869" s="39" t="n">
        <v>285000</v>
      </c>
      <c r="M869" s="39" t="n"/>
      <c r="N869" s="39" t="n"/>
      <c r="S869" s="39" t="n"/>
      <c r="T869" s="39" t="n"/>
      <c r="Y869" s="39" t="n"/>
      <c r="Z869" s="39" t="n"/>
      <c r="AA869" t="inlineStr">
        <is>
          <t>Elsa Edelmira Aguirre Novoa</t>
        </is>
      </c>
      <c r="AB869" t="inlineStr">
        <is>
          <t>26632933</t>
        </is>
      </c>
      <c r="AC869" t="inlineStr">
        <is>
          <t xml:space="preserve"> Huascar 199 – Pacasmayo – LA Libertad - </t>
        </is>
      </c>
      <c r="AD869" t="n">
        <v>976531500</v>
      </c>
      <c r="AE869" t="inlineStr">
        <is>
          <t>976531500</t>
        </is>
      </c>
      <c r="AF869" t="inlineStr">
        <is>
          <t>elsaaguirrenovoa@yahoo.com</t>
        </is>
      </c>
      <c r="AG869" t="inlineStr">
        <is>
          <t>TRUJILLO</t>
        </is>
      </c>
      <c r="AH869" t="inlineStr">
        <is>
          <t>TRUJILLO</t>
        </is>
      </c>
      <c r="AI869" s="116" t="n">
        <v>46537</v>
      </c>
      <c r="AJ869" s="116" t="n"/>
      <c r="AK869" t="inlineStr">
        <is>
          <t>SALDO FINANCIAR</t>
        </is>
      </c>
      <c r="AL869" t="n">
        <v>2</v>
      </c>
      <c r="AM869" t="n">
        <v>47500</v>
      </c>
      <c r="AN869" t="n">
        <v>0</v>
      </c>
      <c r="AO869" t="n">
        <v>0</v>
      </c>
      <c r="AP869" s="39" t="n">
        <v>47500</v>
      </c>
      <c r="AQ869" s="39" t="n">
        <v>0</v>
      </c>
      <c r="AR869" s="39" t="n">
        <v>47500</v>
      </c>
      <c r="AT869" t="inlineStr">
        <is>
          <t>Crédito Directo</t>
        </is>
      </c>
      <c r="AZ869" t="inlineStr">
        <is>
          <t>No</t>
        </is>
      </c>
      <c r="BC869" t="inlineStr">
        <is>
          <t>PENDIENTE</t>
        </is>
      </c>
      <c r="BN869" t="inlineStr">
        <is>
          <t>No</t>
        </is>
      </c>
      <c r="BO869" s="117" t="n">
        <v>46278.47361111111</v>
      </c>
      <c r="BP869" t="inlineStr">
        <is>
          <t>Carla Michue M</t>
        </is>
      </c>
      <c r="BR869" t="n">
        <v>62</v>
      </c>
      <c r="BT869" t="n">
        <v>0</v>
      </c>
      <c r="BX869" t="inlineStr">
        <is>
          <t>Cobranzas_2027.csv</t>
        </is>
      </c>
      <c r="BY869" t="n">
        <v>2027</v>
      </c>
      <c r="BZ869" t="inlineStr">
        <is>
          <t>01/01/2024</t>
        </is>
      </c>
      <c r="CA869" t="inlineStr">
        <is>
          <t>30/09/2031</t>
        </is>
      </c>
    </row>
    <row r="870">
      <c r="A870" t="inlineStr">
        <is>
          <t>RESIDENCIAL BEYOND</t>
        </is>
      </c>
      <c r="B870" t="inlineStr">
        <is>
          <t>Etapa 1</t>
        </is>
      </c>
      <c r="C870" t="inlineStr">
        <is>
          <t>Edificio</t>
        </is>
      </c>
      <c r="D870" t="inlineStr">
        <is>
          <t>A</t>
        </is>
      </c>
      <c r="E870" t="inlineStr">
        <is>
          <t>Departamento</t>
        </is>
      </c>
      <c r="F870" t="inlineStr">
        <is>
          <t>1406</t>
        </is>
      </c>
      <c r="G870" s="39" t="n">
        <v>333000</v>
      </c>
      <c r="H870" s="39" t="n">
        <v>285000</v>
      </c>
      <c r="M870" s="39" t="n"/>
      <c r="N870" s="39" t="n"/>
      <c r="S870" s="39" t="n"/>
      <c r="T870" s="39" t="n"/>
      <c r="Y870" s="39" t="n"/>
      <c r="Z870" s="39" t="n"/>
      <c r="AA870" t="inlineStr">
        <is>
          <t>Elsa Edelmira Aguirre Novoa</t>
        </is>
      </c>
      <c r="AB870" t="inlineStr">
        <is>
          <t>26632933</t>
        </is>
      </c>
      <c r="AC870" t="inlineStr">
        <is>
          <t xml:space="preserve"> Huascar 199 – Pacasmayo – LA Libertad - </t>
        </is>
      </c>
      <c r="AD870" t="n">
        <v>976531500</v>
      </c>
      <c r="AE870" t="inlineStr">
        <is>
          <t>976531500</t>
        </is>
      </c>
      <c r="AF870" t="inlineStr">
        <is>
          <t>elsaaguirrenovoa@yahoo.com</t>
        </is>
      </c>
      <c r="AG870" t="inlineStr">
        <is>
          <t>TRUJILLO</t>
        </is>
      </c>
      <c r="AH870" t="inlineStr">
        <is>
          <t>TRUJILLO</t>
        </is>
      </c>
      <c r="AI870" s="116" t="n">
        <v>46721</v>
      </c>
      <c r="AJ870" s="116" t="n"/>
      <c r="AK870" t="inlineStr">
        <is>
          <t>SALDO FINANCIAR</t>
        </is>
      </c>
      <c r="AL870" t="n">
        <v>3</v>
      </c>
      <c r="AM870" t="n">
        <v>47500</v>
      </c>
      <c r="AN870" t="n">
        <v>0</v>
      </c>
      <c r="AO870" t="n">
        <v>0</v>
      </c>
      <c r="AP870" s="39" t="n">
        <v>47500</v>
      </c>
      <c r="AQ870" s="39" t="n">
        <v>0</v>
      </c>
      <c r="AR870" s="39" t="n">
        <v>47500</v>
      </c>
      <c r="AT870" t="inlineStr">
        <is>
          <t>Crédito Directo</t>
        </is>
      </c>
      <c r="AZ870" t="inlineStr">
        <is>
          <t>No</t>
        </is>
      </c>
      <c r="BC870" t="inlineStr">
        <is>
          <t>PENDIENTE</t>
        </is>
      </c>
      <c r="BN870" t="inlineStr">
        <is>
          <t>No</t>
        </is>
      </c>
      <c r="BO870" s="117" t="n">
        <v>46278.47361111111</v>
      </c>
      <c r="BP870" t="inlineStr">
        <is>
          <t>Carla Michue M</t>
        </is>
      </c>
      <c r="BR870" t="n">
        <v>62</v>
      </c>
      <c r="BT870" t="n">
        <v>0</v>
      </c>
      <c r="BX870" t="inlineStr">
        <is>
          <t>Cobranzas_2027.csv</t>
        </is>
      </c>
      <c r="BY870" t="n">
        <v>2027</v>
      </c>
      <c r="BZ870" t="inlineStr">
        <is>
          <t>01/01/2024</t>
        </is>
      </c>
      <c r="CA870" t="inlineStr">
        <is>
          <t>30/09/2031</t>
        </is>
      </c>
    </row>
    <row r="871">
      <c r="A871" t="inlineStr">
        <is>
          <t>RESIDENCIAL BEYOND</t>
        </is>
      </c>
      <c r="B871" t="inlineStr">
        <is>
          <t>Etapa 1</t>
        </is>
      </c>
      <c r="C871" t="inlineStr">
        <is>
          <t>Edificio</t>
        </is>
      </c>
      <c r="D871" t="inlineStr">
        <is>
          <t>A</t>
        </is>
      </c>
      <c r="E871" t="inlineStr">
        <is>
          <t>Estacionamiento</t>
        </is>
      </c>
      <c r="F871" t="inlineStr">
        <is>
          <t>E 12 - D 10</t>
        </is>
      </c>
      <c r="G871" s="39" t="n">
        <v>51500</v>
      </c>
      <c r="H871" s="39" t="n">
        <v>51500</v>
      </c>
      <c r="M871" s="39" t="n"/>
      <c r="N871" s="39" t="n"/>
      <c r="S871" s="39" t="n"/>
      <c r="T871" s="39" t="n"/>
      <c r="Y871" s="39" t="n"/>
      <c r="Z871" s="39" t="n"/>
      <c r="AA871" t="inlineStr">
        <is>
          <t>ERICK RAUL BEDOYA BACA</t>
        </is>
      </c>
      <c r="AB871" t="inlineStr">
        <is>
          <t>47551103</t>
        </is>
      </c>
      <c r="AC871" t="inlineStr">
        <is>
          <t>Urb. Virgen del Rosario I Etapa Mz D Lt 11</t>
        </is>
      </c>
      <c r="AD871" t="n">
        <v>0</v>
      </c>
      <c r="AE871" t="inlineStr">
        <is>
          <t>961968687</t>
        </is>
      </c>
      <c r="AF871" t="inlineStr">
        <is>
          <t>ebedoyaba@gmail.com</t>
        </is>
      </c>
      <c r="AG871" t="inlineStr">
        <is>
          <t>LIMA</t>
        </is>
      </c>
      <c r="AH871" t="inlineStr">
        <is>
          <t>SAN MARTIN DE PORRES</t>
        </is>
      </c>
      <c r="AI871" s="116" t="n">
        <v>46477</v>
      </c>
      <c r="AJ871" s="116" t="n"/>
      <c r="AK871" t="inlineStr">
        <is>
          <t>SALDO FINANCIAR</t>
        </is>
      </c>
      <c r="AL871" t="n">
        <v>3</v>
      </c>
      <c r="AM871" t="n">
        <v>10500</v>
      </c>
      <c r="AN871" t="n">
        <v>0</v>
      </c>
      <c r="AO871" t="n">
        <v>0</v>
      </c>
      <c r="AP871" s="39" t="n">
        <v>10500</v>
      </c>
      <c r="AQ871" s="39" t="n">
        <v>0</v>
      </c>
      <c r="AR871" s="39" t="n">
        <v>10500</v>
      </c>
      <c r="AT871" t="inlineStr">
        <is>
          <t>Crédito Directo</t>
        </is>
      </c>
      <c r="AZ871" t="inlineStr">
        <is>
          <t>No</t>
        </is>
      </c>
      <c r="BC871" t="inlineStr">
        <is>
          <t>PENDIENTE</t>
        </is>
      </c>
      <c r="BN871" t="inlineStr">
        <is>
          <t>No</t>
        </is>
      </c>
      <c r="BO871" s="117" t="n">
        <v>46059.48333333333</v>
      </c>
      <c r="BP871" t="inlineStr">
        <is>
          <t>Magaly Guevara Perez</t>
        </is>
      </c>
      <c r="BR871" t="n">
        <v>61</v>
      </c>
      <c r="BT871" t="n">
        <v>0</v>
      </c>
      <c r="BX871" t="inlineStr">
        <is>
          <t>Cobranzas_2027.csv</t>
        </is>
      </c>
      <c r="BY871" t="n">
        <v>2027</v>
      </c>
      <c r="BZ871" t="inlineStr">
        <is>
          <t>01/01/2024</t>
        </is>
      </c>
      <c r="CA871" t="inlineStr">
        <is>
          <t>30/09/2031</t>
        </is>
      </c>
    </row>
    <row r="872">
      <c r="A872" t="inlineStr">
        <is>
          <t>RESIDENCIAL BEYOND</t>
        </is>
      </c>
      <c r="B872" t="inlineStr">
        <is>
          <t>Etapa 1</t>
        </is>
      </c>
      <c r="C872" t="inlineStr">
        <is>
          <t>Edificio</t>
        </is>
      </c>
      <c r="D872" t="inlineStr">
        <is>
          <t>A</t>
        </is>
      </c>
      <c r="E872" t="inlineStr">
        <is>
          <t>Estacionamiento</t>
        </is>
      </c>
      <c r="F872" t="inlineStr">
        <is>
          <t>E 12 - D 10</t>
        </is>
      </c>
      <c r="G872" s="39" t="n">
        <v>51500</v>
      </c>
      <c r="H872" s="39" t="n">
        <v>51500</v>
      </c>
      <c r="M872" s="39" t="n"/>
      <c r="N872" s="39" t="n"/>
      <c r="S872" s="39" t="n"/>
      <c r="T872" s="39" t="n"/>
      <c r="Y872" s="39" t="n"/>
      <c r="Z872" s="39" t="n"/>
      <c r="AA872" t="inlineStr">
        <is>
          <t>ERICK RAUL BEDOYA BACA</t>
        </is>
      </c>
      <c r="AB872" t="inlineStr">
        <is>
          <t>47551103</t>
        </is>
      </c>
      <c r="AC872" t="inlineStr">
        <is>
          <t>Urb. Virgen del Rosario I Etapa Mz D Lt 11</t>
        </is>
      </c>
      <c r="AD872" t="n">
        <v>0</v>
      </c>
      <c r="AE872" t="inlineStr">
        <is>
          <t>961968687</t>
        </is>
      </c>
      <c r="AF872" t="inlineStr">
        <is>
          <t>ebedoyaba@gmail.com</t>
        </is>
      </c>
      <c r="AG872" t="inlineStr">
        <is>
          <t>LIMA</t>
        </is>
      </c>
      <c r="AH872" t="inlineStr">
        <is>
          <t>SAN MARTIN DE PORRES</t>
        </is>
      </c>
      <c r="AI872" s="116" t="n">
        <v>46599</v>
      </c>
      <c r="AJ872" s="116" t="n"/>
      <c r="AK872" t="inlineStr">
        <is>
          <t>SALDO FINANCIAR</t>
        </is>
      </c>
      <c r="AL872" t="n">
        <v>4</v>
      </c>
      <c r="AM872" t="n">
        <v>10500</v>
      </c>
      <c r="AN872" t="n">
        <v>0</v>
      </c>
      <c r="AO872" t="n">
        <v>0</v>
      </c>
      <c r="AP872" s="39" t="n">
        <v>10500</v>
      </c>
      <c r="AQ872" s="39" t="n">
        <v>0</v>
      </c>
      <c r="AR872" s="39" t="n">
        <v>10500</v>
      </c>
      <c r="AT872" t="inlineStr">
        <is>
          <t>Crédito Directo</t>
        </is>
      </c>
      <c r="AZ872" t="inlineStr">
        <is>
          <t>No</t>
        </is>
      </c>
      <c r="BC872" t="inlineStr">
        <is>
          <t>PENDIENTE</t>
        </is>
      </c>
      <c r="BN872" t="inlineStr">
        <is>
          <t>No</t>
        </is>
      </c>
      <c r="BO872" s="117" t="n">
        <v>46059.48333333333</v>
      </c>
      <c r="BP872" t="inlineStr">
        <is>
          <t>Magaly Guevara Perez</t>
        </is>
      </c>
      <c r="BR872" t="n">
        <v>61</v>
      </c>
      <c r="BT872" t="n">
        <v>0</v>
      </c>
      <c r="BX872" t="inlineStr">
        <is>
          <t>Cobranzas_2027.csv</t>
        </is>
      </c>
      <c r="BY872" t="n">
        <v>2027</v>
      </c>
      <c r="BZ872" t="inlineStr">
        <is>
          <t>01/01/2024</t>
        </is>
      </c>
      <c r="CA872" t="inlineStr">
        <is>
          <t>30/09/2031</t>
        </is>
      </c>
    </row>
    <row r="873">
      <c r="A873" t="inlineStr">
        <is>
          <t>RESIDENCIAL BEYOND</t>
        </is>
      </c>
      <c r="B873" t="inlineStr">
        <is>
          <t>Etapa 1</t>
        </is>
      </c>
      <c r="C873" t="inlineStr">
        <is>
          <t>Edificio</t>
        </is>
      </c>
      <c r="D873" t="inlineStr">
        <is>
          <t>A</t>
        </is>
      </c>
      <c r="E873" t="inlineStr">
        <is>
          <t>Departamento</t>
        </is>
      </c>
      <c r="F873" t="inlineStr">
        <is>
          <t>1205</t>
        </is>
      </c>
      <c r="G873" s="39" t="n">
        <v>520100</v>
      </c>
      <c r="H873" s="39" t="n">
        <v>467100</v>
      </c>
      <c r="M873" s="39" t="n"/>
      <c r="N873" s="39" t="n"/>
      <c r="S873" s="39" t="n"/>
      <c r="T873" s="39" t="n"/>
      <c r="Y873" s="39" t="n"/>
      <c r="Z873" s="39" t="n"/>
      <c r="AA873" t="inlineStr">
        <is>
          <t>Fabiola Maria Lecca Vargas</t>
        </is>
      </c>
      <c r="AB873" t="inlineStr">
        <is>
          <t>08034254</t>
        </is>
      </c>
      <c r="AC873" t="inlineStr">
        <is>
          <t>Jr. Manuel Irribarren 1012 dpto 1</t>
        </is>
      </c>
      <c r="AD873" t="n">
        <v>0</v>
      </c>
      <c r="AE873" t="inlineStr">
        <is>
          <t>988708317</t>
        </is>
      </c>
      <c r="AF873" t="inlineStr">
        <is>
          <t>fabiolaleccavargas@g.mail.com</t>
        </is>
      </c>
      <c r="AG873" t="inlineStr">
        <is>
          <t>LIMA</t>
        </is>
      </c>
      <c r="AH873" t="inlineStr">
        <is>
          <t>RIMAC</t>
        </is>
      </c>
      <c r="AI873" s="116" t="n">
        <v>46417</v>
      </c>
      <c r="AJ873" s="116" t="n"/>
      <c r="AK873" t="inlineStr">
        <is>
          <t>SALDO FINANCIAR</t>
        </is>
      </c>
      <c r="AL873" t="n">
        <v>10</v>
      </c>
      <c r="AM873" t="n">
        <v>10000</v>
      </c>
      <c r="AN873" t="n">
        <v>0</v>
      </c>
      <c r="AO873" t="n">
        <v>0</v>
      </c>
      <c r="AP873" s="39" t="n">
        <v>10000</v>
      </c>
      <c r="AQ873" s="39" t="n">
        <v>0</v>
      </c>
      <c r="AR873" s="39" t="n">
        <v>10000</v>
      </c>
      <c r="AT873" t="inlineStr">
        <is>
          <t>Crédito Directo</t>
        </is>
      </c>
      <c r="AZ873" t="inlineStr">
        <is>
          <t>No</t>
        </is>
      </c>
      <c r="BC873" t="inlineStr">
        <is>
          <t>PENDIENTE</t>
        </is>
      </c>
      <c r="BN873" t="inlineStr">
        <is>
          <t>No</t>
        </is>
      </c>
      <c r="BO873" s="117" t="n">
        <v>46055.34027777778</v>
      </c>
      <c r="BP873" t="inlineStr">
        <is>
          <t>Magaly Guevara Perez</t>
        </is>
      </c>
      <c r="BR873" t="n">
        <v>14</v>
      </c>
      <c r="BT873" t="n">
        <v>0</v>
      </c>
      <c r="BX873" t="inlineStr">
        <is>
          <t>Cobranzas_2027.csv</t>
        </is>
      </c>
      <c r="BY873" t="n">
        <v>2027</v>
      </c>
      <c r="BZ873" t="inlineStr">
        <is>
          <t>01/01/2024</t>
        </is>
      </c>
      <c r="CA873" t="inlineStr">
        <is>
          <t>30/09/2031</t>
        </is>
      </c>
    </row>
    <row r="874">
      <c r="A874" t="inlineStr">
        <is>
          <t>RESIDENCIAL BEYOND</t>
        </is>
      </c>
      <c r="B874" t="inlineStr">
        <is>
          <t>Etapa 1</t>
        </is>
      </c>
      <c r="C874" t="inlineStr">
        <is>
          <t>Edificio</t>
        </is>
      </c>
      <c r="D874" t="inlineStr">
        <is>
          <t>A</t>
        </is>
      </c>
      <c r="E874" t="inlineStr">
        <is>
          <t>Departamento</t>
        </is>
      </c>
      <c r="F874" t="inlineStr">
        <is>
          <t>1205</t>
        </is>
      </c>
      <c r="G874" s="39" t="n">
        <v>520100</v>
      </c>
      <c r="H874" s="39" t="n">
        <v>467100</v>
      </c>
      <c r="M874" s="39" t="n"/>
      <c r="N874" s="39" t="n"/>
      <c r="S874" s="39" t="n"/>
      <c r="T874" s="39" t="n"/>
      <c r="Y874" s="39" t="n"/>
      <c r="Z874" s="39" t="n"/>
      <c r="AA874" t="inlineStr">
        <is>
          <t>Fabiola Maria Lecca Vargas</t>
        </is>
      </c>
      <c r="AB874" t="inlineStr">
        <is>
          <t>08034254</t>
        </is>
      </c>
      <c r="AC874" t="inlineStr">
        <is>
          <t>Jr. Manuel Irribarren 1012 dpto 1</t>
        </is>
      </c>
      <c r="AD874" t="n">
        <v>0</v>
      </c>
      <c r="AE874" t="inlineStr">
        <is>
          <t>988708317</t>
        </is>
      </c>
      <c r="AF874" t="inlineStr">
        <is>
          <t>fabiolaleccavargas@g.mail.com</t>
        </is>
      </c>
      <c r="AG874" t="inlineStr">
        <is>
          <t>LIMA</t>
        </is>
      </c>
      <c r="AH874" t="inlineStr">
        <is>
          <t>RIMAC</t>
        </is>
      </c>
      <c r="AI874" s="116" t="n">
        <v>46446</v>
      </c>
      <c r="AJ874" s="116" t="n"/>
      <c r="AK874" t="inlineStr">
        <is>
          <t>SALDO FINANCIAR</t>
        </is>
      </c>
      <c r="AL874" t="n">
        <v>11</v>
      </c>
      <c r="AM874" t="n">
        <v>10000</v>
      </c>
      <c r="AN874" t="n">
        <v>0</v>
      </c>
      <c r="AO874" t="n">
        <v>0</v>
      </c>
      <c r="AP874" s="39" t="n">
        <v>10000</v>
      </c>
      <c r="AQ874" s="39" t="n">
        <v>0</v>
      </c>
      <c r="AR874" s="39" t="n">
        <v>10000</v>
      </c>
      <c r="AT874" t="inlineStr">
        <is>
          <t>Crédito Directo</t>
        </is>
      </c>
      <c r="AZ874" t="inlineStr">
        <is>
          <t>No</t>
        </is>
      </c>
      <c r="BC874" t="inlineStr">
        <is>
          <t>PENDIENTE</t>
        </is>
      </c>
      <c r="BN874" t="inlineStr">
        <is>
          <t>No</t>
        </is>
      </c>
      <c r="BO874" s="117" t="n">
        <v>46055.34027777778</v>
      </c>
      <c r="BP874" t="inlineStr">
        <is>
          <t>Magaly Guevara Perez</t>
        </is>
      </c>
      <c r="BR874" t="n">
        <v>14</v>
      </c>
      <c r="BT874" t="n">
        <v>0</v>
      </c>
      <c r="BX874" t="inlineStr">
        <is>
          <t>Cobranzas_2027.csv</t>
        </is>
      </c>
      <c r="BY874" t="n">
        <v>2027</v>
      </c>
      <c r="BZ874" t="inlineStr">
        <is>
          <t>01/01/2024</t>
        </is>
      </c>
      <c r="CA874" t="inlineStr">
        <is>
          <t>30/09/2031</t>
        </is>
      </c>
    </row>
    <row r="875">
      <c r="A875" t="inlineStr">
        <is>
          <t>RESIDENCIAL BEYOND</t>
        </is>
      </c>
      <c r="B875" t="inlineStr">
        <is>
          <t>Etapa 1</t>
        </is>
      </c>
      <c r="C875" t="inlineStr">
        <is>
          <t>Edificio</t>
        </is>
      </c>
      <c r="D875" t="inlineStr">
        <is>
          <t>A</t>
        </is>
      </c>
      <c r="E875" t="inlineStr">
        <is>
          <t>Departamento</t>
        </is>
      </c>
      <c r="F875" t="inlineStr">
        <is>
          <t>1205</t>
        </is>
      </c>
      <c r="G875" s="39" t="n">
        <v>520100</v>
      </c>
      <c r="H875" s="39" t="n">
        <v>467100</v>
      </c>
      <c r="M875" s="39" t="n"/>
      <c r="N875" s="39" t="n"/>
      <c r="S875" s="39" t="n"/>
      <c r="T875" s="39" t="n"/>
      <c r="Y875" s="39" t="n"/>
      <c r="Z875" s="39" t="n"/>
      <c r="AA875" t="inlineStr">
        <is>
          <t>Fabiola Maria Lecca Vargas</t>
        </is>
      </c>
      <c r="AB875" t="inlineStr">
        <is>
          <t>08034254</t>
        </is>
      </c>
      <c r="AC875" t="inlineStr">
        <is>
          <t>Jr. Manuel Irribarren 1012 dpto 1</t>
        </is>
      </c>
      <c r="AD875" t="n">
        <v>0</v>
      </c>
      <c r="AE875" t="inlineStr">
        <is>
          <t>988708317</t>
        </is>
      </c>
      <c r="AF875" t="inlineStr">
        <is>
          <t>fabiolaleccavargas@g.mail.com</t>
        </is>
      </c>
      <c r="AG875" t="inlineStr">
        <is>
          <t>LIMA</t>
        </is>
      </c>
      <c r="AH875" t="inlineStr">
        <is>
          <t>RIMAC</t>
        </is>
      </c>
      <c r="AI875" s="116" t="n">
        <v>46476</v>
      </c>
      <c r="AJ875" s="116" t="n"/>
      <c r="AK875" t="inlineStr">
        <is>
          <t>SALDO FINANCIAR</t>
        </is>
      </c>
      <c r="AL875" t="n">
        <v>12</v>
      </c>
      <c r="AM875" t="n">
        <v>10000</v>
      </c>
      <c r="AN875" t="n">
        <v>0</v>
      </c>
      <c r="AO875" t="n">
        <v>0</v>
      </c>
      <c r="AP875" s="39" t="n">
        <v>10000</v>
      </c>
      <c r="AQ875" s="39" t="n">
        <v>0</v>
      </c>
      <c r="AR875" s="39" t="n">
        <v>10000</v>
      </c>
      <c r="AT875" t="inlineStr">
        <is>
          <t>Crédito Directo</t>
        </is>
      </c>
      <c r="AZ875" t="inlineStr">
        <is>
          <t>No</t>
        </is>
      </c>
      <c r="BC875" t="inlineStr">
        <is>
          <t>PENDIENTE</t>
        </is>
      </c>
      <c r="BN875" t="inlineStr">
        <is>
          <t>No</t>
        </is>
      </c>
      <c r="BO875" s="117" t="n">
        <v>46055.34027777778</v>
      </c>
      <c r="BP875" t="inlineStr">
        <is>
          <t>Magaly Guevara Perez</t>
        </is>
      </c>
      <c r="BR875" t="n">
        <v>14</v>
      </c>
      <c r="BT875" t="n">
        <v>0</v>
      </c>
      <c r="BX875" t="inlineStr">
        <is>
          <t>Cobranzas_2027.csv</t>
        </is>
      </c>
      <c r="BY875" t="n">
        <v>2027</v>
      </c>
      <c r="BZ875" t="inlineStr">
        <is>
          <t>01/01/2024</t>
        </is>
      </c>
      <c r="CA875" t="inlineStr">
        <is>
          <t>30/09/2031</t>
        </is>
      </c>
    </row>
    <row r="876">
      <c r="A876" t="inlineStr">
        <is>
          <t>RESIDENCIAL BEYOND</t>
        </is>
      </c>
      <c r="B876" t="inlineStr">
        <is>
          <t>Etapa 1</t>
        </is>
      </c>
      <c r="C876" t="inlineStr">
        <is>
          <t>Edificio</t>
        </is>
      </c>
      <c r="D876" t="inlineStr">
        <is>
          <t>A</t>
        </is>
      </c>
      <c r="E876" t="inlineStr">
        <is>
          <t>Departamento</t>
        </is>
      </c>
      <c r="F876" t="inlineStr">
        <is>
          <t>1205</t>
        </is>
      </c>
      <c r="G876" s="39" t="n">
        <v>520100</v>
      </c>
      <c r="H876" s="39" t="n">
        <v>467100</v>
      </c>
      <c r="M876" s="39" t="n"/>
      <c r="N876" s="39" t="n"/>
      <c r="S876" s="39" t="n"/>
      <c r="T876" s="39" t="n"/>
      <c r="Y876" s="39" t="n"/>
      <c r="Z876" s="39" t="n"/>
      <c r="AA876" t="inlineStr">
        <is>
          <t>Fabiola Maria Lecca Vargas</t>
        </is>
      </c>
      <c r="AB876" t="inlineStr">
        <is>
          <t>08034254</t>
        </is>
      </c>
      <c r="AC876" t="inlineStr">
        <is>
          <t>Jr. Manuel Irribarren 1012 dpto 1</t>
        </is>
      </c>
      <c r="AD876" t="n">
        <v>0</v>
      </c>
      <c r="AE876" t="inlineStr">
        <is>
          <t>988708317</t>
        </is>
      </c>
      <c r="AF876" t="inlineStr">
        <is>
          <t>fabiolaleccavargas@g.mail.com</t>
        </is>
      </c>
      <c r="AG876" t="inlineStr">
        <is>
          <t>LIMA</t>
        </is>
      </c>
      <c r="AH876" t="inlineStr">
        <is>
          <t>RIMAC</t>
        </is>
      </c>
      <c r="AI876" s="116" t="n">
        <v>46507</v>
      </c>
      <c r="AJ876" s="116" t="n"/>
      <c r="AK876" t="inlineStr">
        <is>
          <t>SALDO FINANCIAR</t>
        </is>
      </c>
      <c r="AL876" t="n">
        <v>13</v>
      </c>
      <c r="AM876" t="n">
        <v>10000</v>
      </c>
      <c r="AN876" t="n">
        <v>0</v>
      </c>
      <c r="AO876" t="n">
        <v>0</v>
      </c>
      <c r="AP876" s="39" t="n">
        <v>10000</v>
      </c>
      <c r="AQ876" s="39" t="n">
        <v>0</v>
      </c>
      <c r="AR876" s="39" t="n">
        <v>10000</v>
      </c>
      <c r="AT876" t="inlineStr">
        <is>
          <t>Crédito Directo</t>
        </is>
      </c>
      <c r="AZ876" t="inlineStr">
        <is>
          <t>No</t>
        </is>
      </c>
      <c r="BC876" t="inlineStr">
        <is>
          <t>PENDIENTE</t>
        </is>
      </c>
      <c r="BN876" t="inlineStr">
        <is>
          <t>No</t>
        </is>
      </c>
      <c r="BO876" s="117" t="n">
        <v>46055.34027777778</v>
      </c>
      <c r="BP876" t="inlineStr">
        <is>
          <t>Magaly Guevara Perez</t>
        </is>
      </c>
      <c r="BR876" t="n">
        <v>14</v>
      </c>
      <c r="BT876" t="n">
        <v>0</v>
      </c>
      <c r="BX876" t="inlineStr">
        <is>
          <t>Cobranzas_2027.csv</t>
        </is>
      </c>
      <c r="BY876" t="n">
        <v>2027</v>
      </c>
      <c r="BZ876" t="inlineStr">
        <is>
          <t>01/01/2024</t>
        </is>
      </c>
      <c r="CA876" t="inlineStr">
        <is>
          <t>30/09/2031</t>
        </is>
      </c>
    </row>
    <row r="877">
      <c r="A877" t="inlineStr">
        <is>
          <t>RESIDENCIAL BEYOND</t>
        </is>
      </c>
      <c r="B877" t="inlineStr">
        <is>
          <t>Etapa 1</t>
        </is>
      </c>
      <c r="C877" t="inlineStr">
        <is>
          <t>Edificio</t>
        </is>
      </c>
      <c r="D877" t="inlineStr">
        <is>
          <t>A</t>
        </is>
      </c>
      <c r="E877" t="inlineStr">
        <is>
          <t>Departamento</t>
        </is>
      </c>
      <c r="F877" t="inlineStr">
        <is>
          <t>1205</t>
        </is>
      </c>
      <c r="G877" s="39" t="n">
        <v>520100</v>
      </c>
      <c r="H877" s="39" t="n">
        <v>467100</v>
      </c>
      <c r="M877" s="39" t="n"/>
      <c r="N877" s="39" t="n"/>
      <c r="S877" s="39" t="n"/>
      <c r="T877" s="39" t="n"/>
      <c r="Y877" s="39" t="n"/>
      <c r="Z877" s="39" t="n"/>
      <c r="AA877" t="inlineStr">
        <is>
          <t>Fabiola Maria Lecca Vargas</t>
        </is>
      </c>
      <c r="AB877" t="inlineStr">
        <is>
          <t>08034254</t>
        </is>
      </c>
      <c r="AC877" t="inlineStr">
        <is>
          <t>Jr. Manuel Irribarren 1012 dpto 1</t>
        </is>
      </c>
      <c r="AD877" t="n">
        <v>0</v>
      </c>
      <c r="AE877" t="inlineStr">
        <is>
          <t>988708317</t>
        </is>
      </c>
      <c r="AF877" t="inlineStr">
        <is>
          <t>fabiolaleccavargas@g.mail.com</t>
        </is>
      </c>
      <c r="AG877" t="inlineStr">
        <is>
          <t>LIMA</t>
        </is>
      </c>
      <c r="AH877" t="inlineStr">
        <is>
          <t>RIMAC</t>
        </is>
      </c>
      <c r="AI877" s="116" t="n">
        <v>46537</v>
      </c>
      <c r="AJ877" s="116" t="n"/>
      <c r="AK877" t="inlineStr">
        <is>
          <t>SALDO FINANCIAR</t>
        </is>
      </c>
      <c r="AL877" t="n">
        <v>14</v>
      </c>
      <c r="AM877" t="n">
        <v>10000</v>
      </c>
      <c r="AN877" t="n">
        <v>0</v>
      </c>
      <c r="AO877" t="n">
        <v>0</v>
      </c>
      <c r="AP877" s="39" t="n">
        <v>10000</v>
      </c>
      <c r="AQ877" s="39" t="n">
        <v>0</v>
      </c>
      <c r="AR877" s="39" t="n">
        <v>10000</v>
      </c>
      <c r="AT877" t="inlineStr">
        <is>
          <t>Crédito Directo</t>
        </is>
      </c>
      <c r="AZ877" t="inlineStr">
        <is>
          <t>No</t>
        </is>
      </c>
      <c r="BC877" t="inlineStr">
        <is>
          <t>PENDIENTE</t>
        </is>
      </c>
      <c r="BN877" t="inlineStr">
        <is>
          <t>No</t>
        </is>
      </c>
      <c r="BO877" s="117" t="n">
        <v>46055.34027777778</v>
      </c>
      <c r="BP877" t="inlineStr">
        <is>
          <t>Magaly Guevara Perez</t>
        </is>
      </c>
      <c r="BR877" t="n">
        <v>14</v>
      </c>
      <c r="BT877" t="n">
        <v>0</v>
      </c>
      <c r="BX877" t="inlineStr">
        <is>
          <t>Cobranzas_2027.csv</t>
        </is>
      </c>
      <c r="BY877" t="n">
        <v>2027</v>
      </c>
      <c r="BZ877" t="inlineStr">
        <is>
          <t>01/01/2024</t>
        </is>
      </c>
      <c r="CA877" t="inlineStr">
        <is>
          <t>30/09/2031</t>
        </is>
      </c>
    </row>
    <row r="878">
      <c r="A878" t="inlineStr">
        <is>
          <t>RESIDENCIAL BEYOND</t>
        </is>
      </c>
      <c r="B878" t="inlineStr">
        <is>
          <t>Etapa 1</t>
        </is>
      </c>
      <c r="C878" t="inlineStr">
        <is>
          <t>Edificio</t>
        </is>
      </c>
      <c r="D878" t="inlineStr">
        <is>
          <t>A</t>
        </is>
      </c>
      <c r="E878" t="inlineStr">
        <is>
          <t>Departamento</t>
        </is>
      </c>
      <c r="F878" t="inlineStr">
        <is>
          <t>1205</t>
        </is>
      </c>
      <c r="G878" s="39" t="n">
        <v>520100</v>
      </c>
      <c r="H878" s="39" t="n">
        <v>467100</v>
      </c>
      <c r="M878" s="39" t="n"/>
      <c r="N878" s="39" t="n"/>
      <c r="S878" s="39" t="n"/>
      <c r="T878" s="39" t="n"/>
      <c r="Y878" s="39" t="n"/>
      <c r="Z878" s="39" t="n"/>
      <c r="AA878" t="inlineStr">
        <is>
          <t>Fabiola Maria Lecca Vargas</t>
        </is>
      </c>
      <c r="AB878" t="inlineStr">
        <is>
          <t>08034254</t>
        </is>
      </c>
      <c r="AC878" t="inlineStr">
        <is>
          <t>Jr. Manuel Irribarren 1012 dpto 1</t>
        </is>
      </c>
      <c r="AD878" t="n">
        <v>0</v>
      </c>
      <c r="AE878" t="inlineStr">
        <is>
          <t>988708317</t>
        </is>
      </c>
      <c r="AF878" t="inlineStr">
        <is>
          <t>fabiolaleccavargas@g.mail.com</t>
        </is>
      </c>
      <c r="AG878" t="inlineStr">
        <is>
          <t>LIMA</t>
        </is>
      </c>
      <c r="AH878" t="inlineStr">
        <is>
          <t>RIMAC</t>
        </is>
      </c>
      <c r="AI878" s="116" t="n">
        <v>46568</v>
      </c>
      <c r="AJ878" s="116" t="n"/>
      <c r="AK878" t="inlineStr">
        <is>
          <t>SALDO FINANCIAR</t>
        </is>
      </c>
      <c r="AL878" t="n">
        <v>15</v>
      </c>
      <c r="AM878" t="n">
        <v>217630</v>
      </c>
      <c r="AN878" t="n">
        <v>0</v>
      </c>
      <c r="AO878" t="n">
        <v>0</v>
      </c>
      <c r="AP878" s="39" t="n">
        <v>217630</v>
      </c>
      <c r="AQ878" s="39" t="n">
        <v>0</v>
      </c>
      <c r="AR878" s="39" t="n">
        <v>217630</v>
      </c>
      <c r="AT878" t="inlineStr">
        <is>
          <t>Crédito Directo</t>
        </is>
      </c>
      <c r="AZ878" t="inlineStr">
        <is>
          <t>No</t>
        </is>
      </c>
      <c r="BC878" t="inlineStr">
        <is>
          <t>PENDIENTE</t>
        </is>
      </c>
      <c r="BN878" t="inlineStr">
        <is>
          <t>No</t>
        </is>
      </c>
      <c r="BO878" s="117" t="n">
        <v>46055.34027777778</v>
      </c>
      <c r="BP878" t="inlineStr">
        <is>
          <t>Magaly Guevara Perez</t>
        </is>
      </c>
      <c r="BR878" t="n">
        <v>14</v>
      </c>
      <c r="BT878" t="n">
        <v>0</v>
      </c>
      <c r="BX878" t="inlineStr">
        <is>
          <t>Cobranzas_2027.csv</t>
        </is>
      </c>
      <c r="BY878" t="n">
        <v>2027</v>
      </c>
      <c r="BZ878" t="inlineStr">
        <is>
          <t>01/01/2024</t>
        </is>
      </c>
      <c r="CA878" t="inlineStr">
        <is>
          <t>30/09/2031</t>
        </is>
      </c>
    </row>
    <row r="879">
      <c r="A879" t="inlineStr">
        <is>
          <t>RESIDENCIAL BEYOND</t>
        </is>
      </c>
      <c r="B879" t="inlineStr">
        <is>
          <t>Etapa 1</t>
        </is>
      </c>
      <c r="C879" t="inlineStr">
        <is>
          <t>Edificio</t>
        </is>
      </c>
      <c r="D879" t="inlineStr">
        <is>
          <t>A</t>
        </is>
      </c>
      <c r="E879" t="inlineStr">
        <is>
          <t>Departamento</t>
        </is>
      </c>
      <c r="F879" t="inlineStr">
        <is>
          <t>402</t>
        </is>
      </c>
      <c r="G879" s="39" t="n">
        <v>430000</v>
      </c>
      <c r="H879" s="39" t="n">
        <v>400000</v>
      </c>
      <c r="I879" t="inlineStr">
        <is>
          <t>Edificio</t>
        </is>
      </c>
      <c r="J879" t="inlineStr">
        <is>
          <t>A</t>
        </is>
      </c>
      <c r="K879" t="inlineStr">
        <is>
          <t>Estacionamiento</t>
        </is>
      </c>
      <c r="L879" t="inlineStr">
        <is>
          <t>E 44 - D 26</t>
        </is>
      </c>
      <c r="M879" s="39" t="n">
        <v>48500</v>
      </c>
      <c r="N879" s="39" t="n">
        <v>48500</v>
      </c>
      <c r="S879" s="39" t="n"/>
      <c r="T879" s="39" t="n"/>
      <c r="Y879" s="39" t="n"/>
      <c r="Z879" s="39" t="n"/>
      <c r="AA879" t="inlineStr">
        <is>
          <t>Gina Victoria Saenz Pasco</t>
        </is>
      </c>
      <c r="AB879" t="inlineStr">
        <is>
          <t>70436237</t>
        </is>
      </c>
      <c r="AC879" t="inlineStr">
        <is>
          <t>Av. Cordialidad 8079 Urb. La Floresta</t>
        </is>
      </c>
      <c r="AD879" t="n">
        <v>0</v>
      </c>
      <c r="AE879" t="inlineStr">
        <is>
          <t>992686657</t>
        </is>
      </c>
      <c r="AF879" t="inlineStr">
        <is>
          <t>g.saenz22@gmail.com</t>
        </is>
      </c>
      <c r="AG879" t="inlineStr">
        <is>
          <t>LIMA</t>
        </is>
      </c>
      <c r="AH879" t="inlineStr">
        <is>
          <t>LOS OLIVOS</t>
        </is>
      </c>
      <c r="AI879" s="116" t="n">
        <v>46476</v>
      </c>
      <c r="AJ879" s="116" t="n"/>
      <c r="AK879" t="inlineStr">
        <is>
          <t>SALDO FINANCIAR</t>
        </is>
      </c>
      <c r="AL879" t="n">
        <v>2</v>
      </c>
      <c r="AM879" t="n">
        <v>98375</v>
      </c>
      <c r="AN879" t="n">
        <v>0</v>
      </c>
      <c r="AO879" t="n">
        <v>0</v>
      </c>
      <c r="AP879" s="39" t="n">
        <v>98375</v>
      </c>
      <c r="AQ879" s="39" t="n">
        <v>0</v>
      </c>
      <c r="AR879" s="39" t="n">
        <v>98375</v>
      </c>
      <c r="AT879" t="inlineStr">
        <is>
          <t>Ahorro</t>
        </is>
      </c>
      <c r="AZ879" t="inlineStr">
        <is>
          <t>No</t>
        </is>
      </c>
      <c r="BC879" t="inlineStr">
        <is>
          <t>PENDIENTE</t>
        </is>
      </c>
      <c r="BN879" t="inlineStr">
        <is>
          <t>No</t>
        </is>
      </c>
      <c r="BO879" s="117" t="n">
        <v>46111.42430555556</v>
      </c>
      <c r="BP879" t="inlineStr">
        <is>
          <t>Magaly Guevara Perez</t>
        </is>
      </c>
      <c r="BR879" t="n">
        <v>27</v>
      </c>
      <c r="BT879" t="n">
        <v>0</v>
      </c>
      <c r="BX879" t="inlineStr">
        <is>
          <t>Cobranzas_2027.csv</t>
        </is>
      </c>
      <c r="BY879" t="n">
        <v>2027</v>
      </c>
      <c r="BZ879" t="inlineStr">
        <is>
          <t>01/01/2024</t>
        </is>
      </c>
      <c r="CA879" t="inlineStr">
        <is>
          <t>30/09/2031</t>
        </is>
      </c>
    </row>
    <row r="880">
      <c r="A880" t="inlineStr">
        <is>
          <t>RESIDENCIAL BEYOND</t>
        </is>
      </c>
      <c r="B880" t="inlineStr">
        <is>
          <t>Etapa 1</t>
        </is>
      </c>
      <c r="C880" t="inlineStr">
        <is>
          <t>Edificio</t>
        </is>
      </c>
      <c r="D880" t="inlineStr">
        <is>
          <t>A</t>
        </is>
      </c>
      <c r="E880" t="inlineStr">
        <is>
          <t>Departamento</t>
        </is>
      </c>
      <c r="F880" t="inlineStr">
        <is>
          <t>402</t>
        </is>
      </c>
      <c r="G880" s="39" t="n">
        <v>430000</v>
      </c>
      <c r="H880" s="39" t="n">
        <v>400000</v>
      </c>
      <c r="I880" t="inlineStr">
        <is>
          <t>Edificio</t>
        </is>
      </c>
      <c r="J880" t="inlineStr">
        <is>
          <t>A</t>
        </is>
      </c>
      <c r="K880" t="inlineStr">
        <is>
          <t>Estacionamiento</t>
        </is>
      </c>
      <c r="L880" t="inlineStr">
        <is>
          <t>E 44 - D 26</t>
        </is>
      </c>
      <c r="M880" s="39" t="n">
        <v>48500</v>
      </c>
      <c r="N880" s="39" t="n">
        <v>48500</v>
      </c>
      <c r="S880" s="39" t="n"/>
      <c r="T880" s="39" t="n"/>
      <c r="Y880" s="39" t="n"/>
      <c r="Z880" s="39" t="n"/>
      <c r="AA880" t="inlineStr">
        <is>
          <t>Gina Victoria Saenz Pasco</t>
        </is>
      </c>
      <c r="AB880" t="inlineStr">
        <is>
          <t>70436237</t>
        </is>
      </c>
      <c r="AC880" t="inlineStr">
        <is>
          <t>Av. Cordialidad 8079 Urb. La Floresta</t>
        </is>
      </c>
      <c r="AD880" t="n">
        <v>0</v>
      </c>
      <c r="AE880" t="inlineStr">
        <is>
          <t>992686657</t>
        </is>
      </c>
      <c r="AF880" t="inlineStr">
        <is>
          <t>g.saenz22@gmail.com</t>
        </is>
      </c>
      <c r="AG880" t="inlineStr">
        <is>
          <t>LIMA</t>
        </is>
      </c>
      <c r="AH880" t="inlineStr">
        <is>
          <t>LOS OLIVOS</t>
        </is>
      </c>
      <c r="AI880" s="116" t="n">
        <v>46568</v>
      </c>
      <c r="AJ880" s="116" t="n"/>
      <c r="AK880" t="inlineStr">
        <is>
          <t>SALDO FINANCIAR</t>
        </is>
      </c>
      <c r="AL880" t="n">
        <v>3</v>
      </c>
      <c r="AM880" t="n">
        <v>98375</v>
      </c>
      <c r="AN880" t="n">
        <v>0</v>
      </c>
      <c r="AO880" t="n">
        <v>0</v>
      </c>
      <c r="AP880" s="39" t="n">
        <v>98375</v>
      </c>
      <c r="AQ880" s="39" t="n">
        <v>0</v>
      </c>
      <c r="AR880" s="39" t="n">
        <v>98375</v>
      </c>
      <c r="AT880" t="inlineStr">
        <is>
          <t>Ahorro</t>
        </is>
      </c>
      <c r="AZ880" t="inlineStr">
        <is>
          <t>No</t>
        </is>
      </c>
      <c r="BC880" t="inlineStr">
        <is>
          <t>PENDIENTE</t>
        </is>
      </c>
      <c r="BN880" t="inlineStr">
        <is>
          <t>No</t>
        </is>
      </c>
      <c r="BO880" s="117" t="n">
        <v>46111.42430555556</v>
      </c>
      <c r="BP880" t="inlineStr">
        <is>
          <t>Magaly Guevara Perez</t>
        </is>
      </c>
      <c r="BR880" t="n">
        <v>27</v>
      </c>
      <c r="BT880" t="n">
        <v>0</v>
      </c>
      <c r="BX880" t="inlineStr">
        <is>
          <t>Cobranzas_2027.csv</t>
        </is>
      </c>
      <c r="BY880" t="n">
        <v>2027</v>
      </c>
      <c r="BZ880" t="inlineStr">
        <is>
          <t>01/01/2024</t>
        </is>
      </c>
      <c r="CA880" t="inlineStr">
        <is>
          <t>30/09/2031</t>
        </is>
      </c>
    </row>
    <row r="881">
      <c r="A881" t="inlineStr">
        <is>
          <t>RESIDENCIAL BEYOND</t>
        </is>
      </c>
      <c r="B881" t="inlineStr">
        <is>
          <t>Etapa 1</t>
        </is>
      </c>
      <c r="C881" t="inlineStr">
        <is>
          <t>Edificio</t>
        </is>
      </c>
      <c r="D881" t="inlineStr">
        <is>
          <t>A</t>
        </is>
      </c>
      <c r="E881" t="inlineStr">
        <is>
          <t>Departamento</t>
        </is>
      </c>
      <c r="F881" t="inlineStr">
        <is>
          <t>402</t>
        </is>
      </c>
      <c r="G881" s="39" t="n">
        <v>430000</v>
      </c>
      <c r="H881" s="39" t="n">
        <v>400000</v>
      </c>
      <c r="I881" t="inlineStr">
        <is>
          <t>Edificio</t>
        </is>
      </c>
      <c r="J881" t="inlineStr">
        <is>
          <t>A</t>
        </is>
      </c>
      <c r="K881" t="inlineStr">
        <is>
          <t>Estacionamiento</t>
        </is>
      </c>
      <c r="L881" t="inlineStr">
        <is>
          <t>E 44 - D 26</t>
        </is>
      </c>
      <c r="M881" s="39" t="n">
        <v>48500</v>
      </c>
      <c r="N881" s="39" t="n">
        <v>48500</v>
      </c>
      <c r="S881" s="39" t="n"/>
      <c r="T881" s="39" t="n"/>
      <c r="Y881" s="39" t="n"/>
      <c r="Z881" s="39" t="n"/>
      <c r="AA881" t="inlineStr">
        <is>
          <t>Gina Victoria Saenz Pasco</t>
        </is>
      </c>
      <c r="AB881" t="inlineStr">
        <is>
          <t>70436237</t>
        </is>
      </c>
      <c r="AC881" t="inlineStr">
        <is>
          <t>Av. Cordialidad 8079 Urb. La Floresta</t>
        </is>
      </c>
      <c r="AD881" t="n">
        <v>0</v>
      </c>
      <c r="AE881" t="inlineStr">
        <is>
          <t>992686657</t>
        </is>
      </c>
      <c r="AF881" t="inlineStr">
        <is>
          <t>g.saenz22@gmail.com</t>
        </is>
      </c>
      <c r="AG881" t="inlineStr">
        <is>
          <t>LIMA</t>
        </is>
      </c>
      <c r="AH881" t="inlineStr">
        <is>
          <t>LOS OLIVOS</t>
        </is>
      </c>
      <c r="AI881" s="116" t="n">
        <v>46598</v>
      </c>
      <c r="AJ881" s="116" t="n"/>
      <c r="AK881" t="inlineStr">
        <is>
          <t>SALDO FINANCIAR</t>
        </is>
      </c>
      <c r="AL881" t="n">
        <v>4</v>
      </c>
      <c r="AM881" t="n">
        <v>98375</v>
      </c>
      <c r="AN881" t="n">
        <v>0</v>
      </c>
      <c r="AO881" t="n">
        <v>0</v>
      </c>
      <c r="AP881" s="39" t="n">
        <v>98375</v>
      </c>
      <c r="AQ881" s="39" t="n">
        <v>0</v>
      </c>
      <c r="AR881" s="39" t="n">
        <v>98375</v>
      </c>
      <c r="AT881" t="inlineStr">
        <is>
          <t>Ahorro</t>
        </is>
      </c>
      <c r="AZ881" t="inlineStr">
        <is>
          <t>No</t>
        </is>
      </c>
      <c r="BC881" t="inlineStr">
        <is>
          <t>PENDIENTE</t>
        </is>
      </c>
      <c r="BN881" t="inlineStr">
        <is>
          <t>No</t>
        </is>
      </c>
      <c r="BO881" s="117" t="n">
        <v>46111.42430555556</v>
      </c>
      <c r="BP881" t="inlineStr">
        <is>
          <t>Magaly Guevara Perez</t>
        </is>
      </c>
      <c r="BR881" t="n">
        <v>27</v>
      </c>
      <c r="BT881" t="n">
        <v>0</v>
      </c>
      <c r="BX881" t="inlineStr">
        <is>
          <t>Cobranzas_2027.csv</t>
        </is>
      </c>
      <c r="BY881" t="n">
        <v>2027</v>
      </c>
      <c r="BZ881" t="inlineStr">
        <is>
          <t>01/01/2024</t>
        </is>
      </c>
      <c r="CA881" t="inlineStr">
        <is>
          <t>30/09/2031</t>
        </is>
      </c>
    </row>
    <row r="882">
      <c r="A882" t="inlineStr">
        <is>
          <t>RESIDENCIAL BEYOND</t>
        </is>
      </c>
      <c r="B882" t="inlineStr">
        <is>
          <t>Etapa 1</t>
        </is>
      </c>
      <c r="C882" t="inlineStr">
        <is>
          <t>Edificio</t>
        </is>
      </c>
      <c r="D882" t="inlineStr">
        <is>
          <t>A</t>
        </is>
      </c>
      <c r="E882" t="inlineStr">
        <is>
          <t>Departamento</t>
        </is>
      </c>
      <c r="F882" t="inlineStr">
        <is>
          <t>1401</t>
        </is>
      </c>
      <c r="G882" s="39" t="n">
        <v>531100</v>
      </c>
      <c r="H882" s="39" t="n">
        <v>483000</v>
      </c>
      <c r="M882" s="39" t="n"/>
      <c r="N882" s="39" t="n"/>
      <c r="S882" s="39" t="n"/>
      <c r="T882" s="39" t="n"/>
      <c r="Y882" s="39" t="n"/>
      <c r="Z882" s="39" t="n"/>
      <c r="AA882" t="inlineStr">
        <is>
          <t>Jacqueline Elsa Moreno Huaman</t>
        </is>
      </c>
      <c r="AB882" t="inlineStr">
        <is>
          <t>28276212</t>
        </is>
      </c>
      <c r="AC882" t="inlineStr">
        <is>
          <t>Calle Padr Urraca 111 Edifc. 6 - Dpto. 603</t>
        </is>
      </c>
      <c r="AD882" t="n">
        <v>0</v>
      </c>
      <c r="AE882" t="inlineStr">
        <is>
          <t>966689822</t>
        </is>
      </c>
      <c r="AF882" t="inlineStr">
        <is>
          <t>jmoreno.incorp@gmail.com</t>
        </is>
      </c>
      <c r="AG882" t="inlineStr">
        <is>
          <t>LIMA</t>
        </is>
      </c>
      <c r="AH882" t="inlineStr">
        <is>
          <t>SAN MIGUEL</t>
        </is>
      </c>
      <c r="AI882" s="116" t="n">
        <v>46445</v>
      </c>
      <c r="AJ882" s="116" t="n"/>
      <c r="AK882" t="inlineStr">
        <is>
          <t>SALDO FINANCIAR</t>
        </is>
      </c>
      <c r="AL882" t="n">
        <v>1</v>
      </c>
      <c r="AM882" t="n">
        <v>363000</v>
      </c>
      <c r="AN882" t="n">
        <v>0</v>
      </c>
      <c r="AO882" t="n">
        <v>0</v>
      </c>
      <c r="AP882" s="39" t="n">
        <v>363000</v>
      </c>
      <c r="AQ882" s="39" t="n">
        <v>0</v>
      </c>
      <c r="AR882" s="39" t="n">
        <v>363000</v>
      </c>
      <c r="AT882" t="inlineStr">
        <is>
          <t>Ahorro</t>
        </is>
      </c>
      <c r="AZ882" t="inlineStr">
        <is>
          <t>No</t>
        </is>
      </c>
      <c r="BC882" t="inlineStr">
        <is>
          <t>PENDIENTE</t>
        </is>
      </c>
      <c r="BN882" t="inlineStr">
        <is>
          <t>No</t>
        </is>
      </c>
      <c r="BO882" s="117" t="n">
        <v>46172.40138888889</v>
      </c>
      <c r="BP882" t="inlineStr">
        <is>
          <t>Carla Michue M</t>
        </is>
      </c>
      <c r="BR882" t="n">
        <v>46</v>
      </c>
      <c r="BT882" t="n">
        <v>0</v>
      </c>
      <c r="BX882" t="inlineStr">
        <is>
          <t>Cobranzas_2027.csv</t>
        </is>
      </c>
      <c r="BY882" t="n">
        <v>2027</v>
      </c>
      <c r="BZ882" t="inlineStr">
        <is>
          <t>01/01/2024</t>
        </is>
      </c>
      <c r="CA882" t="inlineStr">
        <is>
          <t>30/09/2031</t>
        </is>
      </c>
    </row>
    <row r="883">
      <c r="A883" t="inlineStr">
        <is>
          <t>RESIDENCIAL BEYOND</t>
        </is>
      </c>
      <c r="B883" t="inlineStr">
        <is>
          <t>Etapa 1</t>
        </is>
      </c>
      <c r="C883" t="inlineStr">
        <is>
          <t>Edificio</t>
        </is>
      </c>
      <c r="D883" t="inlineStr">
        <is>
          <t>A</t>
        </is>
      </c>
      <c r="E883" t="inlineStr">
        <is>
          <t>Departamento</t>
        </is>
      </c>
      <c r="F883" t="inlineStr">
        <is>
          <t>1303</t>
        </is>
      </c>
      <c r="G883" s="39" t="n">
        <v>504700</v>
      </c>
      <c r="H883" s="39" t="n">
        <v>453700</v>
      </c>
      <c r="I883" t="inlineStr">
        <is>
          <t>Edificio</t>
        </is>
      </c>
      <c r="J883" t="inlineStr">
        <is>
          <t>A</t>
        </is>
      </c>
      <c r="K883" t="inlineStr">
        <is>
          <t>Estacionamiento</t>
        </is>
      </c>
      <c r="L883" t="inlineStr">
        <is>
          <t>E 50 - D 30</t>
        </is>
      </c>
      <c r="M883" s="39" t="n">
        <v>50000</v>
      </c>
      <c r="N883" s="39" t="n">
        <v>50000</v>
      </c>
      <c r="S883" s="39" t="n"/>
      <c r="T883" s="39" t="n"/>
      <c r="Y883" s="39" t="n"/>
      <c r="Z883" s="39" t="n"/>
      <c r="AA883" t="inlineStr">
        <is>
          <t>Jimena Melissa Huayanca Lopez</t>
        </is>
      </c>
      <c r="AB883" t="inlineStr">
        <is>
          <t>73268311</t>
        </is>
      </c>
      <c r="AC883" t="inlineStr">
        <is>
          <t xml:space="preserve">Av. Cuba 560, Dpto N°1703 </t>
        </is>
      </c>
      <c r="AD883" t="n">
        <v>0</v>
      </c>
      <c r="AE883" t="inlineStr">
        <is>
          <t>923732315</t>
        </is>
      </c>
      <c r="AF883" t="inlineStr">
        <is>
          <t>jimelissahl@gmail.com</t>
        </is>
      </c>
      <c r="AG883" t="inlineStr">
        <is>
          <t>LIMA</t>
        </is>
      </c>
      <c r="AH883" t="inlineStr">
        <is>
          <t>JESUS MARIA</t>
        </is>
      </c>
      <c r="AI883" s="116" t="n">
        <v>46418</v>
      </c>
      <c r="AJ883" s="116" t="n"/>
      <c r="AK883" t="inlineStr">
        <is>
          <t>SALDO FINANCIAR</t>
        </is>
      </c>
      <c r="AL883" t="n">
        <v>1</v>
      </c>
      <c r="AM883" t="n">
        <v>453330</v>
      </c>
      <c r="AN883" t="n">
        <v>0</v>
      </c>
      <c r="AO883" t="n">
        <v>0</v>
      </c>
      <c r="AP883" s="39" t="n">
        <v>453330</v>
      </c>
      <c r="AQ883" s="39" t="n">
        <v>0</v>
      </c>
      <c r="AR883" s="39" t="n">
        <v>453330</v>
      </c>
      <c r="AT883" t="inlineStr">
        <is>
          <t>Ahorro</t>
        </is>
      </c>
      <c r="AZ883" t="inlineStr">
        <is>
          <t>No</t>
        </is>
      </c>
      <c r="BC883" t="inlineStr">
        <is>
          <t>PENDIENTE</t>
        </is>
      </c>
      <c r="BN883" t="inlineStr">
        <is>
          <t>No</t>
        </is>
      </c>
      <c r="BO883" s="117" t="n">
        <v>46170.44652777778</v>
      </c>
      <c r="BP883" t="inlineStr">
        <is>
          <t>Kenny Salazar S</t>
        </is>
      </c>
      <c r="BR883" t="n">
        <v>40</v>
      </c>
      <c r="BT883" t="n">
        <v>0</v>
      </c>
      <c r="BX883" t="inlineStr">
        <is>
          <t>Cobranzas_2027.csv</t>
        </is>
      </c>
      <c r="BY883" t="n">
        <v>2027</v>
      </c>
      <c r="BZ883" t="inlineStr">
        <is>
          <t>01/01/2024</t>
        </is>
      </c>
      <c r="CA883" t="inlineStr">
        <is>
          <t>30/09/2031</t>
        </is>
      </c>
    </row>
    <row r="884">
      <c r="A884" t="inlineStr">
        <is>
          <t>RESIDENCIAL BEYOND</t>
        </is>
      </c>
      <c r="B884" t="inlineStr">
        <is>
          <t>Etapa 1</t>
        </is>
      </c>
      <c r="C884" t="inlineStr">
        <is>
          <t>Edificio</t>
        </is>
      </c>
      <c r="D884" t="inlineStr">
        <is>
          <t>A</t>
        </is>
      </c>
      <c r="E884" t="inlineStr">
        <is>
          <t>Estacionamiento</t>
        </is>
      </c>
      <c r="F884" t="inlineStr">
        <is>
          <t>E 19 - D 14</t>
        </is>
      </c>
      <c r="G884" s="39" t="n">
        <v>54500</v>
      </c>
      <c r="H884" s="39" t="n">
        <v>54500</v>
      </c>
      <c r="M884" s="39" t="n"/>
      <c r="N884" s="39" t="n"/>
      <c r="S884" s="39" t="n"/>
      <c r="T884" s="39" t="n"/>
      <c r="Y884" s="39" t="n"/>
      <c r="Z884" s="39" t="n"/>
      <c r="AA884" t="inlineStr">
        <is>
          <t>Jimmy Luis Andrade Morveli</t>
        </is>
      </c>
      <c r="AB884" t="inlineStr">
        <is>
          <t>40071918</t>
        </is>
      </c>
      <c r="AC884" t="inlineStr">
        <is>
          <t>Av. Brasil 1836 Edif Bh South Dpto. 409</t>
        </is>
      </c>
      <c r="AD884" t="n">
        <v>0</v>
      </c>
      <c r="AE884" t="inlineStr">
        <is>
          <t>924430158</t>
        </is>
      </c>
      <c r="AF884" t="inlineStr">
        <is>
          <t>Jimmyandrademorveli@gmail.com</t>
        </is>
      </c>
      <c r="AG884" t="inlineStr">
        <is>
          <t>LIMA</t>
        </is>
      </c>
      <c r="AH884" t="inlineStr">
        <is>
          <t>PUEBLO LIBRE</t>
        </is>
      </c>
      <c r="AI884" s="116" t="n">
        <v>46417</v>
      </c>
      <c r="AJ884" s="116" t="n"/>
      <c r="AK884" t="inlineStr">
        <is>
          <t>SALDO FINANCIAR</t>
        </is>
      </c>
      <c r="AL884" t="n">
        <v>5</v>
      </c>
      <c r="AM884" t="n">
        <v>3000</v>
      </c>
      <c r="AN884" t="n">
        <v>0</v>
      </c>
      <c r="AO884" t="n">
        <v>0</v>
      </c>
      <c r="AP884" s="39" t="n">
        <v>3000</v>
      </c>
      <c r="AQ884" s="39" t="n">
        <v>0</v>
      </c>
      <c r="AR884" s="39" t="n">
        <v>3000</v>
      </c>
      <c r="AT884" t="inlineStr">
        <is>
          <t>Crédito Directo</t>
        </is>
      </c>
      <c r="AZ884" t="inlineStr">
        <is>
          <t>No</t>
        </is>
      </c>
      <c r="BC884" t="inlineStr">
        <is>
          <t>PENDIENTE</t>
        </is>
      </c>
      <c r="BN884" t="inlineStr">
        <is>
          <t>No</t>
        </is>
      </c>
      <c r="BO884" s="117" t="n">
        <v>45985.77916666667</v>
      </c>
      <c r="BP884" t="inlineStr">
        <is>
          <t>Magaly Guevara Perez</t>
        </is>
      </c>
      <c r="BR884" t="n">
        <v>60</v>
      </c>
      <c r="BT884" t="n">
        <v>0</v>
      </c>
      <c r="BX884" t="inlineStr">
        <is>
          <t>Cobranzas_2027.csv</t>
        </is>
      </c>
      <c r="BY884" t="n">
        <v>2027</v>
      </c>
      <c r="BZ884" t="inlineStr">
        <is>
          <t>01/01/2024</t>
        </is>
      </c>
      <c r="CA884" t="inlineStr">
        <is>
          <t>30/09/2031</t>
        </is>
      </c>
    </row>
    <row r="885">
      <c r="A885" t="inlineStr">
        <is>
          <t>RESIDENCIAL BEYOND</t>
        </is>
      </c>
      <c r="B885" t="inlineStr">
        <is>
          <t>Etapa 1</t>
        </is>
      </c>
      <c r="C885" t="inlineStr">
        <is>
          <t>Edificio</t>
        </is>
      </c>
      <c r="D885" t="inlineStr">
        <is>
          <t>A</t>
        </is>
      </c>
      <c r="E885" t="inlineStr">
        <is>
          <t>Estacionamiento</t>
        </is>
      </c>
      <c r="F885" t="inlineStr">
        <is>
          <t>E 19 - D 14</t>
        </is>
      </c>
      <c r="G885" s="39" t="n">
        <v>54500</v>
      </c>
      <c r="H885" s="39" t="n">
        <v>54500</v>
      </c>
      <c r="M885" s="39" t="n"/>
      <c r="N885" s="39" t="n"/>
      <c r="S885" s="39" t="n"/>
      <c r="T885" s="39" t="n"/>
      <c r="Y885" s="39" t="n"/>
      <c r="Z885" s="39" t="n"/>
      <c r="AA885" t="inlineStr">
        <is>
          <t>Jimmy Luis Andrade Morveli</t>
        </is>
      </c>
      <c r="AB885" t="inlineStr">
        <is>
          <t>40071918</t>
        </is>
      </c>
      <c r="AC885" t="inlineStr">
        <is>
          <t>Av. Brasil 1836 Edif Bh South Dpto. 409</t>
        </is>
      </c>
      <c r="AD885" t="n">
        <v>0</v>
      </c>
      <c r="AE885" t="inlineStr">
        <is>
          <t>924430158</t>
        </is>
      </c>
      <c r="AF885" t="inlineStr">
        <is>
          <t>Jimmyandrademorveli@gmail.com</t>
        </is>
      </c>
      <c r="AG885" t="inlineStr">
        <is>
          <t>LIMA</t>
        </is>
      </c>
      <c r="AH885" t="inlineStr">
        <is>
          <t>PUEBLO LIBRE</t>
        </is>
      </c>
      <c r="AI885" s="116" t="n">
        <v>46446</v>
      </c>
      <c r="AJ885" s="116" t="n"/>
      <c r="AK885" t="inlineStr">
        <is>
          <t>SALDO FINANCIAR</t>
        </is>
      </c>
      <c r="AL885" t="n">
        <v>6</v>
      </c>
      <c r="AM885" t="n">
        <v>3000</v>
      </c>
      <c r="AN885" t="n">
        <v>0</v>
      </c>
      <c r="AO885" t="n">
        <v>0</v>
      </c>
      <c r="AP885" s="39" t="n">
        <v>3000</v>
      </c>
      <c r="AQ885" s="39" t="n">
        <v>0</v>
      </c>
      <c r="AR885" s="39" t="n">
        <v>3000</v>
      </c>
      <c r="AT885" t="inlineStr">
        <is>
          <t>Crédito Directo</t>
        </is>
      </c>
      <c r="AZ885" t="inlineStr">
        <is>
          <t>No</t>
        </is>
      </c>
      <c r="BC885" t="inlineStr">
        <is>
          <t>PENDIENTE</t>
        </is>
      </c>
      <c r="BN885" t="inlineStr">
        <is>
          <t>No</t>
        </is>
      </c>
      <c r="BO885" s="117" t="n">
        <v>45985.77916666667</v>
      </c>
      <c r="BP885" t="inlineStr">
        <is>
          <t>Magaly Guevara Perez</t>
        </is>
      </c>
      <c r="BR885" t="n">
        <v>60</v>
      </c>
      <c r="BT885" t="n">
        <v>0</v>
      </c>
      <c r="BX885" t="inlineStr">
        <is>
          <t>Cobranzas_2027.csv</t>
        </is>
      </c>
      <c r="BY885" t="n">
        <v>2027</v>
      </c>
      <c r="BZ885" t="inlineStr">
        <is>
          <t>01/01/2024</t>
        </is>
      </c>
      <c r="CA885" t="inlineStr">
        <is>
          <t>30/09/2031</t>
        </is>
      </c>
    </row>
    <row r="886">
      <c r="A886" t="inlineStr">
        <is>
          <t>RESIDENCIAL BEYOND</t>
        </is>
      </c>
      <c r="B886" t="inlineStr">
        <is>
          <t>Etapa 1</t>
        </is>
      </c>
      <c r="C886" t="inlineStr">
        <is>
          <t>Edificio</t>
        </is>
      </c>
      <c r="D886" t="inlineStr">
        <is>
          <t>A</t>
        </is>
      </c>
      <c r="E886" t="inlineStr">
        <is>
          <t>Estacionamiento</t>
        </is>
      </c>
      <c r="F886" t="inlineStr">
        <is>
          <t>E 19 - D 14</t>
        </is>
      </c>
      <c r="G886" s="39" t="n">
        <v>54500</v>
      </c>
      <c r="H886" s="39" t="n">
        <v>54500</v>
      </c>
      <c r="M886" s="39" t="n"/>
      <c r="N886" s="39" t="n"/>
      <c r="S886" s="39" t="n"/>
      <c r="T886" s="39" t="n"/>
      <c r="Y886" s="39" t="n"/>
      <c r="Z886" s="39" t="n"/>
      <c r="AA886" t="inlineStr">
        <is>
          <t>Jimmy Luis Andrade Morveli</t>
        </is>
      </c>
      <c r="AB886" t="inlineStr">
        <is>
          <t>40071918</t>
        </is>
      </c>
      <c r="AC886" t="inlineStr">
        <is>
          <t>Av. Brasil 1836 Edif Bh South Dpto. 409</t>
        </is>
      </c>
      <c r="AD886" t="n">
        <v>0</v>
      </c>
      <c r="AE886" t="inlineStr">
        <is>
          <t>924430158</t>
        </is>
      </c>
      <c r="AF886" t="inlineStr">
        <is>
          <t>Jimmyandrademorveli@gmail.com</t>
        </is>
      </c>
      <c r="AG886" t="inlineStr">
        <is>
          <t>LIMA</t>
        </is>
      </c>
      <c r="AH886" t="inlineStr">
        <is>
          <t>PUEBLO LIBRE</t>
        </is>
      </c>
      <c r="AI886" s="116" t="n">
        <v>46476</v>
      </c>
      <c r="AJ886" s="116" t="n"/>
      <c r="AK886" t="inlineStr">
        <is>
          <t>SALDO FINANCIAR</t>
        </is>
      </c>
      <c r="AL886" t="n">
        <v>7</v>
      </c>
      <c r="AM886" t="n">
        <v>3000</v>
      </c>
      <c r="AN886" t="n">
        <v>0</v>
      </c>
      <c r="AO886" t="n">
        <v>0</v>
      </c>
      <c r="AP886" s="39" t="n">
        <v>3000</v>
      </c>
      <c r="AQ886" s="39" t="n">
        <v>0</v>
      </c>
      <c r="AR886" s="39" t="n">
        <v>3000</v>
      </c>
      <c r="AT886" t="inlineStr">
        <is>
          <t>Crédito Directo</t>
        </is>
      </c>
      <c r="AZ886" t="inlineStr">
        <is>
          <t>No</t>
        </is>
      </c>
      <c r="BC886" t="inlineStr">
        <is>
          <t>PENDIENTE</t>
        </is>
      </c>
      <c r="BN886" t="inlineStr">
        <is>
          <t>No</t>
        </is>
      </c>
      <c r="BO886" s="117" t="n">
        <v>45985.77916666667</v>
      </c>
      <c r="BP886" t="inlineStr">
        <is>
          <t>Magaly Guevara Perez</t>
        </is>
      </c>
      <c r="BR886" t="n">
        <v>60</v>
      </c>
      <c r="BT886" t="n">
        <v>0</v>
      </c>
      <c r="BX886" t="inlineStr">
        <is>
          <t>Cobranzas_2027.csv</t>
        </is>
      </c>
      <c r="BY886" t="n">
        <v>2027</v>
      </c>
      <c r="BZ886" t="inlineStr">
        <is>
          <t>01/01/2024</t>
        </is>
      </c>
      <c r="CA886" t="inlineStr">
        <is>
          <t>30/09/2031</t>
        </is>
      </c>
    </row>
    <row r="887">
      <c r="A887" t="inlineStr">
        <is>
          <t>RESIDENCIAL BEYOND</t>
        </is>
      </c>
      <c r="B887" t="inlineStr">
        <is>
          <t>Etapa 1</t>
        </is>
      </c>
      <c r="C887" t="inlineStr">
        <is>
          <t>Edificio</t>
        </is>
      </c>
      <c r="D887" t="inlineStr">
        <is>
          <t>A</t>
        </is>
      </c>
      <c r="E887" t="inlineStr">
        <is>
          <t>Estacionamiento</t>
        </is>
      </c>
      <c r="F887" t="inlineStr">
        <is>
          <t>E 19 - D 14</t>
        </is>
      </c>
      <c r="G887" s="39" t="n">
        <v>54500</v>
      </c>
      <c r="H887" s="39" t="n">
        <v>54500</v>
      </c>
      <c r="M887" s="39" t="n"/>
      <c r="N887" s="39" t="n"/>
      <c r="S887" s="39" t="n"/>
      <c r="T887" s="39" t="n"/>
      <c r="Y887" s="39" t="n"/>
      <c r="Z887" s="39" t="n"/>
      <c r="AA887" t="inlineStr">
        <is>
          <t>Jimmy Luis Andrade Morveli</t>
        </is>
      </c>
      <c r="AB887" t="inlineStr">
        <is>
          <t>40071918</t>
        </is>
      </c>
      <c r="AC887" t="inlineStr">
        <is>
          <t>Av. Brasil 1836 Edif Bh South Dpto. 409</t>
        </is>
      </c>
      <c r="AD887" t="n">
        <v>0</v>
      </c>
      <c r="AE887" t="inlineStr">
        <is>
          <t>924430158</t>
        </is>
      </c>
      <c r="AF887" t="inlineStr">
        <is>
          <t>Jimmyandrademorveli@gmail.com</t>
        </is>
      </c>
      <c r="AG887" t="inlineStr">
        <is>
          <t>LIMA</t>
        </is>
      </c>
      <c r="AH887" t="inlineStr">
        <is>
          <t>PUEBLO LIBRE</t>
        </is>
      </c>
      <c r="AI887" s="116" t="n">
        <v>46507</v>
      </c>
      <c r="AJ887" s="116" t="n"/>
      <c r="AK887" t="inlineStr">
        <is>
          <t>SALDO FINANCIAR</t>
        </is>
      </c>
      <c r="AL887" t="n">
        <v>8</v>
      </c>
      <c r="AM887" t="n">
        <v>3000</v>
      </c>
      <c r="AN887" t="n">
        <v>0</v>
      </c>
      <c r="AO887" t="n">
        <v>0</v>
      </c>
      <c r="AP887" s="39" t="n">
        <v>3000</v>
      </c>
      <c r="AQ887" s="39" t="n">
        <v>0</v>
      </c>
      <c r="AR887" s="39" t="n">
        <v>3000</v>
      </c>
      <c r="AT887" t="inlineStr">
        <is>
          <t>Crédito Directo</t>
        </is>
      </c>
      <c r="AZ887" t="inlineStr">
        <is>
          <t>No</t>
        </is>
      </c>
      <c r="BC887" t="inlineStr">
        <is>
          <t>PENDIENTE</t>
        </is>
      </c>
      <c r="BN887" t="inlineStr">
        <is>
          <t>No</t>
        </is>
      </c>
      <c r="BO887" s="117" t="n">
        <v>45985.77916666667</v>
      </c>
      <c r="BP887" t="inlineStr">
        <is>
          <t>Magaly Guevara Perez</t>
        </is>
      </c>
      <c r="BR887" t="n">
        <v>60</v>
      </c>
      <c r="BT887" t="n">
        <v>0</v>
      </c>
      <c r="BX887" t="inlineStr">
        <is>
          <t>Cobranzas_2027.csv</t>
        </is>
      </c>
      <c r="BY887" t="n">
        <v>2027</v>
      </c>
      <c r="BZ887" t="inlineStr">
        <is>
          <t>01/01/2024</t>
        </is>
      </c>
      <c r="CA887" t="inlineStr">
        <is>
          <t>30/09/2031</t>
        </is>
      </c>
    </row>
    <row r="888">
      <c r="A888" t="inlineStr">
        <is>
          <t>RESIDENCIAL BEYOND</t>
        </is>
      </c>
      <c r="B888" t="inlineStr">
        <is>
          <t>Etapa 1</t>
        </is>
      </c>
      <c r="C888" t="inlineStr">
        <is>
          <t>Edificio</t>
        </is>
      </c>
      <c r="D888" t="inlineStr">
        <is>
          <t>A</t>
        </is>
      </c>
      <c r="E888" t="inlineStr">
        <is>
          <t>Estacionamiento</t>
        </is>
      </c>
      <c r="F888" t="inlineStr">
        <is>
          <t>E 19 - D 14</t>
        </is>
      </c>
      <c r="G888" s="39" t="n">
        <v>54500</v>
      </c>
      <c r="H888" s="39" t="n">
        <v>54500</v>
      </c>
      <c r="M888" s="39" t="n"/>
      <c r="N888" s="39" t="n"/>
      <c r="S888" s="39" t="n"/>
      <c r="T888" s="39" t="n"/>
      <c r="Y888" s="39" t="n"/>
      <c r="Z888" s="39" t="n"/>
      <c r="AA888" t="inlineStr">
        <is>
          <t>Jimmy Luis Andrade Morveli</t>
        </is>
      </c>
      <c r="AB888" t="inlineStr">
        <is>
          <t>40071918</t>
        </is>
      </c>
      <c r="AC888" t="inlineStr">
        <is>
          <t>Av. Brasil 1836 Edif Bh South Dpto. 409</t>
        </is>
      </c>
      <c r="AD888" t="n">
        <v>0</v>
      </c>
      <c r="AE888" t="inlineStr">
        <is>
          <t>924430158</t>
        </is>
      </c>
      <c r="AF888" t="inlineStr">
        <is>
          <t>Jimmyandrademorveli@gmail.com</t>
        </is>
      </c>
      <c r="AG888" t="inlineStr">
        <is>
          <t>LIMA</t>
        </is>
      </c>
      <c r="AH888" t="inlineStr">
        <is>
          <t>PUEBLO LIBRE</t>
        </is>
      </c>
      <c r="AI888" s="116" t="n">
        <v>46537</v>
      </c>
      <c r="AJ888" s="116" t="n"/>
      <c r="AK888" t="inlineStr">
        <is>
          <t>SALDO FINANCIAR</t>
        </is>
      </c>
      <c r="AL888" t="n">
        <v>9</v>
      </c>
      <c r="AM888" t="n">
        <v>3000</v>
      </c>
      <c r="AN888" t="n">
        <v>0</v>
      </c>
      <c r="AO888" t="n">
        <v>0</v>
      </c>
      <c r="AP888" s="39" t="n">
        <v>3000</v>
      </c>
      <c r="AQ888" s="39" t="n">
        <v>0</v>
      </c>
      <c r="AR888" s="39" t="n">
        <v>3000</v>
      </c>
      <c r="AT888" t="inlineStr">
        <is>
          <t>Crédito Directo</t>
        </is>
      </c>
      <c r="AZ888" t="inlineStr">
        <is>
          <t>No</t>
        </is>
      </c>
      <c r="BC888" t="inlineStr">
        <is>
          <t>PENDIENTE</t>
        </is>
      </c>
      <c r="BN888" t="inlineStr">
        <is>
          <t>No</t>
        </is>
      </c>
      <c r="BO888" s="117" t="n">
        <v>45985.77916666667</v>
      </c>
      <c r="BP888" t="inlineStr">
        <is>
          <t>Magaly Guevara Perez</t>
        </is>
      </c>
      <c r="BR888" t="n">
        <v>60</v>
      </c>
      <c r="BT888" t="n">
        <v>0</v>
      </c>
      <c r="BX888" t="inlineStr">
        <is>
          <t>Cobranzas_2027.csv</t>
        </is>
      </c>
      <c r="BY888" t="n">
        <v>2027</v>
      </c>
      <c r="BZ888" t="inlineStr">
        <is>
          <t>01/01/2024</t>
        </is>
      </c>
      <c r="CA888" t="inlineStr">
        <is>
          <t>30/09/2031</t>
        </is>
      </c>
    </row>
    <row r="889">
      <c r="A889" t="inlineStr">
        <is>
          <t>RESIDENCIAL BEYOND</t>
        </is>
      </c>
      <c r="B889" t="inlineStr">
        <is>
          <t>Etapa 1</t>
        </is>
      </c>
      <c r="C889" t="inlineStr">
        <is>
          <t>Edificio</t>
        </is>
      </c>
      <c r="D889" t="inlineStr">
        <is>
          <t>A</t>
        </is>
      </c>
      <c r="E889" t="inlineStr">
        <is>
          <t>Estacionamiento</t>
        </is>
      </c>
      <c r="F889" t="inlineStr">
        <is>
          <t>E 19 - D 14</t>
        </is>
      </c>
      <c r="G889" s="39" t="n">
        <v>54500</v>
      </c>
      <c r="H889" s="39" t="n">
        <v>54500</v>
      </c>
      <c r="M889" s="39" t="n"/>
      <c r="N889" s="39" t="n"/>
      <c r="S889" s="39" t="n"/>
      <c r="T889" s="39" t="n"/>
      <c r="Y889" s="39" t="n"/>
      <c r="Z889" s="39" t="n"/>
      <c r="AA889" t="inlineStr">
        <is>
          <t>Jimmy Luis Andrade Morveli</t>
        </is>
      </c>
      <c r="AB889" t="inlineStr">
        <is>
          <t>40071918</t>
        </is>
      </c>
      <c r="AC889" t="inlineStr">
        <is>
          <t>Av. Brasil 1836 Edif Bh South Dpto. 409</t>
        </is>
      </c>
      <c r="AD889" t="n">
        <v>0</v>
      </c>
      <c r="AE889" t="inlineStr">
        <is>
          <t>924430158</t>
        </is>
      </c>
      <c r="AF889" t="inlineStr">
        <is>
          <t>Jimmyandrademorveli@gmail.com</t>
        </is>
      </c>
      <c r="AG889" t="inlineStr">
        <is>
          <t>LIMA</t>
        </is>
      </c>
      <c r="AH889" t="inlineStr">
        <is>
          <t>PUEBLO LIBRE</t>
        </is>
      </c>
      <c r="AI889" s="116" t="n">
        <v>46568</v>
      </c>
      <c r="AJ889" s="116" t="n"/>
      <c r="AK889" t="inlineStr">
        <is>
          <t>SALDO FINANCIAR</t>
        </is>
      </c>
      <c r="AL889" t="n">
        <v>10</v>
      </c>
      <c r="AM889" t="n">
        <v>3000</v>
      </c>
      <c r="AN889" t="n">
        <v>0</v>
      </c>
      <c r="AO889" t="n">
        <v>0</v>
      </c>
      <c r="AP889" s="39" t="n">
        <v>3000</v>
      </c>
      <c r="AQ889" s="39" t="n">
        <v>0</v>
      </c>
      <c r="AR889" s="39" t="n">
        <v>3000</v>
      </c>
      <c r="AT889" t="inlineStr">
        <is>
          <t>Crédito Directo</t>
        </is>
      </c>
      <c r="AZ889" t="inlineStr">
        <is>
          <t>No</t>
        </is>
      </c>
      <c r="BC889" t="inlineStr">
        <is>
          <t>PENDIENTE</t>
        </is>
      </c>
      <c r="BN889" t="inlineStr">
        <is>
          <t>No</t>
        </is>
      </c>
      <c r="BO889" s="117" t="n">
        <v>45985.77916666667</v>
      </c>
      <c r="BP889" t="inlineStr">
        <is>
          <t>Magaly Guevara Perez</t>
        </is>
      </c>
      <c r="BR889" t="n">
        <v>60</v>
      </c>
      <c r="BT889" t="n">
        <v>0</v>
      </c>
      <c r="BX889" t="inlineStr">
        <is>
          <t>Cobranzas_2027.csv</t>
        </is>
      </c>
      <c r="BY889" t="n">
        <v>2027</v>
      </c>
      <c r="BZ889" t="inlineStr">
        <is>
          <t>01/01/2024</t>
        </is>
      </c>
      <c r="CA889" t="inlineStr">
        <is>
          <t>30/09/2031</t>
        </is>
      </c>
    </row>
    <row r="890">
      <c r="A890" t="inlineStr">
        <is>
          <t>RESIDENCIAL BEYOND</t>
        </is>
      </c>
      <c r="B890" t="inlineStr">
        <is>
          <t>Etapa 1</t>
        </is>
      </c>
      <c r="C890" t="inlineStr">
        <is>
          <t>Edificio</t>
        </is>
      </c>
      <c r="D890" t="inlineStr">
        <is>
          <t>A</t>
        </is>
      </c>
      <c r="E890" t="inlineStr">
        <is>
          <t>Estacionamiento</t>
        </is>
      </c>
      <c r="F890" t="inlineStr">
        <is>
          <t>E 19 - D 14</t>
        </is>
      </c>
      <c r="G890" s="39" t="n">
        <v>54500</v>
      </c>
      <c r="H890" s="39" t="n">
        <v>54500</v>
      </c>
      <c r="M890" s="39" t="n"/>
      <c r="N890" s="39" t="n"/>
      <c r="S890" s="39" t="n"/>
      <c r="T890" s="39" t="n"/>
      <c r="Y890" s="39" t="n"/>
      <c r="Z890" s="39" t="n"/>
      <c r="AA890" t="inlineStr">
        <is>
          <t>Jimmy Luis Andrade Morveli</t>
        </is>
      </c>
      <c r="AB890" t="inlineStr">
        <is>
          <t>40071918</t>
        </is>
      </c>
      <c r="AC890" t="inlineStr">
        <is>
          <t>Av. Brasil 1836 Edif Bh South Dpto. 409</t>
        </is>
      </c>
      <c r="AD890" t="n">
        <v>0</v>
      </c>
      <c r="AE890" t="inlineStr">
        <is>
          <t>924430158</t>
        </is>
      </c>
      <c r="AF890" t="inlineStr">
        <is>
          <t>Jimmyandrademorveli@gmail.com</t>
        </is>
      </c>
      <c r="AG890" t="inlineStr">
        <is>
          <t>LIMA</t>
        </is>
      </c>
      <c r="AH890" t="inlineStr">
        <is>
          <t>PUEBLO LIBRE</t>
        </is>
      </c>
      <c r="AI890" s="116" t="n">
        <v>46598</v>
      </c>
      <c r="AJ890" s="116" t="n"/>
      <c r="AK890" t="inlineStr">
        <is>
          <t>SALDO FINANCIAR</t>
        </is>
      </c>
      <c r="AL890" t="n">
        <v>11</v>
      </c>
      <c r="AM890" t="n">
        <v>3000</v>
      </c>
      <c r="AN890" t="n">
        <v>0</v>
      </c>
      <c r="AO890" t="n">
        <v>0</v>
      </c>
      <c r="AP890" s="39" t="n">
        <v>3000</v>
      </c>
      <c r="AQ890" s="39" t="n">
        <v>0</v>
      </c>
      <c r="AR890" s="39" t="n">
        <v>3000</v>
      </c>
      <c r="AT890" t="inlineStr">
        <is>
          <t>Crédito Directo</t>
        </is>
      </c>
      <c r="AZ890" t="inlineStr">
        <is>
          <t>No</t>
        </is>
      </c>
      <c r="BC890" t="inlineStr">
        <is>
          <t>PENDIENTE</t>
        </is>
      </c>
      <c r="BN890" t="inlineStr">
        <is>
          <t>No</t>
        </is>
      </c>
      <c r="BO890" s="117" t="n">
        <v>45985.77916666667</v>
      </c>
      <c r="BP890" t="inlineStr">
        <is>
          <t>Magaly Guevara Perez</t>
        </is>
      </c>
      <c r="BR890" t="n">
        <v>60</v>
      </c>
      <c r="BT890" t="n">
        <v>0</v>
      </c>
      <c r="BX890" t="inlineStr">
        <is>
          <t>Cobranzas_2027.csv</t>
        </is>
      </c>
      <c r="BY890" t="n">
        <v>2027</v>
      </c>
      <c r="BZ890" t="inlineStr">
        <is>
          <t>01/01/2024</t>
        </is>
      </c>
      <c r="CA890" t="inlineStr">
        <is>
          <t>30/09/2031</t>
        </is>
      </c>
    </row>
    <row r="891">
      <c r="A891" t="inlineStr">
        <is>
          <t>RESIDENCIAL BEYOND</t>
        </is>
      </c>
      <c r="B891" t="inlineStr">
        <is>
          <t>Etapa 1</t>
        </is>
      </c>
      <c r="C891" t="inlineStr">
        <is>
          <t>Edificio</t>
        </is>
      </c>
      <c r="D891" t="inlineStr">
        <is>
          <t>A</t>
        </is>
      </c>
      <c r="E891" t="inlineStr">
        <is>
          <t>Estacionamiento</t>
        </is>
      </c>
      <c r="F891" t="inlineStr">
        <is>
          <t>E 19 - D 14</t>
        </is>
      </c>
      <c r="G891" s="39" t="n">
        <v>54500</v>
      </c>
      <c r="H891" s="39" t="n">
        <v>54500</v>
      </c>
      <c r="M891" s="39" t="n"/>
      <c r="N891" s="39" t="n"/>
      <c r="S891" s="39" t="n"/>
      <c r="T891" s="39" t="n"/>
      <c r="Y891" s="39" t="n"/>
      <c r="Z891" s="39" t="n"/>
      <c r="AA891" t="inlineStr">
        <is>
          <t>Jimmy Luis Andrade Morveli</t>
        </is>
      </c>
      <c r="AB891" t="inlineStr">
        <is>
          <t>40071918</t>
        </is>
      </c>
      <c r="AC891" t="inlineStr">
        <is>
          <t>Av. Brasil 1836 Edif Bh South Dpto. 409</t>
        </is>
      </c>
      <c r="AD891" t="n">
        <v>0</v>
      </c>
      <c r="AE891" t="inlineStr">
        <is>
          <t>924430158</t>
        </is>
      </c>
      <c r="AF891" t="inlineStr">
        <is>
          <t>Jimmyandrademorveli@gmail.com</t>
        </is>
      </c>
      <c r="AG891" t="inlineStr">
        <is>
          <t>LIMA</t>
        </is>
      </c>
      <c r="AH891" t="inlineStr">
        <is>
          <t>PUEBLO LIBRE</t>
        </is>
      </c>
      <c r="AI891" s="116" t="n">
        <v>46629</v>
      </c>
      <c r="AJ891" s="116" t="n"/>
      <c r="AK891" t="inlineStr">
        <is>
          <t>SALDO FINANCIAR</t>
        </is>
      </c>
      <c r="AL891" t="n">
        <v>12</v>
      </c>
      <c r="AM891" t="n">
        <v>15500</v>
      </c>
      <c r="AN891" t="n">
        <v>0</v>
      </c>
      <c r="AO891" t="n">
        <v>0</v>
      </c>
      <c r="AP891" s="39" t="n">
        <v>15500</v>
      </c>
      <c r="AQ891" s="39" t="n">
        <v>0</v>
      </c>
      <c r="AR891" s="39" t="n">
        <v>15500</v>
      </c>
      <c r="AT891" t="inlineStr">
        <is>
          <t>Crédito Directo</t>
        </is>
      </c>
      <c r="AZ891" t="inlineStr">
        <is>
          <t>No</t>
        </is>
      </c>
      <c r="BC891" t="inlineStr">
        <is>
          <t>PENDIENTE</t>
        </is>
      </c>
      <c r="BN891" t="inlineStr">
        <is>
          <t>No</t>
        </is>
      </c>
      <c r="BO891" s="117" t="n">
        <v>45985.77916666667</v>
      </c>
      <c r="BP891" t="inlineStr">
        <is>
          <t>Magaly Guevara Perez</t>
        </is>
      </c>
      <c r="BR891" t="n">
        <v>60</v>
      </c>
      <c r="BT891" t="n">
        <v>0</v>
      </c>
      <c r="BX891" t="inlineStr">
        <is>
          <t>Cobranzas_2027.csv</t>
        </is>
      </c>
      <c r="BY891" t="n">
        <v>2027</v>
      </c>
      <c r="BZ891" t="inlineStr">
        <is>
          <t>01/01/2024</t>
        </is>
      </c>
      <c r="CA891" t="inlineStr">
        <is>
          <t>30/09/2031</t>
        </is>
      </c>
    </row>
    <row r="892">
      <c r="A892" t="inlineStr">
        <is>
          <t>RESIDENCIAL BEYOND</t>
        </is>
      </c>
      <c r="B892" t="inlineStr">
        <is>
          <t>Etapa 1</t>
        </is>
      </c>
      <c r="C892" t="inlineStr">
        <is>
          <t>Edificio</t>
        </is>
      </c>
      <c r="D892" t="inlineStr">
        <is>
          <t>A</t>
        </is>
      </c>
      <c r="E892" t="inlineStr">
        <is>
          <t>Departamento</t>
        </is>
      </c>
      <c r="F892" t="inlineStr">
        <is>
          <t>405</t>
        </is>
      </c>
      <c r="G892" s="39" t="n">
        <v>532100</v>
      </c>
      <c r="H892" s="39" t="n">
        <v>501100</v>
      </c>
      <c r="M892" s="39" t="n"/>
      <c r="N892" s="39" t="n"/>
      <c r="S892" s="39" t="n"/>
      <c r="T892" s="39" t="n"/>
      <c r="Y892" s="39" t="n"/>
      <c r="Z892" s="39" t="n"/>
      <c r="AA892" t="inlineStr">
        <is>
          <t>Jiri Ruzicka R</t>
        </is>
      </c>
      <c r="AB892" t="inlineStr">
        <is>
          <t>001831906</t>
        </is>
      </c>
      <c r="AC892" t="inlineStr">
        <is>
          <t xml:space="preserve">Calle Los Mirtos 230 Edificio Live Lima Flats Torre C </t>
        </is>
      </c>
      <c r="AD892" t="n">
        <v>0</v>
      </c>
      <c r="AE892" t="inlineStr">
        <is>
          <t>943541529</t>
        </is>
      </c>
      <c r="AF892" t="inlineStr">
        <is>
          <t>jiriruzicka@web.de</t>
        </is>
      </c>
      <c r="AG892" t="inlineStr">
        <is>
          <t>LIMA</t>
        </is>
      </c>
      <c r="AH892" t="inlineStr">
        <is>
          <t>LINCE</t>
        </is>
      </c>
      <c r="AI892" s="116" t="n">
        <v>46446</v>
      </c>
      <c r="AJ892" s="116" t="n"/>
      <c r="AK892" t="inlineStr">
        <is>
          <t>AHORRO CASA</t>
        </is>
      </c>
      <c r="AL892" t="n">
        <v>2</v>
      </c>
      <c r="AM892" t="n">
        <v>25055</v>
      </c>
      <c r="AN892" t="n">
        <v>0</v>
      </c>
      <c r="AO892" t="n">
        <v>0</v>
      </c>
      <c r="AP892" s="39" t="n">
        <v>25055</v>
      </c>
      <c r="AQ892" s="39" t="n">
        <v>0</v>
      </c>
      <c r="AR892" s="39" t="n">
        <v>25055</v>
      </c>
      <c r="AT892" t="inlineStr">
        <is>
          <t>Ahorro</t>
        </is>
      </c>
      <c r="AZ892" t="inlineStr">
        <is>
          <t>No</t>
        </is>
      </c>
      <c r="BC892" t="inlineStr">
        <is>
          <t>PENDIENTE</t>
        </is>
      </c>
      <c r="BN892" t="inlineStr">
        <is>
          <t>No</t>
        </is>
      </c>
      <c r="BO892" s="117" t="n">
        <v>46164.38958333333</v>
      </c>
      <c r="BP892" t="inlineStr">
        <is>
          <t>Josue andres Perez Chamorro</t>
        </is>
      </c>
      <c r="BR892" t="n">
        <v>8</v>
      </c>
      <c r="BT892" t="n">
        <v>0</v>
      </c>
      <c r="BX892" t="inlineStr">
        <is>
          <t>Cobranzas_2027.csv</t>
        </is>
      </c>
      <c r="BY892" t="n">
        <v>2027</v>
      </c>
      <c r="BZ892" t="inlineStr">
        <is>
          <t>01/01/2024</t>
        </is>
      </c>
      <c r="CA892" t="inlineStr">
        <is>
          <t>30/09/2031</t>
        </is>
      </c>
    </row>
    <row r="893">
      <c r="A893" t="inlineStr">
        <is>
          <t>RESIDENCIAL BEYOND</t>
        </is>
      </c>
      <c r="B893" t="inlineStr">
        <is>
          <t>Etapa 1</t>
        </is>
      </c>
      <c r="C893" t="inlineStr">
        <is>
          <t>Edificio</t>
        </is>
      </c>
      <c r="D893" t="inlineStr">
        <is>
          <t>A</t>
        </is>
      </c>
      <c r="E893" t="inlineStr">
        <is>
          <t>Departamento</t>
        </is>
      </c>
      <c r="F893" t="inlineStr">
        <is>
          <t>405</t>
        </is>
      </c>
      <c r="G893" s="39" t="n">
        <v>532100</v>
      </c>
      <c r="H893" s="39" t="n">
        <v>501100</v>
      </c>
      <c r="M893" s="39" t="n"/>
      <c r="N893" s="39" t="n"/>
      <c r="S893" s="39" t="n"/>
      <c r="T893" s="39" t="n"/>
      <c r="Y893" s="39" t="n"/>
      <c r="Z893" s="39" t="n"/>
      <c r="AA893" t="inlineStr">
        <is>
          <t>Jiri Ruzicka R</t>
        </is>
      </c>
      <c r="AB893" t="inlineStr">
        <is>
          <t>001831906</t>
        </is>
      </c>
      <c r="AC893" t="inlineStr">
        <is>
          <t xml:space="preserve">Calle Los Mirtos 230 Edificio Live Lima Flats Torre C </t>
        </is>
      </c>
      <c r="AD893" t="n">
        <v>0</v>
      </c>
      <c r="AE893" t="inlineStr">
        <is>
          <t>943541529</t>
        </is>
      </c>
      <c r="AF893" t="inlineStr">
        <is>
          <t>jiriruzicka@web.de</t>
        </is>
      </c>
      <c r="AG893" t="inlineStr">
        <is>
          <t>LIMA</t>
        </is>
      </c>
      <c r="AH893" t="inlineStr">
        <is>
          <t>LINCE</t>
        </is>
      </c>
      <c r="AI893" s="116" t="n">
        <v>46477</v>
      </c>
      <c r="AJ893" s="116" t="n"/>
      <c r="AK893" t="inlineStr">
        <is>
          <t>SALDO FINANCIAR</t>
        </is>
      </c>
      <c r="AL893" t="n">
        <v>1</v>
      </c>
      <c r="AM893" t="n">
        <v>450990</v>
      </c>
      <c r="AN893" t="n">
        <v>0</v>
      </c>
      <c r="AO893" t="n">
        <v>0</v>
      </c>
      <c r="AP893" s="39" t="n">
        <v>450990</v>
      </c>
      <c r="AQ893" s="39" t="n">
        <v>0</v>
      </c>
      <c r="AR893" s="39" t="n">
        <v>450990</v>
      </c>
      <c r="AT893" t="inlineStr">
        <is>
          <t>Ahorro</t>
        </is>
      </c>
      <c r="AZ893" t="inlineStr">
        <is>
          <t>No</t>
        </is>
      </c>
      <c r="BC893" t="inlineStr">
        <is>
          <t>PENDIENTE</t>
        </is>
      </c>
      <c r="BN893" t="inlineStr">
        <is>
          <t>No</t>
        </is>
      </c>
      <c r="BO893" s="117" t="n">
        <v>46164.38958333333</v>
      </c>
      <c r="BP893" t="inlineStr">
        <is>
          <t>Josue andres Perez Chamorro</t>
        </is>
      </c>
      <c r="BR893" t="n">
        <v>8</v>
      </c>
      <c r="BT893" t="n">
        <v>0</v>
      </c>
      <c r="BX893" t="inlineStr">
        <is>
          <t>Cobranzas_2027.csv</t>
        </is>
      </c>
      <c r="BY893" t="n">
        <v>2027</v>
      </c>
      <c r="BZ893" t="inlineStr">
        <is>
          <t>01/01/2024</t>
        </is>
      </c>
      <c r="CA893" t="inlineStr">
        <is>
          <t>30/09/2031</t>
        </is>
      </c>
    </row>
    <row r="894">
      <c r="A894" t="inlineStr">
        <is>
          <t>RESIDENCIAL BEYOND</t>
        </is>
      </c>
      <c r="B894" t="inlineStr">
        <is>
          <t>Etapa 1</t>
        </is>
      </c>
      <c r="C894" t="inlineStr">
        <is>
          <t>Edificio</t>
        </is>
      </c>
      <c r="D894" t="inlineStr">
        <is>
          <t>A</t>
        </is>
      </c>
      <c r="E894" t="inlineStr">
        <is>
          <t>Departamento</t>
        </is>
      </c>
      <c r="F894" t="inlineStr">
        <is>
          <t>803</t>
        </is>
      </c>
      <c r="G894" s="39" t="n">
        <v>510000</v>
      </c>
      <c r="H894" s="39" t="n">
        <v>476700</v>
      </c>
      <c r="I894" t="inlineStr">
        <is>
          <t>Edificio</t>
        </is>
      </c>
      <c r="J894" t="inlineStr">
        <is>
          <t>A</t>
        </is>
      </c>
      <c r="K894" t="inlineStr">
        <is>
          <t>Estacionamiento</t>
        </is>
      </c>
      <c r="L894" t="inlineStr">
        <is>
          <t>E 28 - D 18</t>
        </is>
      </c>
      <c r="M894" s="39" t="n">
        <v>48600</v>
      </c>
      <c r="N894" s="39" t="n">
        <v>48600</v>
      </c>
      <c r="S894" s="39" t="n"/>
      <c r="T894" s="39" t="n"/>
      <c r="Y894" s="39" t="n"/>
      <c r="Z894" s="39" t="n"/>
      <c r="AA894" t="inlineStr">
        <is>
          <t>Jorge Luis Montoya Mendoza</t>
        </is>
      </c>
      <c r="AB894" t="inlineStr">
        <is>
          <t>21458250</t>
        </is>
      </c>
      <c r="AC894" t="inlineStr">
        <is>
          <t>luismm65@hotmail.com</t>
        </is>
      </c>
      <c r="AD894" t="n">
        <v>0</v>
      </c>
      <c r="AE894" t="inlineStr">
        <is>
          <t>962673705</t>
        </is>
      </c>
      <c r="AF894" t="inlineStr">
        <is>
          <t>luismm65@hotmail.com</t>
        </is>
      </c>
      <c r="AG894" t="inlineStr">
        <is>
          <t>LIMA</t>
        </is>
      </c>
      <c r="AH894" t="inlineStr">
        <is>
          <t>PUEBLO LIBRE</t>
        </is>
      </c>
      <c r="AI894" s="116" t="n">
        <v>46568</v>
      </c>
      <c r="AJ894" s="116" t="n"/>
      <c r="AK894" t="inlineStr">
        <is>
          <t>SALDO FINANCIAR</t>
        </is>
      </c>
      <c r="AL894" t="n">
        <v>2</v>
      </c>
      <c r="AM894" t="n">
        <v>262650</v>
      </c>
      <c r="AN894" t="n">
        <v>0</v>
      </c>
      <c r="AO894" t="n">
        <v>0</v>
      </c>
      <c r="AP894" s="39" t="n">
        <v>262650</v>
      </c>
      <c r="AQ894" s="39" t="n">
        <v>0</v>
      </c>
      <c r="AR894" s="39" t="n">
        <v>262650</v>
      </c>
      <c r="AT894" t="inlineStr">
        <is>
          <t>Crédito Directo</t>
        </is>
      </c>
      <c r="AZ894" t="inlineStr">
        <is>
          <t>No</t>
        </is>
      </c>
      <c r="BC894" t="inlineStr">
        <is>
          <t>PENDIENTE</t>
        </is>
      </c>
      <c r="BN894" t="inlineStr">
        <is>
          <t>No</t>
        </is>
      </c>
      <c r="BO894" s="117" t="n">
        <v>46142.41805555556</v>
      </c>
      <c r="BP894" t="inlineStr">
        <is>
          <t>Magaly Guevara Perez</t>
        </is>
      </c>
      <c r="BR894" t="n">
        <v>18</v>
      </c>
      <c r="BT894" t="n">
        <v>0</v>
      </c>
      <c r="BX894" t="inlineStr">
        <is>
          <t>Cobranzas_2027.csv</t>
        </is>
      </c>
      <c r="BY894" t="n">
        <v>2027</v>
      </c>
      <c r="BZ894" t="inlineStr">
        <is>
          <t>01/01/2024</t>
        </is>
      </c>
      <c r="CA894" t="inlineStr">
        <is>
          <t>30/09/2031</t>
        </is>
      </c>
    </row>
    <row r="895">
      <c r="A895" t="inlineStr">
        <is>
          <t>RESIDENCIAL VENECIA</t>
        </is>
      </c>
      <c r="B895" t="inlineStr">
        <is>
          <t>Etapa 1</t>
        </is>
      </c>
      <c r="C895" t="inlineStr">
        <is>
          <t>Edificio</t>
        </is>
      </c>
      <c r="D895" t="inlineStr">
        <is>
          <t>A</t>
        </is>
      </c>
      <c r="E895" t="inlineStr">
        <is>
          <t>Estacionamiento</t>
        </is>
      </c>
      <c r="F895" t="inlineStr">
        <is>
          <t>E 10 - D 1</t>
        </is>
      </c>
      <c r="G895" s="39" t="n">
        <v>54000</v>
      </c>
      <c r="H895" s="39" t="n">
        <v>54000</v>
      </c>
      <c r="M895" s="39" t="n"/>
      <c r="N895" s="39" t="n"/>
      <c r="S895" s="39" t="n"/>
      <c r="T895" s="39" t="n"/>
      <c r="Y895" s="39" t="n"/>
      <c r="Z895" s="39" t="n"/>
      <c r="AA895" t="inlineStr">
        <is>
          <t>Jose Edgardo Cespedes Camacho</t>
        </is>
      </c>
      <c r="AB895" t="inlineStr">
        <is>
          <t>16631860</t>
        </is>
      </c>
      <c r="AC895" t="inlineStr">
        <is>
          <t>Jr. Huamachuco 1961Urb.Fundo Oyague</t>
        </is>
      </c>
      <c r="AD895" t="n">
        <v>0</v>
      </c>
      <c r="AE895" t="inlineStr">
        <is>
          <t>985758164</t>
        </is>
      </c>
      <c r="AF895" t="inlineStr">
        <is>
          <t>edgardocc1ro@gmail.com</t>
        </is>
      </c>
      <c r="AG895" t="inlineStr">
        <is>
          <t>LIMA</t>
        </is>
      </c>
      <c r="AH895" t="inlineStr">
        <is>
          <t>JESUS MARIA</t>
        </is>
      </c>
      <c r="AI895" s="116" t="n">
        <v>46417</v>
      </c>
      <c r="AJ895" s="116" t="n"/>
      <c r="AK895" t="inlineStr">
        <is>
          <t>SALDO FINANCIAR</t>
        </is>
      </c>
      <c r="AL895" t="n">
        <v>8</v>
      </c>
      <c r="AM895" t="n">
        <v>3666.67</v>
      </c>
      <c r="AN895" t="n">
        <v>0</v>
      </c>
      <c r="AO895" t="n">
        <v>0</v>
      </c>
      <c r="AP895" s="39" t="n">
        <v>3666.67</v>
      </c>
      <c r="AQ895" s="39" t="n">
        <v>0</v>
      </c>
      <c r="AR895" s="39" t="n">
        <v>3666.67</v>
      </c>
      <c r="AT895" t="inlineStr">
        <is>
          <t>Crédito Directo</t>
        </is>
      </c>
      <c r="AZ895" t="inlineStr">
        <is>
          <t>No</t>
        </is>
      </c>
      <c r="BC895" t="inlineStr">
        <is>
          <t>PENDIENTE</t>
        </is>
      </c>
      <c r="BN895" t="inlineStr">
        <is>
          <t>No</t>
        </is>
      </c>
      <c r="BO895" s="117" t="n">
        <v>46079.41944444444</v>
      </c>
      <c r="BP895" t="inlineStr">
        <is>
          <t>Magaly Guevara Perez</t>
        </is>
      </c>
      <c r="BR895" t="n">
        <v>17</v>
      </c>
      <c r="BT895" t="n">
        <v>0</v>
      </c>
      <c r="BX895" t="inlineStr">
        <is>
          <t>Cobranzas_2027.csv</t>
        </is>
      </c>
      <c r="BY895" t="n">
        <v>2027</v>
      </c>
      <c r="BZ895" t="inlineStr">
        <is>
          <t>01/01/2024</t>
        </is>
      </c>
      <c r="CA895" t="inlineStr">
        <is>
          <t>30/09/2031</t>
        </is>
      </c>
    </row>
    <row r="896">
      <c r="A896" t="inlineStr">
        <is>
          <t>RESIDENCIAL VENECIA</t>
        </is>
      </c>
      <c r="B896" t="inlineStr">
        <is>
          <t>Etapa 1</t>
        </is>
      </c>
      <c r="C896" t="inlineStr">
        <is>
          <t>Edificio</t>
        </is>
      </c>
      <c r="D896" t="inlineStr">
        <is>
          <t>A</t>
        </is>
      </c>
      <c r="E896" t="inlineStr">
        <is>
          <t>Estacionamiento</t>
        </is>
      </c>
      <c r="F896" t="inlineStr">
        <is>
          <t>E 10 - D 1</t>
        </is>
      </c>
      <c r="G896" s="39" t="n">
        <v>54000</v>
      </c>
      <c r="H896" s="39" t="n">
        <v>54000</v>
      </c>
      <c r="M896" s="39" t="n"/>
      <c r="N896" s="39" t="n"/>
      <c r="S896" s="39" t="n"/>
      <c r="T896" s="39" t="n"/>
      <c r="Y896" s="39" t="n"/>
      <c r="Z896" s="39" t="n"/>
      <c r="AA896" t="inlineStr">
        <is>
          <t>Jose Edgardo Cespedes Camacho</t>
        </is>
      </c>
      <c r="AB896" t="inlineStr">
        <is>
          <t>16631860</t>
        </is>
      </c>
      <c r="AC896" t="inlineStr">
        <is>
          <t>Jr. Huamachuco 1961Urb.Fundo Oyague</t>
        </is>
      </c>
      <c r="AD896" t="n">
        <v>0</v>
      </c>
      <c r="AE896" t="inlineStr">
        <is>
          <t>985758164</t>
        </is>
      </c>
      <c r="AF896" t="inlineStr">
        <is>
          <t>edgardocc1ro@gmail.com</t>
        </is>
      </c>
      <c r="AG896" t="inlineStr">
        <is>
          <t>LIMA</t>
        </is>
      </c>
      <c r="AH896" t="inlineStr">
        <is>
          <t>JESUS MARIA</t>
        </is>
      </c>
      <c r="AI896" s="116" t="n">
        <v>46446</v>
      </c>
      <c r="AJ896" s="116" t="n"/>
      <c r="AK896" t="inlineStr">
        <is>
          <t>SALDO FINANCIAR</t>
        </is>
      </c>
      <c r="AL896" t="n">
        <v>9</v>
      </c>
      <c r="AM896" t="n">
        <v>3666.67</v>
      </c>
      <c r="AN896" t="n">
        <v>0</v>
      </c>
      <c r="AO896" t="n">
        <v>0</v>
      </c>
      <c r="AP896" s="39" t="n">
        <v>3666.67</v>
      </c>
      <c r="AQ896" s="39" t="n">
        <v>0</v>
      </c>
      <c r="AR896" s="39" t="n">
        <v>3666.67</v>
      </c>
      <c r="AT896" t="inlineStr">
        <is>
          <t>Crédito Directo</t>
        </is>
      </c>
      <c r="AZ896" t="inlineStr">
        <is>
          <t>No</t>
        </is>
      </c>
      <c r="BC896" t="inlineStr">
        <is>
          <t>PENDIENTE</t>
        </is>
      </c>
      <c r="BN896" t="inlineStr">
        <is>
          <t>No</t>
        </is>
      </c>
      <c r="BO896" s="117" t="n">
        <v>46079.41944444444</v>
      </c>
      <c r="BP896" t="inlineStr">
        <is>
          <t>Magaly Guevara Perez</t>
        </is>
      </c>
      <c r="BR896" t="n">
        <v>17</v>
      </c>
      <c r="BT896" t="n">
        <v>0</v>
      </c>
      <c r="BX896" t="inlineStr">
        <is>
          <t>Cobranzas_2027.csv</t>
        </is>
      </c>
      <c r="BY896" t="n">
        <v>2027</v>
      </c>
      <c r="BZ896" t="inlineStr">
        <is>
          <t>01/01/2024</t>
        </is>
      </c>
      <c r="CA896" t="inlineStr">
        <is>
          <t>30/09/2031</t>
        </is>
      </c>
    </row>
    <row r="897">
      <c r="A897" t="inlineStr">
        <is>
          <t>RESIDENCIAL VENECIA</t>
        </is>
      </c>
      <c r="B897" t="inlineStr">
        <is>
          <t>Etapa 1</t>
        </is>
      </c>
      <c r="C897" t="inlineStr">
        <is>
          <t>Edificio</t>
        </is>
      </c>
      <c r="D897" t="inlineStr">
        <is>
          <t>A</t>
        </is>
      </c>
      <c r="E897" t="inlineStr">
        <is>
          <t>Estacionamiento</t>
        </is>
      </c>
      <c r="F897" t="inlineStr">
        <is>
          <t>E 10 - D 1</t>
        </is>
      </c>
      <c r="G897" s="39" t="n">
        <v>54000</v>
      </c>
      <c r="H897" s="39" t="n">
        <v>54000</v>
      </c>
      <c r="M897" s="39" t="n"/>
      <c r="N897" s="39" t="n"/>
      <c r="S897" s="39" t="n"/>
      <c r="T897" s="39" t="n"/>
      <c r="Y897" s="39" t="n"/>
      <c r="Z897" s="39" t="n"/>
      <c r="AA897" t="inlineStr">
        <is>
          <t>Jose Edgardo Cespedes Camacho</t>
        </is>
      </c>
      <c r="AB897" t="inlineStr">
        <is>
          <t>16631860</t>
        </is>
      </c>
      <c r="AC897" t="inlineStr">
        <is>
          <t>Jr. Huamachuco 1961Urb.Fundo Oyague</t>
        </is>
      </c>
      <c r="AD897" t="n">
        <v>0</v>
      </c>
      <c r="AE897" t="inlineStr">
        <is>
          <t>985758164</t>
        </is>
      </c>
      <c r="AF897" t="inlineStr">
        <is>
          <t>edgardocc1ro@gmail.com</t>
        </is>
      </c>
      <c r="AG897" t="inlineStr">
        <is>
          <t>LIMA</t>
        </is>
      </c>
      <c r="AH897" t="inlineStr">
        <is>
          <t>JESUS MARIA</t>
        </is>
      </c>
      <c r="AI897" s="116" t="n">
        <v>46476</v>
      </c>
      <c r="AJ897" s="116" t="n"/>
      <c r="AK897" t="inlineStr">
        <is>
          <t>SALDO FINANCIAR</t>
        </is>
      </c>
      <c r="AL897" t="n">
        <v>10</v>
      </c>
      <c r="AM897" t="n">
        <v>3666.67</v>
      </c>
      <c r="AN897" t="n">
        <v>0</v>
      </c>
      <c r="AO897" t="n">
        <v>0</v>
      </c>
      <c r="AP897" s="39" t="n">
        <v>3666.67</v>
      </c>
      <c r="AQ897" s="39" t="n">
        <v>0</v>
      </c>
      <c r="AR897" s="39" t="n">
        <v>3666.67</v>
      </c>
      <c r="AT897" t="inlineStr">
        <is>
          <t>Crédito Directo</t>
        </is>
      </c>
      <c r="AZ897" t="inlineStr">
        <is>
          <t>No</t>
        </is>
      </c>
      <c r="BC897" t="inlineStr">
        <is>
          <t>PENDIENTE</t>
        </is>
      </c>
      <c r="BN897" t="inlineStr">
        <is>
          <t>No</t>
        </is>
      </c>
      <c r="BO897" s="117" t="n">
        <v>46079.41944444444</v>
      </c>
      <c r="BP897" t="inlineStr">
        <is>
          <t>Magaly Guevara Perez</t>
        </is>
      </c>
      <c r="BR897" t="n">
        <v>17</v>
      </c>
      <c r="BT897" t="n">
        <v>0</v>
      </c>
      <c r="BX897" t="inlineStr">
        <is>
          <t>Cobranzas_2027.csv</t>
        </is>
      </c>
      <c r="BY897" t="n">
        <v>2027</v>
      </c>
      <c r="BZ897" t="inlineStr">
        <is>
          <t>01/01/2024</t>
        </is>
      </c>
      <c r="CA897" t="inlineStr">
        <is>
          <t>30/09/2031</t>
        </is>
      </c>
    </row>
    <row r="898">
      <c r="A898" t="inlineStr">
        <is>
          <t>RESIDENCIAL VENECIA</t>
        </is>
      </c>
      <c r="B898" t="inlineStr">
        <is>
          <t>Etapa 1</t>
        </is>
      </c>
      <c r="C898" t="inlineStr">
        <is>
          <t>Edificio</t>
        </is>
      </c>
      <c r="D898" t="inlineStr">
        <is>
          <t>A</t>
        </is>
      </c>
      <c r="E898" t="inlineStr">
        <is>
          <t>Estacionamiento</t>
        </is>
      </c>
      <c r="F898" t="inlineStr">
        <is>
          <t>E 10 - D 1</t>
        </is>
      </c>
      <c r="G898" s="39" t="n">
        <v>54000</v>
      </c>
      <c r="H898" s="39" t="n">
        <v>54000</v>
      </c>
      <c r="M898" s="39" t="n"/>
      <c r="N898" s="39" t="n"/>
      <c r="S898" s="39" t="n"/>
      <c r="T898" s="39" t="n"/>
      <c r="Y898" s="39" t="n"/>
      <c r="Z898" s="39" t="n"/>
      <c r="AA898" t="inlineStr">
        <is>
          <t>Jose Edgardo Cespedes Camacho</t>
        </is>
      </c>
      <c r="AB898" t="inlineStr">
        <is>
          <t>16631860</t>
        </is>
      </c>
      <c r="AC898" t="inlineStr">
        <is>
          <t>Jr. Huamachuco 1961Urb.Fundo Oyague</t>
        </is>
      </c>
      <c r="AD898" t="n">
        <v>0</v>
      </c>
      <c r="AE898" t="inlineStr">
        <is>
          <t>985758164</t>
        </is>
      </c>
      <c r="AF898" t="inlineStr">
        <is>
          <t>edgardocc1ro@gmail.com</t>
        </is>
      </c>
      <c r="AG898" t="inlineStr">
        <is>
          <t>LIMA</t>
        </is>
      </c>
      <c r="AH898" t="inlineStr">
        <is>
          <t>JESUS MARIA</t>
        </is>
      </c>
      <c r="AI898" s="116" t="n">
        <v>46507</v>
      </c>
      <c r="AJ898" s="116" t="n"/>
      <c r="AK898" t="inlineStr">
        <is>
          <t>SALDO FINANCIAR</t>
        </is>
      </c>
      <c r="AL898" t="n">
        <v>11</v>
      </c>
      <c r="AM898" t="n">
        <v>3666.67</v>
      </c>
      <c r="AN898" t="n">
        <v>0</v>
      </c>
      <c r="AO898" t="n">
        <v>0</v>
      </c>
      <c r="AP898" s="39" t="n">
        <v>3666.67</v>
      </c>
      <c r="AQ898" s="39" t="n">
        <v>0</v>
      </c>
      <c r="AR898" s="39" t="n">
        <v>3666.67</v>
      </c>
      <c r="AT898" t="inlineStr">
        <is>
          <t>Crédito Directo</t>
        </is>
      </c>
      <c r="AZ898" t="inlineStr">
        <is>
          <t>No</t>
        </is>
      </c>
      <c r="BC898" t="inlineStr">
        <is>
          <t>PENDIENTE</t>
        </is>
      </c>
      <c r="BN898" t="inlineStr">
        <is>
          <t>No</t>
        </is>
      </c>
      <c r="BO898" s="117" t="n">
        <v>46079.41944444444</v>
      </c>
      <c r="BP898" t="inlineStr">
        <is>
          <t>Magaly Guevara Perez</t>
        </is>
      </c>
      <c r="BR898" t="n">
        <v>17</v>
      </c>
      <c r="BT898" t="n">
        <v>0</v>
      </c>
      <c r="BX898" t="inlineStr">
        <is>
          <t>Cobranzas_2027.csv</t>
        </is>
      </c>
      <c r="BY898" t="n">
        <v>2027</v>
      </c>
      <c r="BZ898" t="inlineStr">
        <is>
          <t>01/01/2024</t>
        </is>
      </c>
      <c r="CA898" t="inlineStr">
        <is>
          <t>30/09/2031</t>
        </is>
      </c>
    </row>
    <row r="899">
      <c r="A899" t="inlineStr">
        <is>
          <t>RESIDENCIAL VENECIA</t>
        </is>
      </c>
      <c r="B899" t="inlineStr">
        <is>
          <t>Etapa 1</t>
        </is>
      </c>
      <c r="C899" t="inlineStr">
        <is>
          <t>Edificio</t>
        </is>
      </c>
      <c r="D899" t="inlineStr">
        <is>
          <t>A</t>
        </is>
      </c>
      <c r="E899" t="inlineStr">
        <is>
          <t>Estacionamiento</t>
        </is>
      </c>
      <c r="F899" t="inlineStr">
        <is>
          <t>E 10 - D 1</t>
        </is>
      </c>
      <c r="G899" s="39" t="n">
        <v>54000</v>
      </c>
      <c r="H899" s="39" t="n">
        <v>54000</v>
      </c>
      <c r="M899" s="39" t="n"/>
      <c r="N899" s="39" t="n"/>
      <c r="S899" s="39" t="n"/>
      <c r="T899" s="39" t="n"/>
      <c r="Y899" s="39" t="n"/>
      <c r="Z899" s="39" t="n"/>
      <c r="AA899" t="inlineStr">
        <is>
          <t>Jose Edgardo Cespedes Camacho</t>
        </is>
      </c>
      <c r="AB899" t="inlineStr">
        <is>
          <t>16631860</t>
        </is>
      </c>
      <c r="AC899" t="inlineStr">
        <is>
          <t>Jr. Huamachuco 1961Urb.Fundo Oyague</t>
        </is>
      </c>
      <c r="AD899" t="n">
        <v>0</v>
      </c>
      <c r="AE899" t="inlineStr">
        <is>
          <t>985758164</t>
        </is>
      </c>
      <c r="AF899" t="inlineStr">
        <is>
          <t>edgardocc1ro@gmail.com</t>
        </is>
      </c>
      <c r="AG899" t="inlineStr">
        <is>
          <t>LIMA</t>
        </is>
      </c>
      <c r="AH899" t="inlineStr">
        <is>
          <t>JESUS MARIA</t>
        </is>
      </c>
      <c r="AI899" s="116" t="n">
        <v>46537</v>
      </c>
      <c r="AJ899" s="116" t="n"/>
      <c r="AK899" t="inlineStr">
        <is>
          <t>SALDO FINANCIAR</t>
        </is>
      </c>
      <c r="AL899" t="n">
        <v>12</v>
      </c>
      <c r="AM899" t="n">
        <v>3666.63</v>
      </c>
      <c r="AN899" t="n">
        <v>0</v>
      </c>
      <c r="AO899" t="n">
        <v>0</v>
      </c>
      <c r="AP899" s="39" t="n">
        <v>3666.63</v>
      </c>
      <c r="AQ899" s="39" t="n">
        <v>0</v>
      </c>
      <c r="AR899" s="39" t="n">
        <v>3666.63</v>
      </c>
      <c r="AT899" t="inlineStr">
        <is>
          <t>Crédito Directo</t>
        </is>
      </c>
      <c r="AZ899" t="inlineStr">
        <is>
          <t>No</t>
        </is>
      </c>
      <c r="BC899" t="inlineStr">
        <is>
          <t>PENDIENTE</t>
        </is>
      </c>
      <c r="BN899" t="inlineStr">
        <is>
          <t>No</t>
        </is>
      </c>
      <c r="BO899" s="117" t="n">
        <v>46079.41944444444</v>
      </c>
      <c r="BP899" t="inlineStr">
        <is>
          <t>Magaly Guevara Perez</t>
        </is>
      </c>
      <c r="BR899" t="n">
        <v>17</v>
      </c>
      <c r="BT899" t="n">
        <v>0</v>
      </c>
      <c r="BX899" t="inlineStr">
        <is>
          <t>Cobranzas_2027.csv</t>
        </is>
      </c>
      <c r="BY899" t="n">
        <v>2027</v>
      </c>
      <c r="BZ899" t="inlineStr">
        <is>
          <t>01/01/2024</t>
        </is>
      </c>
      <c r="CA899" t="inlineStr">
        <is>
          <t>30/09/2031</t>
        </is>
      </c>
    </row>
    <row r="900">
      <c r="A900" t="inlineStr">
        <is>
          <t>RESIDENCIAL BEYOND</t>
        </is>
      </c>
      <c r="B900" t="inlineStr">
        <is>
          <t>Etapa 1</t>
        </is>
      </c>
      <c r="C900" t="inlineStr">
        <is>
          <t>Edificio</t>
        </is>
      </c>
      <c r="D900" t="inlineStr">
        <is>
          <t>A</t>
        </is>
      </c>
      <c r="E900" t="inlineStr">
        <is>
          <t>Estacionamiento</t>
        </is>
      </c>
      <c r="F900" t="inlineStr">
        <is>
          <t>E 10 - D 09</t>
        </is>
      </c>
      <c r="G900" s="39" t="n">
        <v>51300</v>
      </c>
      <c r="H900" s="39" t="n">
        <v>51300</v>
      </c>
      <c r="M900" s="39" t="n"/>
      <c r="N900" s="39" t="n"/>
      <c r="S900" s="39" t="n"/>
      <c r="T900" s="39" t="n"/>
      <c r="Y900" s="39" t="n"/>
      <c r="Z900" s="39" t="n"/>
      <c r="AA900" t="inlineStr">
        <is>
          <t>Juana Mercedes Moran Peralta</t>
        </is>
      </c>
      <c r="AB900" t="inlineStr">
        <is>
          <t>03495726</t>
        </is>
      </c>
      <c r="AC900" t="inlineStr">
        <is>
          <t>Jr. Ignacio Álvarez Thomas 1573 - Dpto. 302</t>
        </is>
      </c>
      <c r="AD900" t="n">
        <v>0</v>
      </c>
      <c r="AE900" t="inlineStr">
        <is>
          <t>978122557</t>
        </is>
      </c>
      <c r="AF900" t="inlineStr">
        <is>
          <t>Juanamoran2371@gmail.com</t>
        </is>
      </c>
      <c r="AG900" t="inlineStr">
        <is>
          <t>LIMA</t>
        </is>
      </c>
      <c r="AH900" t="inlineStr">
        <is>
          <t>CERCADO DE LIMA</t>
        </is>
      </c>
      <c r="AI900" s="116" t="n">
        <v>46417</v>
      </c>
      <c r="AJ900" s="116" t="n"/>
      <c r="AK900" t="inlineStr">
        <is>
          <t>SALDO FINANCIAR</t>
        </is>
      </c>
      <c r="AL900" t="n">
        <v>7</v>
      </c>
      <c r="AM900" t="n">
        <v>3000</v>
      </c>
      <c r="AN900" t="n">
        <v>0</v>
      </c>
      <c r="AO900" t="n">
        <v>0</v>
      </c>
      <c r="AP900" s="39" t="n">
        <v>3000</v>
      </c>
      <c r="AQ900" s="39" t="n">
        <v>0</v>
      </c>
      <c r="AR900" s="39" t="n">
        <v>3000</v>
      </c>
      <c r="AT900" t="inlineStr">
        <is>
          <t>Crédito Hipotecario</t>
        </is>
      </c>
      <c r="AZ900" t="inlineStr">
        <is>
          <t>No</t>
        </is>
      </c>
      <c r="BC900" t="inlineStr">
        <is>
          <t>PENDIENTE</t>
        </is>
      </c>
      <c r="BN900" t="inlineStr">
        <is>
          <t>No</t>
        </is>
      </c>
      <c r="BO900" s="117" t="n">
        <v>46224.49583333333</v>
      </c>
      <c r="BP900" t="inlineStr">
        <is>
          <t>Carla Michue M</t>
        </is>
      </c>
      <c r="BR900" t="n">
        <v>54</v>
      </c>
      <c r="BT900" t="n">
        <v>0</v>
      </c>
      <c r="BX900" t="inlineStr">
        <is>
          <t>Cobranzas_2027.csv</t>
        </is>
      </c>
      <c r="BY900" t="n">
        <v>2027</v>
      </c>
      <c r="BZ900" t="inlineStr">
        <is>
          <t>01/01/2024</t>
        </is>
      </c>
      <c r="CA900" t="inlineStr">
        <is>
          <t>30/09/2031</t>
        </is>
      </c>
    </row>
    <row r="901">
      <c r="A901" t="inlineStr">
        <is>
          <t>RESIDENCIAL BEYOND</t>
        </is>
      </c>
      <c r="B901" t="inlineStr">
        <is>
          <t>Etapa 1</t>
        </is>
      </c>
      <c r="C901" t="inlineStr">
        <is>
          <t>Edificio</t>
        </is>
      </c>
      <c r="D901" t="inlineStr">
        <is>
          <t>A</t>
        </is>
      </c>
      <c r="E901" t="inlineStr">
        <is>
          <t>Estacionamiento</t>
        </is>
      </c>
      <c r="F901" t="inlineStr">
        <is>
          <t>E 10 - D 09</t>
        </is>
      </c>
      <c r="G901" s="39" t="n">
        <v>51300</v>
      </c>
      <c r="H901" s="39" t="n">
        <v>51300</v>
      </c>
      <c r="M901" s="39" t="n"/>
      <c r="N901" s="39" t="n"/>
      <c r="S901" s="39" t="n"/>
      <c r="T901" s="39" t="n"/>
      <c r="Y901" s="39" t="n"/>
      <c r="Z901" s="39" t="n"/>
      <c r="AA901" t="inlineStr">
        <is>
          <t>Juana Mercedes Moran Peralta</t>
        </is>
      </c>
      <c r="AB901" t="inlineStr">
        <is>
          <t>03495726</t>
        </is>
      </c>
      <c r="AC901" t="inlineStr">
        <is>
          <t>Jr. Ignacio Álvarez Thomas 1573 - Dpto. 302</t>
        </is>
      </c>
      <c r="AD901" t="n">
        <v>0</v>
      </c>
      <c r="AE901" t="inlineStr">
        <is>
          <t>978122557</t>
        </is>
      </c>
      <c r="AF901" t="inlineStr">
        <is>
          <t>Juanamoran2371@gmail.com</t>
        </is>
      </c>
      <c r="AG901" t="inlineStr">
        <is>
          <t>LIMA</t>
        </is>
      </c>
      <c r="AH901" t="inlineStr">
        <is>
          <t>CERCADO DE LIMA</t>
        </is>
      </c>
      <c r="AI901" s="116" t="n">
        <v>46445</v>
      </c>
      <c r="AJ901" s="116" t="n"/>
      <c r="AK901" t="inlineStr">
        <is>
          <t>SALDO FINANCIAR</t>
        </is>
      </c>
      <c r="AL901" t="n">
        <v>8</v>
      </c>
      <c r="AM901" t="n">
        <v>3000</v>
      </c>
      <c r="AN901" t="n">
        <v>0</v>
      </c>
      <c r="AO901" t="n">
        <v>0</v>
      </c>
      <c r="AP901" s="39" t="n">
        <v>3000</v>
      </c>
      <c r="AQ901" s="39" t="n">
        <v>0</v>
      </c>
      <c r="AR901" s="39" t="n">
        <v>3000</v>
      </c>
      <c r="AT901" t="inlineStr">
        <is>
          <t>Crédito Hipotecario</t>
        </is>
      </c>
      <c r="AZ901" t="inlineStr">
        <is>
          <t>No</t>
        </is>
      </c>
      <c r="BC901" t="inlineStr">
        <is>
          <t>PENDIENTE</t>
        </is>
      </c>
      <c r="BN901" t="inlineStr">
        <is>
          <t>No</t>
        </is>
      </c>
      <c r="BO901" s="117" t="n">
        <v>46224.49583333333</v>
      </c>
      <c r="BP901" t="inlineStr">
        <is>
          <t>Carla Michue M</t>
        </is>
      </c>
      <c r="BR901" t="n">
        <v>54</v>
      </c>
      <c r="BT901" t="n">
        <v>0</v>
      </c>
      <c r="BX901" t="inlineStr">
        <is>
          <t>Cobranzas_2027.csv</t>
        </is>
      </c>
      <c r="BY901" t="n">
        <v>2027</v>
      </c>
      <c r="BZ901" t="inlineStr">
        <is>
          <t>01/01/2024</t>
        </is>
      </c>
      <c r="CA901" t="inlineStr">
        <is>
          <t>30/09/2031</t>
        </is>
      </c>
    </row>
    <row r="902">
      <c r="A902" t="inlineStr">
        <is>
          <t>RESIDENCIAL BEYOND</t>
        </is>
      </c>
      <c r="B902" t="inlineStr">
        <is>
          <t>Etapa 1</t>
        </is>
      </c>
      <c r="C902" t="inlineStr">
        <is>
          <t>Edificio</t>
        </is>
      </c>
      <c r="D902" t="inlineStr">
        <is>
          <t>A</t>
        </is>
      </c>
      <c r="E902" t="inlineStr">
        <is>
          <t>Estacionamiento</t>
        </is>
      </c>
      <c r="F902" t="inlineStr">
        <is>
          <t>E 10 - D 09</t>
        </is>
      </c>
      <c r="G902" s="39" t="n">
        <v>51300</v>
      </c>
      <c r="H902" s="39" t="n">
        <v>51300</v>
      </c>
      <c r="M902" s="39" t="n"/>
      <c r="N902" s="39" t="n"/>
      <c r="S902" s="39" t="n"/>
      <c r="T902" s="39" t="n"/>
      <c r="Y902" s="39" t="n"/>
      <c r="Z902" s="39" t="n"/>
      <c r="AA902" t="inlineStr">
        <is>
          <t>Juana Mercedes Moran Peralta</t>
        </is>
      </c>
      <c r="AB902" t="inlineStr">
        <is>
          <t>03495726</t>
        </is>
      </c>
      <c r="AC902" t="inlineStr">
        <is>
          <t>Jr. Ignacio Álvarez Thomas 1573 - Dpto. 302</t>
        </is>
      </c>
      <c r="AD902" t="n">
        <v>0</v>
      </c>
      <c r="AE902" t="inlineStr">
        <is>
          <t>978122557</t>
        </is>
      </c>
      <c r="AF902" t="inlineStr">
        <is>
          <t>Juanamoran2371@gmail.com</t>
        </is>
      </c>
      <c r="AG902" t="inlineStr">
        <is>
          <t>LIMA</t>
        </is>
      </c>
      <c r="AH902" t="inlineStr">
        <is>
          <t>CERCADO DE LIMA</t>
        </is>
      </c>
      <c r="AI902" s="116" t="n">
        <v>46476</v>
      </c>
      <c r="AJ902" s="116" t="n"/>
      <c r="AK902" t="inlineStr">
        <is>
          <t>SALDO FINANCIAR</t>
        </is>
      </c>
      <c r="AL902" t="n">
        <v>9</v>
      </c>
      <c r="AM902" t="n">
        <v>3000</v>
      </c>
      <c r="AN902" t="n">
        <v>0</v>
      </c>
      <c r="AO902" t="n">
        <v>0</v>
      </c>
      <c r="AP902" s="39" t="n">
        <v>3000</v>
      </c>
      <c r="AQ902" s="39" t="n">
        <v>0</v>
      </c>
      <c r="AR902" s="39" t="n">
        <v>3000</v>
      </c>
      <c r="AT902" t="inlineStr">
        <is>
          <t>Crédito Hipotecario</t>
        </is>
      </c>
      <c r="AZ902" t="inlineStr">
        <is>
          <t>No</t>
        </is>
      </c>
      <c r="BC902" t="inlineStr">
        <is>
          <t>PENDIENTE</t>
        </is>
      </c>
      <c r="BN902" t="inlineStr">
        <is>
          <t>No</t>
        </is>
      </c>
      <c r="BO902" s="117" t="n">
        <v>46224.49583333333</v>
      </c>
      <c r="BP902" t="inlineStr">
        <is>
          <t>Carla Michue M</t>
        </is>
      </c>
      <c r="BR902" t="n">
        <v>54</v>
      </c>
      <c r="BT902" t="n">
        <v>0</v>
      </c>
      <c r="BX902" t="inlineStr">
        <is>
          <t>Cobranzas_2027.csv</t>
        </is>
      </c>
      <c r="BY902" t="n">
        <v>2027</v>
      </c>
      <c r="BZ902" t="inlineStr">
        <is>
          <t>01/01/2024</t>
        </is>
      </c>
      <c r="CA902" t="inlineStr">
        <is>
          <t>30/09/2031</t>
        </is>
      </c>
    </row>
    <row r="903">
      <c r="A903" t="inlineStr">
        <is>
          <t>RESIDENCIAL BEYOND</t>
        </is>
      </c>
      <c r="B903" t="inlineStr">
        <is>
          <t>Etapa 1</t>
        </is>
      </c>
      <c r="C903" t="inlineStr">
        <is>
          <t>Edificio</t>
        </is>
      </c>
      <c r="D903" t="inlineStr">
        <is>
          <t>A</t>
        </is>
      </c>
      <c r="E903" t="inlineStr">
        <is>
          <t>Estacionamiento</t>
        </is>
      </c>
      <c r="F903" t="inlineStr">
        <is>
          <t>E 10 - D 09</t>
        </is>
      </c>
      <c r="G903" s="39" t="n">
        <v>51300</v>
      </c>
      <c r="H903" s="39" t="n">
        <v>51300</v>
      </c>
      <c r="M903" s="39" t="n"/>
      <c r="N903" s="39" t="n"/>
      <c r="S903" s="39" t="n"/>
      <c r="T903" s="39" t="n"/>
      <c r="Y903" s="39" t="n"/>
      <c r="Z903" s="39" t="n"/>
      <c r="AA903" t="inlineStr">
        <is>
          <t>Juana Mercedes Moran Peralta</t>
        </is>
      </c>
      <c r="AB903" t="inlineStr">
        <is>
          <t>03495726</t>
        </is>
      </c>
      <c r="AC903" t="inlineStr">
        <is>
          <t>Jr. Ignacio Álvarez Thomas 1573 - Dpto. 302</t>
        </is>
      </c>
      <c r="AD903" t="n">
        <v>0</v>
      </c>
      <c r="AE903" t="inlineStr">
        <is>
          <t>978122557</t>
        </is>
      </c>
      <c r="AF903" t="inlineStr">
        <is>
          <t>Juanamoran2371@gmail.com</t>
        </is>
      </c>
      <c r="AG903" t="inlineStr">
        <is>
          <t>LIMA</t>
        </is>
      </c>
      <c r="AH903" t="inlineStr">
        <is>
          <t>CERCADO DE LIMA</t>
        </is>
      </c>
      <c r="AI903" s="116" t="n">
        <v>46507</v>
      </c>
      <c r="AJ903" s="116" t="n"/>
      <c r="AK903" t="inlineStr">
        <is>
          <t>SALDO FINANCIAR</t>
        </is>
      </c>
      <c r="AL903" t="n">
        <v>10</v>
      </c>
      <c r="AM903" t="n">
        <v>3000</v>
      </c>
      <c r="AN903" t="n">
        <v>0</v>
      </c>
      <c r="AO903" t="n">
        <v>0</v>
      </c>
      <c r="AP903" s="39" t="n">
        <v>3000</v>
      </c>
      <c r="AQ903" s="39" t="n">
        <v>0</v>
      </c>
      <c r="AR903" s="39" t="n">
        <v>3000</v>
      </c>
      <c r="AT903" t="inlineStr">
        <is>
          <t>Crédito Hipotecario</t>
        </is>
      </c>
      <c r="AZ903" t="inlineStr">
        <is>
          <t>No</t>
        </is>
      </c>
      <c r="BC903" t="inlineStr">
        <is>
          <t>PENDIENTE</t>
        </is>
      </c>
      <c r="BN903" t="inlineStr">
        <is>
          <t>No</t>
        </is>
      </c>
      <c r="BO903" s="117" t="n">
        <v>46224.49583333333</v>
      </c>
      <c r="BP903" t="inlineStr">
        <is>
          <t>Carla Michue M</t>
        </is>
      </c>
      <c r="BR903" t="n">
        <v>54</v>
      </c>
      <c r="BT903" t="n">
        <v>0</v>
      </c>
      <c r="BX903" t="inlineStr">
        <is>
          <t>Cobranzas_2027.csv</t>
        </is>
      </c>
      <c r="BY903" t="n">
        <v>2027</v>
      </c>
      <c r="BZ903" t="inlineStr">
        <is>
          <t>01/01/2024</t>
        </is>
      </c>
      <c r="CA903" t="inlineStr">
        <is>
          <t>30/09/2031</t>
        </is>
      </c>
    </row>
    <row r="904">
      <c r="A904" t="inlineStr">
        <is>
          <t>RESIDENCIAL BEYOND</t>
        </is>
      </c>
      <c r="B904" t="inlineStr">
        <is>
          <t>Etapa 1</t>
        </is>
      </c>
      <c r="C904" t="inlineStr">
        <is>
          <t>Edificio</t>
        </is>
      </c>
      <c r="D904" t="inlineStr">
        <is>
          <t>A</t>
        </is>
      </c>
      <c r="E904" t="inlineStr">
        <is>
          <t>Estacionamiento</t>
        </is>
      </c>
      <c r="F904" t="inlineStr">
        <is>
          <t>E 10 - D 09</t>
        </is>
      </c>
      <c r="G904" s="39" t="n">
        <v>51300</v>
      </c>
      <c r="H904" s="39" t="n">
        <v>51300</v>
      </c>
      <c r="M904" s="39" t="n"/>
      <c r="N904" s="39" t="n"/>
      <c r="S904" s="39" t="n"/>
      <c r="T904" s="39" t="n"/>
      <c r="Y904" s="39" t="n"/>
      <c r="Z904" s="39" t="n"/>
      <c r="AA904" t="inlineStr">
        <is>
          <t>Juana Mercedes Moran Peralta</t>
        </is>
      </c>
      <c r="AB904" t="inlineStr">
        <is>
          <t>03495726</t>
        </is>
      </c>
      <c r="AC904" t="inlineStr">
        <is>
          <t>Jr. Ignacio Álvarez Thomas 1573 - Dpto. 302</t>
        </is>
      </c>
      <c r="AD904" t="n">
        <v>0</v>
      </c>
      <c r="AE904" t="inlineStr">
        <is>
          <t>978122557</t>
        </is>
      </c>
      <c r="AF904" t="inlineStr">
        <is>
          <t>Juanamoran2371@gmail.com</t>
        </is>
      </c>
      <c r="AG904" t="inlineStr">
        <is>
          <t>LIMA</t>
        </is>
      </c>
      <c r="AH904" t="inlineStr">
        <is>
          <t>CERCADO DE LIMA</t>
        </is>
      </c>
      <c r="AI904" s="116" t="n">
        <v>46537</v>
      </c>
      <c r="AJ904" s="116" t="n"/>
      <c r="AK904" t="inlineStr">
        <is>
          <t>SALDO FINANCIAR</t>
        </is>
      </c>
      <c r="AL904" t="n">
        <v>11</v>
      </c>
      <c r="AM904" t="n">
        <v>3000</v>
      </c>
      <c r="AN904" t="n">
        <v>0</v>
      </c>
      <c r="AO904" t="n">
        <v>0</v>
      </c>
      <c r="AP904" s="39" t="n">
        <v>3000</v>
      </c>
      <c r="AQ904" s="39" t="n">
        <v>0</v>
      </c>
      <c r="AR904" s="39" t="n">
        <v>3000</v>
      </c>
      <c r="AT904" t="inlineStr">
        <is>
          <t>Crédito Hipotecario</t>
        </is>
      </c>
      <c r="AZ904" t="inlineStr">
        <is>
          <t>No</t>
        </is>
      </c>
      <c r="BC904" t="inlineStr">
        <is>
          <t>PENDIENTE</t>
        </is>
      </c>
      <c r="BN904" t="inlineStr">
        <is>
          <t>No</t>
        </is>
      </c>
      <c r="BO904" s="117" t="n">
        <v>46224.49583333333</v>
      </c>
      <c r="BP904" t="inlineStr">
        <is>
          <t>Carla Michue M</t>
        </is>
      </c>
      <c r="BR904" t="n">
        <v>54</v>
      </c>
      <c r="BT904" t="n">
        <v>0</v>
      </c>
      <c r="BX904" t="inlineStr">
        <is>
          <t>Cobranzas_2027.csv</t>
        </is>
      </c>
      <c r="BY904" t="n">
        <v>2027</v>
      </c>
      <c r="BZ904" t="inlineStr">
        <is>
          <t>01/01/2024</t>
        </is>
      </c>
      <c r="CA904" t="inlineStr">
        <is>
          <t>30/09/2031</t>
        </is>
      </c>
    </row>
    <row r="905">
      <c r="A905" t="inlineStr">
        <is>
          <t>RESIDENCIAL BEYOND</t>
        </is>
      </c>
      <c r="B905" t="inlineStr">
        <is>
          <t>Etapa 1</t>
        </is>
      </c>
      <c r="C905" t="inlineStr">
        <is>
          <t>Edificio</t>
        </is>
      </c>
      <c r="D905" t="inlineStr">
        <is>
          <t>A</t>
        </is>
      </c>
      <c r="E905" t="inlineStr">
        <is>
          <t>Estacionamiento</t>
        </is>
      </c>
      <c r="F905" t="inlineStr">
        <is>
          <t>E 10 - D 09</t>
        </is>
      </c>
      <c r="G905" s="39" t="n">
        <v>51300</v>
      </c>
      <c r="H905" s="39" t="n">
        <v>51300</v>
      </c>
      <c r="M905" s="39" t="n"/>
      <c r="N905" s="39" t="n"/>
      <c r="S905" s="39" t="n"/>
      <c r="T905" s="39" t="n"/>
      <c r="Y905" s="39" t="n"/>
      <c r="Z905" s="39" t="n"/>
      <c r="AA905" t="inlineStr">
        <is>
          <t>Juana Mercedes Moran Peralta</t>
        </is>
      </c>
      <c r="AB905" t="inlineStr">
        <is>
          <t>03495726</t>
        </is>
      </c>
      <c r="AC905" t="inlineStr">
        <is>
          <t>Jr. Ignacio Álvarez Thomas 1573 - Dpto. 302</t>
        </is>
      </c>
      <c r="AD905" t="n">
        <v>0</v>
      </c>
      <c r="AE905" t="inlineStr">
        <is>
          <t>978122557</t>
        </is>
      </c>
      <c r="AF905" t="inlineStr">
        <is>
          <t>Juanamoran2371@gmail.com</t>
        </is>
      </c>
      <c r="AG905" t="inlineStr">
        <is>
          <t>LIMA</t>
        </is>
      </c>
      <c r="AH905" t="inlineStr">
        <is>
          <t>CERCADO DE LIMA</t>
        </is>
      </c>
      <c r="AI905" s="116" t="n">
        <v>46568</v>
      </c>
      <c r="AJ905" s="116" t="n"/>
      <c r="AK905" t="inlineStr">
        <is>
          <t>SALDO FINANCIAR</t>
        </is>
      </c>
      <c r="AL905" t="n">
        <v>12</v>
      </c>
      <c r="AM905" t="n">
        <v>3000</v>
      </c>
      <c r="AN905" t="n">
        <v>0</v>
      </c>
      <c r="AO905" t="n">
        <v>0</v>
      </c>
      <c r="AP905" s="39" t="n">
        <v>3000</v>
      </c>
      <c r="AQ905" s="39" t="n">
        <v>0</v>
      </c>
      <c r="AR905" s="39" t="n">
        <v>3000</v>
      </c>
      <c r="AT905" t="inlineStr">
        <is>
          <t>Crédito Hipotecario</t>
        </is>
      </c>
      <c r="AZ905" t="inlineStr">
        <is>
          <t>No</t>
        </is>
      </c>
      <c r="BC905" t="inlineStr">
        <is>
          <t>PENDIENTE</t>
        </is>
      </c>
      <c r="BN905" t="inlineStr">
        <is>
          <t>No</t>
        </is>
      </c>
      <c r="BO905" s="117" t="n">
        <v>46224.49583333333</v>
      </c>
      <c r="BP905" t="inlineStr">
        <is>
          <t>Carla Michue M</t>
        </is>
      </c>
      <c r="BR905" t="n">
        <v>54</v>
      </c>
      <c r="BT905" t="n">
        <v>0</v>
      </c>
      <c r="BX905" t="inlineStr">
        <is>
          <t>Cobranzas_2027.csv</t>
        </is>
      </c>
      <c r="BY905" t="n">
        <v>2027</v>
      </c>
      <c r="BZ905" t="inlineStr">
        <is>
          <t>01/01/2024</t>
        </is>
      </c>
      <c r="CA905" t="inlineStr">
        <is>
          <t>30/09/2031</t>
        </is>
      </c>
    </row>
    <row r="906">
      <c r="A906" t="inlineStr">
        <is>
          <t>RESIDENCIAL BEYOND</t>
        </is>
      </c>
      <c r="B906" t="inlineStr">
        <is>
          <t>Etapa 1</t>
        </is>
      </c>
      <c r="C906" t="inlineStr">
        <is>
          <t>Edificio</t>
        </is>
      </c>
      <c r="D906" t="inlineStr">
        <is>
          <t>A</t>
        </is>
      </c>
      <c r="E906" t="inlineStr">
        <is>
          <t>Estacionamiento</t>
        </is>
      </c>
      <c r="F906" t="inlineStr">
        <is>
          <t>E 10 - D 09</t>
        </is>
      </c>
      <c r="G906" s="39" t="n">
        <v>51300</v>
      </c>
      <c r="H906" s="39" t="n">
        <v>51300</v>
      </c>
      <c r="M906" s="39" t="n"/>
      <c r="N906" s="39" t="n"/>
      <c r="S906" s="39" t="n"/>
      <c r="T906" s="39" t="n"/>
      <c r="Y906" s="39" t="n"/>
      <c r="Z906" s="39" t="n"/>
      <c r="AA906" t="inlineStr">
        <is>
          <t>Juana Mercedes Moran Peralta</t>
        </is>
      </c>
      <c r="AB906" t="inlineStr">
        <is>
          <t>03495726</t>
        </is>
      </c>
      <c r="AC906" t="inlineStr">
        <is>
          <t>Jr. Ignacio Álvarez Thomas 1573 - Dpto. 302</t>
        </is>
      </c>
      <c r="AD906" t="n">
        <v>0</v>
      </c>
      <c r="AE906" t="inlineStr">
        <is>
          <t>978122557</t>
        </is>
      </c>
      <c r="AF906" t="inlineStr">
        <is>
          <t>Juanamoran2371@gmail.com</t>
        </is>
      </c>
      <c r="AG906" t="inlineStr">
        <is>
          <t>LIMA</t>
        </is>
      </c>
      <c r="AH906" t="inlineStr">
        <is>
          <t>CERCADO DE LIMA</t>
        </is>
      </c>
      <c r="AI906" s="116" t="n">
        <v>46598</v>
      </c>
      <c r="AJ906" s="116" t="n"/>
      <c r="AK906" t="inlineStr">
        <is>
          <t>SALDO FINANCIAR</t>
        </is>
      </c>
      <c r="AL906" t="n">
        <v>13</v>
      </c>
      <c r="AM906" t="n">
        <v>3000</v>
      </c>
      <c r="AN906" t="n">
        <v>0</v>
      </c>
      <c r="AO906" t="n">
        <v>0</v>
      </c>
      <c r="AP906" s="39" t="n">
        <v>3000</v>
      </c>
      <c r="AQ906" s="39" t="n">
        <v>0</v>
      </c>
      <c r="AR906" s="39" t="n">
        <v>3000</v>
      </c>
      <c r="AT906" t="inlineStr">
        <is>
          <t>Crédito Hipotecario</t>
        </is>
      </c>
      <c r="AZ906" t="inlineStr">
        <is>
          <t>No</t>
        </is>
      </c>
      <c r="BC906" t="inlineStr">
        <is>
          <t>PENDIENTE</t>
        </is>
      </c>
      <c r="BN906" t="inlineStr">
        <is>
          <t>No</t>
        </is>
      </c>
      <c r="BO906" s="117" t="n">
        <v>46224.49583333333</v>
      </c>
      <c r="BP906" t="inlineStr">
        <is>
          <t>Carla Michue M</t>
        </is>
      </c>
      <c r="BR906" t="n">
        <v>54</v>
      </c>
      <c r="BT906" t="n">
        <v>0</v>
      </c>
      <c r="BX906" t="inlineStr">
        <is>
          <t>Cobranzas_2027.csv</t>
        </is>
      </c>
      <c r="BY906" t="n">
        <v>2027</v>
      </c>
      <c r="BZ906" t="inlineStr">
        <is>
          <t>01/01/2024</t>
        </is>
      </c>
      <c r="CA906" t="inlineStr">
        <is>
          <t>30/09/2031</t>
        </is>
      </c>
    </row>
    <row r="907">
      <c r="A907" t="inlineStr">
        <is>
          <t>RESIDENCIAL BEYOND</t>
        </is>
      </c>
      <c r="B907" t="inlineStr">
        <is>
          <t>Etapa 1</t>
        </is>
      </c>
      <c r="C907" t="inlineStr">
        <is>
          <t>Edificio</t>
        </is>
      </c>
      <c r="D907" t="inlineStr">
        <is>
          <t>A</t>
        </is>
      </c>
      <c r="E907" t="inlineStr">
        <is>
          <t>Estacionamiento</t>
        </is>
      </c>
      <c r="F907" t="inlineStr">
        <is>
          <t>E 10 - D 09</t>
        </is>
      </c>
      <c r="G907" s="39" t="n">
        <v>51300</v>
      </c>
      <c r="H907" s="39" t="n">
        <v>51300</v>
      </c>
      <c r="M907" s="39" t="n"/>
      <c r="N907" s="39" t="n"/>
      <c r="S907" s="39" t="n"/>
      <c r="T907" s="39" t="n"/>
      <c r="Y907" s="39" t="n"/>
      <c r="Z907" s="39" t="n"/>
      <c r="AA907" t="inlineStr">
        <is>
          <t>Juana Mercedes Moran Peralta</t>
        </is>
      </c>
      <c r="AB907" t="inlineStr">
        <is>
          <t>03495726</t>
        </is>
      </c>
      <c r="AC907" t="inlineStr">
        <is>
          <t>Jr. Ignacio Álvarez Thomas 1573 - Dpto. 302</t>
        </is>
      </c>
      <c r="AD907" t="n">
        <v>0</v>
      </c>
      <c r="AE907" t="inlineStr">
        <is>
          <t>978122557</t>
        </is>
      </c>
      <c r="AF907" t="inlineStr">
        <is>
          <t>Juanamoran2371@gmail.com</t>
        </is>
      </c>
      <c r="AG907" t="inlineStr">
        <is>
          <t>LIMA</t>
        </is>
      </c>
      <c r="AH907" t="inlineStr">
        <is>
          <t>CERCADO DE LIMA</t>
        </is>
      </c>
      <c r="AI907" s="116" t="n">
        <v>46629</v>
      </c>
      <c r="AJ907" s="116" t="n"/>
      <c r="AK907" t="inlineStr">
        <is>
          <t>SALDO FINANCIAR</t>
        </is>
      </c>
      <c r="AL907" t="n">
        <v>14</v>
      </c>
      <c r="AM907" t="n">
        <v>3000</v>
      </c>
      <c r="AN907" t="n">
        <v>0</v>
      </c>
      <c r="AO907" t="n">
        <v>0</v>
      </c>
      <c r="AP907" s="39" t="n">
        <v>3000</v>
      </c>
      <c r="AQ907" s="39" t="n">
        <v>0</v>
      </c>
      <c r="AR907" s="39" t="n">
        <v>3000</v>
      </c>
      <c r="AT907" t="inlineStr">
        <is>
          <t>Crédito Hipotecario</t>
        </is>
      </c>
      <c r="AZ907" t="inlineStr">
        <is>
          <t>No</t>
        </is>
      </c>
      <c r="BC907" t="inlineStr">
        <is>
          <t>PENDIENTE</t>
        </is>
      </c>
      <c r="BN907" t="inlineStr">
        <is>
          <t>No</t>
        </is>
      </c>
      <c r="BO907" s="117" t="n">
        <v>46224.49583333333</v>
      </c>
      <c r="BP907" t="inlineStr">
        <is>
          <t>Carla Michue M</t>
        </is>
      </c>
      <c r="BR907" t="n">
        <v>54</v>
      </c>
      <c r="BT907" t="n">
        <v>0</v>
      </c>
      <c r="BX907" t="inlineStr">
        <is>
          <t>Cobranzas_2027.csv</t>
        </is>
      </c>
      <c r="BY907" t="n">
        <v>2027</v>
      </c>
      <c r="BZ907" t="inlineStr">
        <is>
          <t>01/01/2024</t>
        </is>
      </c>
      <c r="CA907" t="inlineStr">
        <is>
          <t>30/09/2031</t>
        </is>
      </c>
    </row>
    <row r="908">
      <c r="A908" t="inlineStr">
        <is>
          <t>RESIDENCIAL BEYOND</t>
        </is>
      </c>
      <c r="B908" t="inlineStr">
        <is>
          <t>Etapa 1</t>
        </is>
      </c>
      <c r="C908" t="inlineStr">
        <is>
          <t>Edificio</t>
        </is>
      </c>
      <c r="D908" t="inlineStr">
        <is>
          <t>A</t>
        </is>
      </c>
      <c r="E908" t="inlineStr">
        <is>
          <t>Departamento</t>
        </is>
      </c>
      <c r="F908" t="inlineStr">
        <is>
          <t>401</t>
        </is>
      </c>
      <c r="G908" s="39" t="n">
        <v>518500</v>
      </c>
      <c r="H908" s="39" t="n">
        <v>470000</v>
      </c>
      <c r="M908" s="39" t="n"/>
      <c r="N908" s="39" t="n"/>
      <c r="S908" s="39" t="n"/>
      <c r="T908" s="39" t="n"/>
      <c r="Y908" s="39" t="n"/>
      <c r="Z908" s="39" t="n"/>
      <c r="AA908" t="inlineStr">
        <is>
          <t>Luis Alberto Vargas Chacaltana</t>
        </is>
      </c>
      <c r="AB908" t="inlineStr">
        <is>
          <t>09389936</t>
        </is>
      </c>
      <c r="AC908" t="inlineStr">
        <is>
          <t>Los Tilos 388 – 392</t>
        </is>
      </c>
      <c r="AD908" t="n">
        <v>0</v>
      </c>
      <c r="AE908" t="inlineStr">
        <is>
          <t>946890596</t>
        </is>
      </c>
      <c r="AF908" t="inlineStr">
        <is>
          <t>nicolle1095@gmail.com</t>
        </is>
      </c>
      <c r="AG908" t="inlineStr">
        <is>
          <t>LIMA</t>
        </is>
      </c>
      <c r="AH908" t="inlineStr">
        <is>
          <t>SANTIAGO DE SURCO</t>
        </is>
      </c>
      <c r="AI908" s="116" t="n">
        <v>46568</v>
      </c>
      <c r="AJ908" s="116" t="n"/>
      <c r="AK908" t="inlineStr">
        <is>
          <t>SALDO FINANCIAR</t>
        </is>
      </c>
      <c r="AL908" t="n">
        <v>4</v>
      </c>
      <c r="AM908" t="n">
        <v>94000</v>
      </c>
      <c r="AN908" t="n">
        <v>0</v>
      </c>
      <c r="AO908" t="n">
        <v>0</v>
      </c>
      <c r="AP908" s="39" t="n">
        <v>94000</v>
      </c>
      <c r="AQ908" s="39" t="n">
        <v>0</v>
      </c>
      <c r="AR908" s="39" t="n">
        <v>94000</v>
      </c>
      <c r="AT908" t="inlineStr">
        <is>
          <t>Crédito Directo</t>
        </is>
      </c>
      <c r="AZ908" t="inlineStr">
        <is>
          <t>No</t>
        </is>
      </c>
      <c r="BC908" t="inlineStr">
        <is>
          <t>PENDIENTE</t>
        </is>
      </c>
      <c r="BN908" t="inlineStr">
        <is>
          <t>No</t>
        </is>
      </c>
      <c r="BO908" s="117" t="n">
        <v>45932.42222222222</v>
      </c>
      <c r="BP908" t="inlineStr">
        <is>
          <t>Carla Michue M</t>
        </is>
      </c>
      <c r="BR908" t="n">
        <v>26</v>
      </c>
      <c r="BT908" t="n">
        <v>0</v>
      </c>
      <c r="BX908" t="inlineStr">
        <is>
          <t>Cobranzas_2027.csv</t>
        </is>
      </c>
      <c r="BY908" t="n">
        <v>2027</v>
      </c>
      <c r="BZ908" t="inlineStr">
        <is>
          <t>01/01/2024</t>
        </is>
      </c>
      <c r="CA908" t="inlineStr">
        <is>
          <t>30/09/2031</t>
        </is>
      </c>
    </row>
    <row r="909">
      <c r="A909" t="inlineStr">
        <is>
          <t>RESIDENCIAL BEYOND</t>
        </is>
      </c>
      <c r="B909" t="inlineStr">
        <is>
          <t>Etapa 1</t>
        </is>
      </c>
      <c r="C909" t="inlineStr">
        <is>
          <t>Edificio</t>
        </is>
      </c>
      <c r="D909" t="inlineStr">
        <is>
          <t>A</t>
        </is>
      </c>
      <c r="E909" t="inlineStr">
        <is>
          <t>Estacionamiento</t>
        </is>
      </c>
      <c r="F909" t="inlineStr">
        <is>
          <t>E 09</t>
        </is>
      </c>
      <c r="G909" s="39" t="n">
        <v>50000</v>
      </c>
      <c r="H909" s="39" t="n">
        <v>50000</v>
      </c>
      <c r="M909" s="39" t="n"/>
      <c r="N909" s="39" t="n"/>
      <c r="S909" s="39" t="n"/>
      <c r="T909" s="39" t="n"/>
      <c r="Y909" s="39" t="n"/>
      <c r="Z909" s="39" t="n"/>
      <c r="AA909" t="inlineStr">
        <is>
          <t>Luis Alberto Vargas Chacaltana</t>
        </is>
      </c>
      <c r="AB909" t="inlineStr">
        <is>
          <t>09389936</t>
        </is>
      </c>
      <c r="AC909" t="inlineStr">
        <is>
          <t>Los Tilos 388 – 392</t>
        </is>
      </c>
      <c r="AD909" t="n">
        <v>0</v>
      </c>
      <c r="AE909" t="inlineStr">
        <is>
          <t>946890596</t>
        </is>
      </c>
      <c r="AF909" t="inlineStr">
        <is>
          <t>nicolle1095@gmail.com</t>
        </is>
      </c>
      <c r="AG909" t="inlineStr">
        <is>
          <t>LIMA</t>
        </is>
      </c>
      <c r="AH909" t="inlineStr">
        <is>
          <t>SANTIAGO DE SURCO</t>
        </is>
      </c>
      <c r="AI909" s="116" t="n">
        <v>46599</v>
      </c>
      <c r="AJ909" s="116" t="n"/>
      <c r="AK909" t="inlineStr">
        <is>
          <t>SALDO FINANCIAR</t>
        </is>
      </c>
      <c r="AL909" t="n">
        <v>1</v>
      </c>
      <c r="AM909" t="n">
        <v>40000</v>
      </c>
      <c r="AN909" t="n">
        <v>0</v>
      </c>
      <c r="AO909" t="n">
        <v>0</v>
      </c>
      <c r="AP909" s="39" t="n">
        <v>40000</v>
      </c>
      <c r="AQ909" s="39" t="n">
        <v>0</v>
      </c>
      <c r="AR909" s="39" t="n">
        <v>40000</v>
      </c>
      <c r="AT909" t="inlineStr">
        <is>
          <t>Crédito Directo</t>
        </is>
      </c>
      <c r="AZ909" t="inlineStr">
        <is>
          <t>No</t>
        </is>
      </c>
      <c r="BC909" t="inlineStr">
        <is>
          <t>PENDIENTE</t>
        </is>
      </c>
      <c r="BN909" t="inlineStr">
        <is>
          <t>No</t>
        </is>
      </c>
      <c r="BO909" s="117" t="n">
        <v>46049.67638888889</v>
      </c>
      <c r="BP909" t="inlineStr">
        <is>
          <t>Carla Michue M</t>
        </is>
      </c>
      <c r="BR909" t="n">
        <v>57</v>
      </c>
      <c r="BT909" t="n">
        <v>0</v>
      </c>
      <c r="BX909" t="inlineStr">
        <is>
          <t>Cobranzas_2027.csv</t>
        </is>
      </c>
      <c r="BY909" t="n">
        <v>2027</v>
      </c>
      <c r="BZ909" t="inlineStr">
        <is>
          <t>01/01/2024</t>
        </is>
      </c>
      <c r="CA909" t="inlineStr">
        <is>
          <t>30/09/2031</t>
        </is>
      </c>
    </row>
    <row r="910">
      <c r="A910" t="inlineStr">
        <is>
          <t>RESIDENCIAL BEYOND</t>
        </is>
      </c>
      <c r="B910" t="inlineStr">
        <is>
          <t>Etapa 1</t>
        </is>
      </c>
      <c r="C910" t="inlineStr">
        <is>
          <t>Edificio</t>
        </is>
      </c>
      <c r="D910" t="inlineStr">
        <is>
          <t>A</t>
        </is>
      </c>
      <c r="E910" t="inlineStr">
        <is>
          <t>Departamento</t>
        </is>
      </c>
      <c r="F910" t="inlineStr">
        <is>
          <t>201</t>
        </is>
      </c>
      <c r="G910" s="39" t="n">
        <v>518500</v>
      </c>
      <c r="H910" s="39" t="n">
        <v>469500</v>
      </c>
      <c r="I910" t="inlineStr">
        <is>
          <t>Edificio</t>
        </is>
      </c>
      <c r="J910" t="inlineStr">
        <is>
          <t>A</t>
        </is>
      </c>
      <c r="K910" t="inlineStr">
        <is>
          <t>Estacionamiento</t>
        </is>
      </c>
      <c r="L910" t="inlineStr">
        <is>
          <t>E 16</t>
        </is>
      </c>
      <c r="M910" s="39" t="n">
        <v>50400</v>
      </c>
      <c r="N910" s="39" t="n">
        <v>50400</v>
      </c>
      <c r="S910" s="39" t="n"/>
      <c r="T910" s="39" t="n"/>
      <c r="Y910" s="39" t="n"/>
      <c r="Z910" s="39" t="n"/>
      <c r="AA910" t="inlineStr">
        <is>
          <t>Marco Antonio Cordova Oropeza</t>
        </is>
      </c>
      <c r="AB910" t="inlineStr">
        <is>
          <t>22079563</t>
        </is>
      </c>
      <c r="AC910" t="inlineStr">
        <is>
          <t>Av.Cayetano Heredia 435 Int.1 Urb Fundo Oyague</t>
        </is>
      </c>
      <c r="AD910" t="n">
        <v>0</v>
      </c>
      <c r="AE910" t="inlineStr">
        <is>
          <t>1513-257-6062</t>
        </is>
      </c>
      <c r="AF910" t="inlineStr">
        <is>
          <t>maancoor@gmail.com</t>
        </is>
      </c>
      <c r="AG910" t="inlineStr">
        <is>
          <t>LIMA</t>
        </is>
      </c>
      <c r="AH910" t="inlineStr">
        <is>
          <t>JESUS MARIA</t>
        </is>
      </c>
      <c r="AI910" s="116" t="n">
        <v>46415</v>
      </c>
      <c r="AJ910" s="116" t="n"/>
      <c r="AK910" t="inlineStr">
        <is>
          <t>SALDO FINANCIAR</t>
        </is>
      </c>
      <c r="AL910" t="n">
        <v>7</v>
      </c>
      <c r="AM910" t="n">
        <v>37270.91</v>
      </c>
      <c r="AN910" t="n">
        <v>0</v>
      </c>
      <c r="AO910" t="n">
        <v>0</v>
      </c>
      <c r="AP910" s="39" t="n">
        <v>37270.91</v>
      </c>
      <c r="AQ910" s="39" t="n">
        <v>0</v>
      </c>
      <c r="AR910" s="39" t="n">
        <v>37270.91</v>
      </c>
      <c r="AT910" t="inlineStr">
        <is>
          <t>Crédito Directo</t>
        </is>
      </c>
      <c r="AZ910" t="inlineStr">
        <is>
          <t>No</t>
        </is>
      </c>
      <c r="BC910" t="inlineStr">
        <is>
          <t>PENDIENTE</t>
        </is>
      </c>
      <c r="BN910" t="inlineStr">
        <is>
          <t>No</t>
        </is>
      </c>
      <c r="BO910" s="117" t="n">
        <v>45986.54513888889</v>
      </c>
      <c r="BP910" t="inlineStr">
        <is>
          <t>Magaly Guevara Perez</t>
        </is>
      </c>
      <c r="BR910" t="n">
        <v>1</v>
      </c>
      <c r="BT910" t="n">
        <v>0</v>
      </c>
      <c r="BX910" t="inlineStr">
        <is>
          <t>Cobranzas_2027.csv</t>
        </is>
      </c>
      <c r="BY910" t="n">
        <v>2027</v>
      </c>
      <c r="BZ910" t="inlineStr">
        <is>
          <t>01/01/2024</t>
        </is>
      </c>
      <c r="CA910" t="inlineStr">
        <is>
          <t>30/09/2031</t>
        </is>
      </c>
    </row>
    <row r="911">
      <c r="A911" t="inlineStr">
        <is>
          <t>RESIDENCIAL BEYOND</t>
        </is>
      </c>
      <c r="B911" t="inlineStr">
        <is>
          <t>Etapa 1</t>
        </is>
      </c>
      <c r="C911" t="inlineStr">
        <is>
          <t>Edificio</t>
        </is>
      </c>
      <c r="D911" t="inlineStr">
        <is>
          <t>A</t>
        </is>
      </c>
      <c r="E911" t="inlineStr">
        <is>
          <t>Departamento</t>
        </is>
      </c>
      <c r="F911" t="inlineStr">
        <is>
          <t>201</t>
        </is>
      </c>
      <c r="G911" s="39" t="n">
        <v>518500</v>
      </c>
      <c r="H911" s="39" t="n">
        <v>469500</v>
      </c>
      <c r="I911" t="inlineStr">
        <is>
          <t>Edificio</t>
        </is>
      </c>
      <c r="J911" t="inlineStr">
        <is>
          <t>A</t>
        </is>
      </c>
      <c r="K911" t="inlineStr">
        <is>
          <t>Estacionamiento</t>
        </is>
      </c>
      <c r="L911" t="inlineStr">
        <is>
          <t>E 16</t>
        </is>
      </c>
      <c r="M911" s="39" t="n">
        <v>50400</v>
      </c>
      <c r="N911" s="39" t="n">
        <v>50400</v>
      </c>
      <c r="S911" s="39" t="n"/>
      <c r="T911" s="39" t="n"/>
      <c r="Y911" s="39" t="n"/>
      <c r="Z911" s="39" t="n"/>
      <c r="AA911" t="inlineStr">
        <is>
          <t>Marco Antonio Cordova Oropeza</t>
        </is>
      </c>
      <c r="AB911" t="inlineStr">
        <is>
          <t>22079563</t>
        </is>
      </c>
      <c r="AC911" t="inlineStr">
        <is>
          <t>Av.Cayetano Heredia 435 Int.1 Urb Fundo Oyague</t>
        </is>
      </c>
      <c r="AD911" t="n">
        <v>0</v>
      </c>
      <c r="AE911" t="inlineStr">
        <is>
          <t>1513-257-6062</t>
        </is>
      </c>
      <c r="AF911" t="inlineStr">
        <is>
          <t>maancoor@gmail.com</t>
        </is>
      </c>
      <c r="AG911" t="inlineStr">
        <is>
          <t>LIMA</t>
        </is>
      </c>
      <c r="AH911" t="inlineStr">
        <is>
          <t>JESUS MARIA</t>
        </is>
      </c>
      <c r="AI911" s="116" t="n">
        <v>46446</v>
      </c>
      <c r="AJ911" s="116" t="n"/>
      <c r="AK911" t="inlineStr">
        <is>
          <t>SALDO FINANCIAR</t>
        </is>
      </c>
      <c r="AL911" t="n">
        <v>8</v>
      </c>
      <c r="AM911" t="n">
        <v>37270.91</v>
      </c>
      <c r="AN911" t="n">
        <v>0</v>
      </c>
      <c r="AO911" t="n">
        <v>0</v>
      </c>
      <c r="AP911" s="39" t="n">
        <v>37270.91</v>
      </c>
      <c r="AQ911" s="39" t="n">
        <v>0</v>
      </c>
      <c r="AR911" s="39" t="n">
        <v>37270.91</v>
      </c>
      <c r="AT911" t="inlineStr">
        <is>
          <t>Crédito Directo</t>
        </is>
      </c>
      <c r="AZ911" t="inlineStr">
        <is>
          <t>No</t>
        </is>
      </c>
      <c r="BC911" t="inlineStr">
        <is>
          <t>PENDIENTE</t>
        </is>
      </c>
      <c r="BN911" t="inlineStr">
        <is>
          <t>No</t>
        </is>
      </c>
      <c r="BO911" s="117" t="n">
        <v>45986.54513888889</v>
      </c>
      <c r="BP911" t="inlineStr">
        <is>
          <t>Magaly Guevara Perez</t>
        </is>
      </c>
      <c r="BR911" t="n">
        <v>1</v>
      </c>
      <c r="BT911" t="n">
        <v>0</v>
      </c>
      <c r="BX911" t="inlineStr">
        <is>
          <t>Cobranzas_2027.csv</t>
        </is>
      </c>
      <c r="BY911" t="n">
        <v>2027</v>
      </c>
      <c r="BZ911" t="inlineStr">
        <is>
          <t>01/01/2024</t>
        </is>
      </c>
      <c r="CA911" t="inlineStr">
        <is>
          <t>30/09/2031</t>
        </is>
      </c>
    </row>
    <row r="912">
      <c r="A912" t="inlineStr">
        <is>
          <t>RESIDENCIAL BEYOND</t>
        </is>
      </c>
      <c r="B912" t="inlineStr">
        <is>
          <t>Etapa 1</t>
        </is>
      </c>
      <c r="C912" t="inlineStr">
        <is>
          <t>Edificio</t>
        </is>
      </c>
      <c r="D912" t="inlineStr">
        <is>
          <t>A</t>
        </is>
      </c>
      <c r="E912" t="inlineStr">
        <is>
          <t>Departamento</t>
        </is>
      </c>
      <c r="F912" t="inlineStr">
        <is>
          <t>201</t>
        </is>
      </c>
      <c r="G912" s="39" t="n">
        <v>518500</v>
      </c>
      <c r="H912" s="39" t="n">
        <v>469500</v>
      </c>
      <c r="I912" t="inlineStr">
        <is>
          <t>Edificio</t>
        </is>
      </c>
      <c r="J912" t="inlineStr">
        <is>
          <t>A</t>
        </is>
      </c>
      <c r="K912" t="inlineStr">
        <is>
          <t>Estacionamiento</t>
        </is>
      </c>
      <c r="L912" t="inlineStr">
        <is>
          <t>E 16</t>
        </is>
      </c>
      <c r="M912" s="39" t="n">
        <v>50400</v>
      </c>
      <c r="N912" s="39" t="n">
        <v>50400</v>
      </c>
      <c r="S912" s="39" t="n"/>
      <c r="T912" s="39" t="n"/>
      <c r="Y912" s="39" t="n"/>
      <c r="Z912" s="39" t="n"/>
      <c r="AA912" t="inlineStr">
        <is>
          <t>Marco Antonio Cordova Oropeza</t>
        </is>
      </c>
      <c r="AB912" t="inlineStr">
        <is>
          <t>22079563</t>
        </is>
      </c>
      <c r="AC912" t="inlineStr">
        <is>
          <t>Av.Cayetano Heredia 435 Int.1 Urb Fundo Oyague</t>
        </is>
      </c>
      <c r="AD912" t="n">
        <v>0</v>
      </c>
      <c r="AE912" t="inlineStr">
        <is>
          <t>1513-257-6062</t>
        </is>
      </c>
      <c r="AF912" t="inlineStr">
        <is>
          <t>maancoor@gmail.com</t>
        </is>
      </c>
      <c r="AG912" t="inlineStr">
        <is>
          <t>LIMA</t>
        </is>
      </c>
      <c r="AH912" t="inlineStr">
        <is>
          <t>JESUS MARIA</t>
        </is>
      </c>
      <c r="AI912" s="116" t="n">
        <v>46474</v>
      </c>
      <c r="AJ912" s="116" t="n"/>
      <c r="AK912" t="inlineStr">
        <is>
          <t>SALDO FINANCIAR</t>
        </is>
      </c>
      <c r="AL912" t="n">
        <v>9</v>
      </c>
      <c r="AM912" t="n">
        <v>37270.91</v>
      </c>
      <c r="AN912" t="n">
        <v>0</v>
      </c>
      <c r="AO912" t="n">
        <v>0</v>
      </c>
      <c r="AP912" s="39" t="n">
        <v>37270.91</v>
      </c>
      <c r="AQ912" s="39" t="n">
        <v>0</v>
      </c>
      <c r="AR912" s="39" t="n">
        <v>37270.91</v>
      </c>
      <c r="AT912" t="inlineStr">
        <is>
          <t>Crédito Directo</t>
        </is>
      </c>
      <c r="AZ912" t="inlineStr">
        <is>
          <t>No</t>
        </is>
      </c>
      <c r="BC912" t="inlineStr">
        <is>
          <t>PENDIENTE</t>
        </is>
      </c>
      <c r="BN912" t="inlineStr">
        <is>
          <t>No</t>
        </is>
      </c>
      <c r="BO912" s="117" t="n">
        <v>45986.54513888889</v>
      </c>
      <c r="BP912" t="inlineStr">
        <is>
          <t>Magaly Guevara Perez</t>
        </is>
      </c>
      <c r="BR912" t="n">
        <v>1</v>
      </c>
      <c r="BT912" t="n">
        <v>0</v>
      </c>
      <c r="BX912" t="inlineStr">
        <is>
          <t>Cobranzas_2027.csv</t>
        </is>
      </c>
      <c r="BY912" t="n">
        <v>2027</v>
      </c>
      <c r="BZ912" t="inlineStr">
        <is>
          <t>01/01/2024</t>
        </is>
      </c>
      <c r="CA912" t="inlineStr">
        <is>
          <t>30/09/2031</t>
        </is>
      </c>
    </row>
    <row r="913">
      <c r="A913" t="inlineStr">
        <is>
          <t>RESIDENCIAL BEYOND</t>
        </is>
      </c>
      <c r="B913" t="inlineStr">
        <is>
          <t>Etapa 1</t>
        </is>
      </c>
      <c r="C913" t="inlineStr">
        <is>
          <t>Edificio</t>
        </is>
      </c>
      <c r="D913" t="inlineStr">
        <is>
          <t>A</t>
        </is>
      </c>
      <c r="E913" t="inlineStr">
        <is>
          <t>Departamento</t>
        </is>
      </c>
      <c r="F913" t="inlineStr">
        <is>
          <t>201</t>
        </is>
      </c>
      <c r="G913" s="39" t="n">
        <v>518500</v>
      </c>
      <c r="H913" s="39" t="n">
        <v>469500</v>
      </c>
      <c r="I913" t="inlineStr">
        <is>
          <t>Edificio</t>
        </is>
      </c>
      <c r="J913" t="inlineStr">
        <is>
          <t>A</t>
        </is>
      </c>
      <c r="K913" t="inlineStr">
        <is>
          <t>Estacionamiento</t>
        </is>
      </c>
      <c r="L913" t="inlineStr">
        <is>
          <t>E 16</t>
        </is>
      </c>
      <c r="M913" s="39" t="n">
        <v>50400</v>
      </c>
      <c r="N913" s="39" t="n">
        <v>50400</v>
      </c>
      <c r="S913" s="39" t="n"/>
      <c r="T913" s="39" t="n"/>
      <c r="Y913" s="39" t="n"/>
      <c r="Z913" s="39" t="n"/>
      <c r="AA913" t="inlineStr">
        <is>
          <t>Marco Antonio Cordova Oropeza</t>
        </is>
      </c>
      <c r="AB913" t="inlineStr">
        <is>
          <t>22079563</t>
        </is>
      </c>
      <c r="AC913" t="inlineStr">
        <is>
          <t>Av.Cayetano Heredia 435 Int.1 Urb Fundo Oyague</t>
        </is>
      </c>
      <c r="AD913" t="n">
        <v>0</v>
      </c>
      <c r="AE913" t="inlineStr">
        <is>
          <t>1513-257-6062</t>
        </is>
      </c>
      <c r="AF913" t="inlineStr">
        <is>
          <t>maancoor@gmail.com</t>
        </is>
      </c>
      <c r="AG913" t="inlineStr">
        <is>
          <t>LIMA</t>
        </is>
      </c>
      <c r="AH913" t="inlineStr">
        <is>
          <t>JESUS MARIA</t>
        </is>
      </c>
      <c r="AI913" s="116" t="n">
        <v>46505</v>
      </c>
      <c r="AJ913" s="116" t="n"/>
      <c r="AK913" t="inlineStr">
        <is>
          <t>SALDO FINANCIAR</t>
        </is>
      </c>
      <c r="AL913" t="n">
        <v>10</v>
      </c>
      <c r="AM913" t="n">
        <v>37270.91</v>
      </c>
      <c r="AN913" t="n">
        <v>0</v>
      </c>
      <c r="AO913" t="n">
        <v>0</v>
      </c>
      <c r="AP913" s="39" t="n">
        <v>37270.91</v>
      </c>
      <c r="AQ913" s="39" t="n">
        <v>0</v>
      </c>
      <c r="AR913" s="39" t="n">
        <v>37270.91</v>
      </c>
      <c r="AT913" t="inlineStr">
        <is>
          <t>Crédito Directo</t>
        </is>
      </c>
      <c r="AZ913" t="inlineStr">
        <is>
          <t>No</t>
        </is>
      </c>
      <c r="BC913" t="inlineStr">
        <is>
          <t>PENDIENTE</t>
        </is>
      </c>
      <c r="BN913" t="inlineStr">
        <is>
          <t>No</t>
        </is>
      </c>
      <c r="BO913" s="117" t="n">
        <v>45986.54513888889</v>
      </c>
      <c r="BP913" t="inlineStr">
        <is>
          <t>Magaly Guevara Perez</t>
        </is>
      </c>
      <c r="BR913" t="n">
        <v>1</v>
      </c>
      <c r="BT913" t="n">
        <v>0</v>
      </c>
      <c r="BX913" t="inlineStr">
        <is>
          <t>Cobranzas_2027.csv</t>
        </is>
      </c>
      <c r="BY913" t="n">
        <v>2027</v>
      </c>
      <c r="BZ913" t="inlineStr">
        <is>
          <t>01/01/2024</t>
        </is>
      </c>
      <c r="CA913" t="inlineStr">
        <is>
          <t>30/09/2031</t>
        </is>
      </c>
    </row>
    <row r="914">
      <c r="A914" t="inlineStr">
        <is>
          <t>RESIDENCIAL BEYOND</t>
        </is>
      </c>
      <c r="B914" t="inlineStr">
        <is>
          <t>Etapa 1</t>
        </is>
      </c>
      <c r="C914" t="inlineStr">
        <is>
          <t>Edificio</t>
        </is>
      </c>
      <c r="D914" t="inlineStr">
        <is>
          <t>A</t>
        </is>
      </c>
      <c r="E914" t="inlineStr">
        <is>
          <t>Departamento</t>
        </is>
      </c>
      <c r="F914" t="inlineStr">
        <is>
          <t>201</t>
        </is>
      </c>
      <c r="G914" s="39" t="n">
        <v>518500</v>
      </c>
      <c r="H914" s="39" t="n">
        <v>469500</v>
      </c>
      <c r="I914" t="inlineStr">
        <is>
          <t>Edificio</t>
        </is>
      </c>
      <c r="J914" t="inlineStr">
        <is>
          <t>A</t>
        </is>
      </c>
      <c r="K914" t="inlineStr">
        <is>
          <t>Estacionamiento</t>
        </is>
      </c>
      <c r="L914" t="inlineStr">
        <is>
          <t>E 16</t>
        </is>
      </c>
      <c r="M914" s="39" t="n">
        <v>50400</v>
      </c>
      <c r="N914" s="39" t="n">
        <v>50400</v>
      </c>
      <c r="S914" s="39" t="n"/>
      <c r="T914" s="39" t="n"/>
      <c r="Y914" s="39" t="n"/>
      <c r="Z914" s="39" t="n"/>
      <c r="AA914" t="inlineStr">
        <is>
          <t>Marco Antonio Cordova Oropeza</t>
        </is>
      </c>
      <c r="AB914" t="inlineStr">
        <is>
          <t>22079563</t>
        </is>
      </c>
      <c r="AC914" t="inlineStr">
        <is>
          <t>Av.Cayetano Heredia 435 Int.1 Urb Fundo Oyague</t>
        </is>
      </c>
      <c r="AD914" t="n">
        <v>0</v>
      </c>
      <c r="AE914" t="inlineStr">
        <is>
          <t>1513-257-6062</t>
        </is>
      </c>
      <c r="AF914" t="inlineStr">
        <is>
          <t>maancoor@gmail.com</t>
        </is>
      </c>
      <c r="AG914" t="inlineStr">
        <is>
          <t>LIMA</t>
        </is>
      </c>
      <c r="AH914" t="inlineStr">
        <is>
          <t>JESUS MARIA</t>
        </is>
      </c>
      <c r="AI914" s="116" t="n">
        <v>46535</v>
      </c>
      <c r="AJ914" s="116" t="n"/>
      <c r="AK914" t="inlineStr">
        <is>
          <t>SALDO FINANCIAR</t>
        </is>
      </c>
      <c r="AL914" t="n">
        <v>11</v>
      </c>
      <c r="AM914" t="n">
        <v>37270.9</v>
      </c>
      <c r="AN914" t="n">
        <v>0</v>
      </c>
      <c r="AO914" t="n">
        <v>0</v>
      </c>
      <c r="AP914" s="39" t="n">
        <v>37270.9</v>
      </c>
      <c r="AQ914" s="39" t="n">
        <v>0</v>
      </c>
      <c r="AR914" s="39" t="n">
        <v>37270.9</v>
      </c>
      <c r="AT914" t="inlineStr">
        <is>
          <t>Crédito Directo</t>
        </is>
      </c>
      <c r="AZ914" t="inlineStr">
        <is>
          <t>No</t>
        </is>
      </c>
      <c r="BC914" t="inlineStr">
        <is>
          <t>PENDIENTE</t>
        </is>
      </c>
      <c r="BN914" t="inlineStr">
        <is>
          <t>No</t>
        </is>
      </c>
      <c r="BO914" s="117" t="n">
        <v>45986.54513888889</v>
      </c>
      <c r="BP914" t="inlineStr">
        <is>
          <t>Magaly Guevara Perez</t>
        </is>
      </c>
      <c r="BR914" t="n">
        <v>1</v>
      </c>
      <c r="BT914" t="n">
        <v>0</v>
      </c>
      <c r="BX914" t="inlineStr">
        <is>
          <t>Cobranzas_2027.csv</t>
        </is>
      </c>
      <c r="BY914" t="n">
        <v>2027</v>
      </c>
      <c r="BZ914" t="inlineStr">
        <is>
          <t>01/01/2024</t>
        </is>
      </c>
      <c r="CA914" t="inlineStr">
        <is>
          <t>30/09/2031</t>
        </is>
      </c>
    </row>
    <row r="915">
      <c r="A915" t="inlineStr">
        <is>
          <t>RESIDENCIAL BEYOND</t>
        </is>
      </c>
      <c r="B915" t="inlineStr">
        <is>
          <t>Etapa 1</t>
        </is>
      </c>
      <c r="C915" t="inlineStr">
        <is>
          <t>Edificio</t>
        </is>
      </c>
      <c r="D915" t="inlineStr">
        <is>
          <t>A</t>
        </is>
      </c>
      <c r="E915" t="inlineStr">
        <is>
          <t>Estacionamiento</t>
        </is>
      </c>
      <c r="F915" t="inlineStr">
        <is>
          <t>E 02</t>
        </is>
      </c>
      <c r="G915" s="39" t="n">
        <v>47500</v>
      </c>
      <c r="H915" s="39" t="n">
        <v>47500</v>
      </c>
      <c r="M915" s="39" t="n"/>
      <c r="N915" s="39" t="n"/>
      <c r="S915" s="39" t="n"/>
      <c r="T915" s="39" t="n"/>
      <c r="Y915" s="39" t="n"/>
      <c r="Z915" s="39" t="n"/>
      <c r="AA915" t="inlineStr">
        <is>
          <t>Margarita Mercedes Lujan Paredes</t>
        </is>
      </c>
      <c r="AB915" t="inlineStr">
        <is>
          <t>06772294</t>
        </is>
      </c>
      <c r="AC915" t="inlineStr">
        <is>
          <t>Jr. Aguarico 1412 Dpto. 202</t>
        </is>
      </c>
      <c r="AD915" t="n">
        <v>0</v>
      </c>
      <c r="AE915" t="inlineStr">
        <is>
          <t>949196249</t>
        </is>
      </c>
      <c r="AF915" t="inlineStr">
        <is>
          <t>maggilujan@hotmail.com</t>
        </is>
      </c>
      <c r="AG915" t="inlineStr">
        <is>
          <t>LIMA</t>
        </is>
      </c>
      <c r="AH915" t="inlineStr">
        <is>
          <t>BREÑA</t>
        </is>
      </c>
      <c r="AI915" s="116" t="n">
        <v>46721</v>
      </c>
      <c r="AJ915" s="116" t="n"/>
      <c r="AK915" t="inlineStr">
        <is>
          <t>SALDO FINANCIAR</t>
        </is>
      </c>
      <c r="AL915" t="n">
        <v>1</v>
      </c>
      <c r="AM915" t="n">
        <v>38000</v>
      </c>
      <c r="AN915" t="n">
        <v>0</v>
      </c>
      <c r="AO915" t="n">
        <v>0</v>
      </c>
      <c r="AP915" s="39" t="n">
        <v>38000</v>
      </c>
      <c r="AQ915" s="39" t="n">
        <v>0</v>
      </c>
      <c r="AR915" s="39" t="n">
        <v>38000</v>
      </c>
      <c r="AT915" t="inlineStr">
        <is>
          <t>Crédito Directo</t>
        </is>
      </c>
      <c r="AZ915" t="inlineStr">
        <is>
          <t>No</t>
        </is>
      </c>
      <c r="BC915" t="inlineStr">
        <is>
          <t>PENDIENTE</t>
        </is>
      </c>
      <c r="BN915" t="inlineStr">
        <is>
          <t>No</t>
        </is>
      </c>
      <c r="BO915" s="117" t="n">
        <v>46020.63680555556</v>
      </c>
      <c r="BP915" t="inlineStr">
        <is>
          <t>Magaly Guevara Perez</t>
        </is>
      </c>
      <c r="BR915" t="n">
        <v>48</v>
      </c>
      <c r="BT915" t="n">
        <v>0</v>
      </c>
      <c r="BX915" t="inlineStr">
        <is>
          <t>Cobranzas_2027.csv</t>
        </is>
      </c>
      <c r="BY915" t="n">
        <v>2027</v>
      </c>
      <c r="BZ915" t="inlineStr">
        <is>
          <t>01/01/2024</t>
        </is>
      </c>
      <c r="CA915" t="inlineStr">
        <is>
          <t>30/09/2031</t>
        </is>
      </c>
    </row>
    <row r="916">
      <c r="A916" t="inlineStr">
        <is>
          <t>RESIDENCIAL BEYOND</t>
        </is>
      </c>
      <c r="B916" t="inlineStr">
        <is>
          <t>Etapa 1</t>
        </is>
      </c>
      <c r="C916" t="inlineStr">
        <is>
          <t>Edificio</t>
        </is>
      </c>
      <c r="D916" t="inlineStr">
        <is>
          <t>A</t>
        </is>
      </c>
      <c r="E916" t="inlineStr">
        <is>
          <t>Departamento</t>
        </is>
      </c>
      <c r="F916" t="inlineStr">
        <is>
          <t>902</t>
        </is>
      </c>
      <c r="G916" s="39" t="n">
        <v>469000</v>
      </c>
      <c r="H916" s="39" t="n">
        <v>429000</v>
      </c>
      <c r="M916" s="39" t="n"/>
      <c r="N916" s="39" t="n"/>
      <c r="S916" s="39" t="n"/>
      <c r="T916" s="39" t="n"/>
      <c r="Y916" s="39" t="n"/>
      <c r="Z916" s="39" t="n"/>
      <c r="AA916" t="inlineStr">
        <is>
          <t>Medaly Mendoza .</t>
        </is>
      </c>
      <c r="AB916" t="inlineStr">
        <is>
          <t>75197073</t>
        </is>
      </c>
      <c r="AC916" t="inlineStr">
        <is>
          <t>.</t>
        </is>
      </c>
      <c r="AD916" t="n">
        <v>0</v>
      </c>
      <c r="AE916" t="inlineStr">
        <is>
          <t>979218897</t>
        </is>
      </c>
      <c r="AF916" t="inlineStr">
        <is>
          <t>medalymendoza223@gmail.com</t>
        </is>
      </c>
      <c r="AG916" t="inlineStr">
        <is>
          <t>LIMA</t>
        </is>
      </c>
      <c r="AH916" t="inlineStr">
        <is>
          <t>JESUS MARIA</t>
        </is>
      </c>
      <c r="AI916" s="116" t="n">
        <v>46417</v>
      </c>
      <c r="AJ916" s="116" t="n"/>
      <c r="AK916" t="inlineStr">
        <is>
          <t>SALDO FINANCIAR</t>
        </is>
      </c>
      <c r="AL916" t="n">
        <v>1</v>
      </c>
      <c r="AM916" t="n">
        <v>386100</v>
      </c>
      <c r="AN916" t="n">
        <v>0</v>
      </c>
      <c r="AO916" t="n">
        <v>0</v>
      </c>
      <c r="AP916" s="39" t="n">
        <v>386100</v>
      </c>
      <c r="AQ916" s="39" t="n">
        <v>0</v>
      </c>
      <c r="AR916" s="39" t="n">
        <v>386100</v>
      </c>
      <c r="AT916" t="inlineStr">
        <is>
          <t>Ahorro</t>
        </is>
      </c>
      <c r="AZ916" t="inlineStr">
        <is>
          <t>No</t>
        </is>
      </c>
      <c r="BC916" t="inlineStr">
        <is>
          <t>PENDIENTE</t>
        </is>
      </c>
      <c r="BN916" t="inlineStr">
        <is>
          <t>No</t>
        </is>
      </c>
      <c r="BO916" s="117" t="n">
        <v>46191.39652777778</v>
      </c>
      <c r="BP916" t="inlineStr">
        <is>
          <t>Kenny Salazar S</t>
        </is>
      </c>
      <c r="BR916" t="n">
        <v>45</v>
      </c>
      <c r="BT916" t="n">
        <v>0</v>
      </c>
      <c r="BX916" t="inlineStr">
        <is>
          <t>Cobranzas_2027.csv</t>
        </is>
      </c>
      <c r="BY916" t="n">
        <v>2027</v>
      </c>
      <c r="BZ916" t="inlineStr">
        <is>
          <t>01/01/2024</t>
        </is>
      </c>
      <c r="CA916" t="inlineStr">
        <is>
          <t>30/09/2031</t>
        </is>
      </c>
    </row>
    <row r="917">
      <c r="A917" t="inlineStr">
        <is>
          <t>RESIDENCIAL BEYOND</t>
        </is>
      </c>
      <c r="B917" t="inlineStr">
        <is>
          <t>Etapa 1</t>
        </is>
      </c>
      <c r="C917" t="inlineStr">
        <is>
          <t>Edificio</t>
        </is>
      </c>
      <c r="D917" t="inlineStr">
        <is>
          <t>A</t>
        </is>
      </c>
      <c r="E917" t="inlineStr">
        <is>
          <t>Departamento</t>
        </is>
      </c>
      <c r="F917" t="inlineStr">
        <is>
          <t>1603</t>
        </is>
      </c>
      <c r="G917" s="39" t="n">
        <v>493700</v>
      </c>
      <c r="H917" s="39" t="n">
        <v>436200</v>
      </c>
      <c r="I917" t="inlineStr">
        <is>
          <t>Edificio</t>
        </is>
      </c>
      <c r="J917" t="inlineStr">
        <is>
          <t>A</t>
        </is>
      </c>
      <c r="K917" t="inlineStr">
        <is>
          <t>Estacionamiento</t>
        </is>
      </c>
      <c r="L917" t="inlineStr">
        <is>
          <t>E 08 - D 08</t>
        </is>
      </c>
      <c r="M917" s="39" t="n">
        <v>53800</v>
      </c>
      <c r="N917" s="39" t="n">
        <v>53800</v>
      </c>
      <c r="S917" s="39" t="n"/>
      <c r="T917" s="39" t="n"/>
      <c r="Y917" s="39" t="n"/>
      <c r="Z917" s="39" t="n"/>
      <c r="AA917" t="inlineStr">
        <is>
          <t>Mohammed Belhaj b</t>
        </is>
      </c>
      <c r="AB917" t="inlineStr">
        <is>
          <t>NUoF6KHK3</t>
        </is>
      </c>
      <c r="AC917" t="inlineStr">
        <is>
          <t>Jr. Los Aromos Coop. Las Flores Mz 21LT. 31</t>
        </is>
      </c>
      <c r="AD917" t="n">
        <v>0</v>
      </c>
      <c r="AE917" t="inlineStr">
        <is>
          <t>922412765</t>
        </is>
      </c>
      <c r="AF917" t="inlineStr">
        <is>
          <t>mo.belhaj@outlook.com</t>
        </is>
      </c>
      <c r="AG917" t="inlineStr">
        <is>
          <t>LIMA</t>
        </is>
      </c>
      <c r="AH917" t="inlineStr">
        <is>
          <t>SAN JUAN DE LURIGANCHO</t>
        </is>
      </c>
      <c r="AI917" s="116" t="n">
        <v>46418</v>
      </c>
      <c r="AJ917" s="116" t="n"/>
      <c r="AK917" t="inlineStr">
        <is>
          <t>SALDO FINANCIAR</t>
        </is>
      </c>
      <c r="AL917" t="n">
        <v>6</v>
      </c>
      <c r="AM917" t="n">
        <v>20008.75</v>
      </c>
      <c r="AN917" t="n">
        <v>0</v>
      </c>
      <c r="AO917" t="n">
        <v>0</v>
      </c>
      <c r="AP917" s="39" t="n">
        <v>20008.75</v>
      </c>
      <c r="AQ917" s="39" t="n">
        <v>0</v>
      </c>
      <c r="AR917" s="39" t="n">
        <v>20008.75</v>
      </c>
      <c r="AT917" t="inlineStr">
        <is>
          <t>Crédito Directo</t>
        </is>
      </c>
      <c r="AZ917" t="inlineStr">
        <is>
          <t>No</t>
        </is>
      </c>
      <c r="BC917" t="inlineStr">
        <is>
          <t>PENDIENTE</t>
        </is>
      </c>
      <c r="BN917" t="inlineStr">
        <is>
          <t>No</t>
        </is>
      </c>
      <c r="BO917" s="117" t="n">
        <v>46181.47777777778</v>
      </c>
      <c r="BP917" t="inlineStr">
        <is>
          <t>Carla Michue M</t>
        </is>
      </c>
      <c r="BR917" t="n">
        <v>9</v>
      </c>
      <c r="BT917" t="n">
        <v>0</v>
      </c>
      <c r="BX917" t="inlineStr">
        <is>
          <t>Cobranzas_2027.csv</t>
        </is>
      </c>
      <c r="BY917" t="n">
        <v>2027</v>
      </c>
      <c r="BZ917" t="inlineStr">
        <is>
          <t>01/01/2024</t>
        </is>
      </c>
      <c r="CA917" t="inlineStr">
        <is>
          <t>30/09/2031</t>
        </is>
      </c>
    </row>
    <row r="918">
      <c r="A918" t="inlineStr">
        <is>
          <t>RESIDENCIAL BEYOND</t>
        </is>
      </c>
      <c r="B918" t="inlineStr">
        <is>
          <t>Etapa 1</t>
        </is>
      </c>
      <c r="C918" t="inlineStr">
        <is>
          <t>Edificio</t>
        </is>
      </c>
      <c r="D918" t="inlineStr">
        <is>
          <t>A</t>
        </is>
      </c>
      <c r="E918" t="inlineStr">
        <is>
          <t>Departamento</t>
        </is>
      </c>
      <c r="F918" t="inlineStr">
        <is>
          <t>1603</t>
        </is>
      </c>
      <c r="G918" s="39" t="n">
        <v>493700</v>
      </c>
      <c r="H918" s="39" t="n">
        <v>436200</v>
      </c>
      <c r="I918" t="inlineStr">
        <is>
          <t>Edificio</t>
        </is>
      </c>
      <c r="J918" t="inlineStr">
        <is>
          <t>A</t>
        </is>
      </c>
      <c r="K918" t="inlineStr">
        <is>
          <t>Estacionamiento</t>
        </is>
      </c>
      <c r="L918" t="inlineStr">
        <is>
          <t>E 08 - D 08</t>
        </is>
      </c>
      <c r="M918" s="39" t="n">
        <v>53800</v>
      </c>
      <c r="N918" s="39" t="n">
        <v>53800</v>
      </c>
      <c r="S918" s="39" t="n"/>
      <c r="T918" s="39" t="n"/>
      <c r="Y918" s="39" t="n"/>
      <c r="Z918" s="39" t="n"/>
      <c r="AA918" t="inlineStr">
        <is>
          <t>Mohammed Belhaj b</t>
        </is>
      </c>
      <c r="AB918" t="inlineStr">
        <is>
          <t>NUoF6KHK3</t>
        </is>
      </c>
      <c r="AC918" t="inlineStr">
        <is>
          <t>Jr. Los Aromos Coop. Las Flores Mz 21LT. 31</t>
        </is>
      </c>
      <c r="AD918" t="n">
        <v>0</v>
      </c>
      <c r="AE918" t="inlineStr">
        <is>
          <t>922412765</t>
        </is>
      </c>
      <c r="AF918" t="inlineStr">
        <is>
          <t>mo.belhaj@outlook.com</t>
        </is>
      </c>
      <c r="AG918" t="inlineStr">
        <is>
          <t>LIMA</t>
        </is>
      </c>
      <c r="AH918" t="inlineStr">
        <is>
          <t>SAN JUAN DE LURIGANCHO</t>
        </is>
      </c>
      <c r="AI918" s="116" t="n">
        <v>46446</v>
      </c>
      <c r="AJ918" s="116" t="n"/>
      <c r="AK918" t="inlineStr">
        <is>
          <t>SALDO FINANCIAR</t>
        </is>
      </c>
      <c r="AL918" t="n">
        <v>7</v>
      </c>
      <c r="AM918" t="n">
        <v>20008.75</v>
      </c>
      <c r="AN918" t="n">
        <v>0</v>
      </c>
      <c r="AO918" t="n">
        <v>0</v>
      </c>
      <c r="AP918" s="39" t="n">
        <v>20008.75</v>
      </c>
      <c r="AQ918" s="39" t="n">
        <v>0</v>
      </c>
      <c r="AR918" s="39" t="n">
        <v>20008.75</v>
      </c>
      <c r="AT918" t="inlineStr">
        <is>
          <t>Crédito Directo</t>
        </is>
      </c>
      <c r="AZ918" t="inlineStr">
        <is>
          <t>No</t>
        </is>
      </c>
      <c r="BC918" t="inlineStr">
        <is>
          <t>PENDIENTE</t>
        </is>
      </c>
      <c r="BN918" t="inlineStr">
        <is>
          <t>No</t>
        </is>
      </c>
      <c r="BO918" s="117" t="n">
        <v>46181.47777777778</v>
      </c>
      <c r="BP918" t="inlineStr">
        <is>
          <t>Carla Michue M</t>
        </is>
      </c>
      <c r="BR918" t="n">
        <v>9</v>
      </c>
      <c r="BT918" t="n">
        <v>0</v>
      </c>
      <c r="BX918" t="inlineStr">
        <is>
          <t>Cobranzas_2027.csv</t>
        </is>
      </c>
      <c r="BY918" t="n">
        <v>2027</v>
      </c>
      <c r="BZ918" t="inlineStr">
        <is>
          <t>01/01/2024</t>
        </is>
      </c>
      <c r="CA918" t="inlineStr">
        <is>
          <t>30/09/2031</t>
        </is>
      </c>
    </row>
    <row r="919">
      <c r="A919" t="inlineStr">
        <is>
          <t>RESIDENCIAL BEYOND</t>
        </is>
      </c>
      <c r="B919" t="inlineStr">
        <is>
          <t>Etapa 1</t>
        </is>
      </c>
      <c r="C919" t="inlineStr">
        <is>
          <t>Edificio</t>
        </is>
      </c>
      <c r="D919" t="inlineStr">
        <is>
          <t>A</t>
        </is>
      </c>
      <c r="E919" t="inlineStr">
        <is>
          <t>Departamento</t>
        </is>
      </c>
      <c r="F919" t="inlineStr">
        <is>
          <t>1603</t>
        </is>
      </c>
      <c r="G919" s="39" t="n">
        <v>493700</v>
      </c>
      <c r="H919" s="39" t="n">
        <v>436200</v>
      </c>
      <c r="I919" t="inlineStr">
        <is>
          <t>Edificio</t>
        </is>
      </c>
      <c r="J919" t="inlineStr">
        <is>
          <t>A</t>
        </is>
      </c>
      <c r="K919" t="inlineStr">
        <is>
          <t>Estacionamiento</t>
        </is>
      </c>
      <c r="L919" t="inlineStr">
        <is>
          <t>E 08 - D 08</t>
        </is>
      </c>
      <c r="M919" s="39" t="n">
        <v>53800</v>
      </c>
      <c r="N919" s="39" t="n">
        <v>53800</v>
      </c>
      <c r="S919" s="39" t="n"/>
      <c r="T919" s="39" t="n"/>
      <c r="Y919" s="39" t="n"/>
      <c r="Z919" s="39" t="n"/>
      <c r="AA919" t="inlineStr">
        <is>
          <t>Mohammed Belhaj b</t>
        </is>
      </c>
      <c r="AB919" t="inlineStr">
        <is>
          <t>NUoF6KHK3</t>
        </is>
      </c>
      <c r="AC919" t="inlineStr">
        <is>
          <t>Jr. Los Aromos Coop. Las Flores Mz 21LT. 31</t>
        </is>
      </c>
      <c r="AD919" t="n">
        <v>0</v>
      </c>
      <c r="AE919" t="inlineStr">
        <is>
          <t>922412765</t>
        </is>
      </c>
      <c r="AF919" t="inlineStr">
        <is>
          <t>mo.belhaj@outlook.com</t>
        </is>
      </c>
      <c r="AG919" t="inlineStr">
        <is>
          <t>LIMA</t>
        </is>
      </c>
      <c r="AH919" t="inlineStr">
        <is>
          <t>SAN JUAN DE LURIGANCHO</t>
        </is>
      </c>
      <c r="AI919" s="116" t="n">
        <v>46477</v>
      </c>
      <c r="AJ919" s="116" t="n"/>
      <c r="AK919" t="inlineStr">
        <is>
          <t>SALDO FINANCIAR</t>
        </is>
      </c>
      <c r="AL919" t="n">
        <v>8</v>
      </c>
      <c r="AM919" t="n">
        <v>20008.75</v>
      </c>
      <c r="AN919" t="n">
        <v>0</v>
      </c>
      <c r="AO919" t="n">
        <v>0</v>
      </c>
      <c r="AP919" s="39" t="n">
        <v>20008.75</v>
      </c>
      <c r="AQ919" s="39" t="n">
        <v>0</v>
      </c>
      <c r="AR919" s="39" t="n">
        <v>20008.75</v>
      </c>
      <c r="AT919" t="inlineStr">
        <is>
          <t>Crédito Directo</t>
        </is>
      </c>
      <c r="AZ919" t="inlineStr">
        <is>
          <t>No</t>
        </is>
      </c>
      <c r="BC919" t="inlineStr">
        <is>
          <t>PENDIENTE</t>
        </is>
      </c>
      <c r="BN919" t="inlineStr">
        <is>
          <t>No</t>
        </is>
      </c>
      <c r="BO919" s="117" t="n">
        <v>46181.47777777778</v>
      </c>
      <c r="BP919" t="inlineStr">
        <is>
          <t>Carla Michue M</t>
        </is>
      </c>
      <c r="BR919" t="n">
        <v>9</v>
      </c>
      <c r="BT919" t="n">
        <v>0</v>
      </c>
      <c r="BX919" t="inlineStr">
        <is>
          <t>Cobranzas_2027.csv</t>
        </is>
      </c>
      <c r="BY919" t="n">
        <v>2027</v>
      </c>
      <c r="BZ919" t="inlineStr">
        <is>
          <t>01/01/2024</t>
        </is>
      </c>
      <c r="CA919" t="inlineStr">
        <is>
          <t>30/09/2031</t>
        </is>
      </c>
    </row>
    <row r="920">
      <c r="A920" t="inlineStr">
        <is>
          <t>RESIDENCIAL BEYOND</t>
        </is>
      </c>
      <c r="B920" t="inlineStr">
        <is>
          <t>Etapa 1</t>
        </is>
      </c>
      <c r="C920" t="inlineStr">
        <is>
          <t>Edificio</t>
        </is>
      </c>
      <c r="D920" t="inlineStr">
        <is>
          <t>A</t>
        </is>
      </c>
      <c r="E920" t="inlineStr">
        <is>
          <t>Departamento</t>
        </is>
      </c>
      <c r="F920" t="inlineStr">
        <is>
          <t>1603</t>
        </is>
      </c>
      <c r="G920" s="39" t="n">
        <v>493700</v>
      </c>
      <c r="H920" s="39" t="n">
        <v>436200</v>
      </c>
      <c r="I920" t="inlineStr">
        <is>
          <t>Edificio</t>
        </is>
      </c>
      <c r="J920" t="inlineStr">
        <is>
          <t>A</t>
        </is>
      </c>
      <c r="K920" t="inlineStr">
        <is>
          <t>Estacionamiento</t>
        </is>
      </c>
      <c r="L920" t="inlineStr">
        <is>
          <t>E 08 - D 08</t>
        </is>
      </c>
      <c r="M920" s="39" t="n">
        <v>53800</v>
      </c>
      <c r="N920" s="39" t="n">
        <v>53800</v>
      </c>
      <c r="S920" s="39" t="n"/>
      <c r="T920" s="39" t="n"/>
      <c r="Y920" s="39" t="n"/>
      <c r="Z920" s="39" t="n"/>
      <c r="AA920" t="inlineStr">
        <is>
          <t>Mohammed Belhaj b</t>
        </is>
      </c>
      <c r="AB920" t="inlineStr">
        <is>
          <t>NUoF6KHK3</t>
        </is>
      </c>
      <c r="AC920" t="inlineStr">
        <is>
          <t>Jr. Los Aromos Coop. Las Flores Mz 21LT. 31</t>
        </is>
      </c>
      <c r="AD920" t="n">
        <v>0</v>
      </c>
      <c r="AE920" t="inlineStr">
        <is>
          <t>922412765</t>
        </is>
      </c>
      <c r="AF920" t="inlineStr">
        <is>
          <t>mo.belhaj@outlook.com</t>
        </is>
      </c>
      <c r="AG920" t="inlineStr">
        <is>
          <t>LIMA</t>
        </is>
      </c>
      <c r="AH920" t="inlineStr">
        <is>
          <t>SAN JUAN DE LURIGANCHO</t>
        </is>
      </c>
      <c r="AI920" s="116" t="n">
        <v>46507</v>
      </c>
      <c r="AJ920" s="116" t="n"/>
      <c r="AK920" t="inlineStr">
        <is>
          <t>SALDO FINANCIAR</t>
        </is>
      </c>
      <c r="AL920" t="n">
        <v>9</v>
      </c>
      <c r="AM920" t="n">
        <v>20008.79</v>
      </c>
      <c r="AN920" t="n">
        <v>0</v>
      </c>
      <c r="AO920" t="n">
        <v>0</v>
      </c>
      <c r="AP920" s="39" t="n">
        <v>20008.79</v>
      </c>
      <c r="AQ920" s="39" t="n">
        <v>0</v>
      </c>
      <c r="AR920" s="39" t="n">
        <v>20008.79</v>
      </c>
      <c r="AT920" t="inlineStr">
        <is>
          <t>Crédito Directo</t>
        </is>
      </c>
      <c r="AZ920" t="inlineStr">
        <is>
          <t>No</t>
        </is>
      </c>
      <c r="BC920" t="inlineStr">
        <is>
          <t>PENDIENTE</t>
        </is>
      </c>
      <c r="BN920" t="inlineStr">
        <is>
          <t>No</t>
        </is>
      </c>
      <c r="BO920" s="117" t="n">
        <v>46181.47777777778</v>
      </c>
      <c r="BP920" t="inlineStr">
        <is>
          <t>Carla Michue M</t>
        </is>
      </c>
      <c r="BR920" t="n">
        <v>9</v>
      </c>
      <c r="BT920" t="n">
        <v>0</v>
      </c>
      <c r="BX920" t="inlineStr">
        <is>
          <t>Cobranzas_2027.csv</t>
        </is>
      </c>
      <c r="BY920" t="n">
        <v>2027</v>
      </c>
      <c r="BZ920" t="inlineStr">
        <is>
          <t>01/01/2024</t>
        </is>
      </c>
      <c r="CA920" t="inlineStr">
        <is>
          <t>30/09/2031</t>
        </is>
      </c>
    </row>
    <row r="921">
      <c r="A921" t="inlineStr">
        <is>
          <t>RESIDENCIAL VENECIA</t>
        </is>
      </c>
      <c r="B921" t="inlineStr">
        <is>
          <t>Etapa 1</t>
        </is>
      </c>
      <c r="C921" t="inlineStr">
        <is>
          <t>Edificio</t>
        </is>
      </c>
      <c r="D921" t="inlineStr">
        <is>
          <t>A</t>
        </is>
      </c>
      <c r="E921" t="inlineStr">
        <is>
          <t>Departamento</t>
        </is>
      </c>
      <c r="F921" t="inlineStr">
        <is>
          <t>601</t>
        </is>
      </c>
      <c r="G921" s="39" t="n">
        <v>545000</v>
      </c>
      <c r="H921" s="39" t="n">
        <v>545000</v>
      </c>
      <c r="I921" t="inlineStr">
        <is>
          <t>Edificio</t>
        </is>
      </c>
      <c r="J921" t="inlineStr">
        <is>
          <t>A</t>
        </is>
      </c>
      <c r="K921" t="inlineStr">
        <is>
          <t>Estacionamiento</t>
        </is>
      </c>
      <c r="L921" t="inlineStr">
        <is>
          <t>E 11</t>
        </is>
      </c>
      <c r="M921" s="39" t="n">
        <v>50800</v>
      </c>
      <c r="N921" s="39" t="n">
        <v>50800</v>
      </c>
      <c r="S921" s="39" t="n"/>
      <c r="T921" s="39" t="n"/>
      <c r="Y921" s="39" t="n"/>
      <c r="Z921" s="39" t="n"/>
      <c r="AA921" t="inlineStr">
        <is>
          <t>Norma Luz Tello Contreras</t>
        </is>
      </c>
      <c r="AB921" t="inlineStr">
        <is>
          <t>04063971</t>
        </is>
      </c>
      <c r="AC921" t="inlineStr">
        <is>
          <t>Av. Militar 1745 - Dpto. 1202</t>
        </is>
      </c>
      <c r="AD921" t="n">
        <v>0</v>
      </c>
      <c r="AE921" t="inlineStr">
        <is>
          <t>952305311</t>
        </is>
      </c>
      <c r="AF921" t="inlineStr">
        <is>
          <t>normatello@gmail.com</t>
        </is>
      </c>
      <c r="AG921" t="inlineStr">
        <is>
          <t>LIMA</t>
        </is>
      </c>
      <c r="AH921" t="inlineStr">
        <is>
          <t>LA VICTORIA</t>
        </is>
      </c>
      <c r="AI921" s="116" t="n">
        <v>46417</v>
      </c>
      <c r="AJ921" s="116" t="n"/>
      <c r="AK921" t="inlineStr">
        <is>
          <t>SALDO FINANCIAR</t>
        </is>
      </c>
      <c r="AL921" t="n">
        <v>17</v>
      </c>
      <c r="AM921" t="n">
        <v>6000</v>
      </c>
      <c r="AN921" t="n">
        <v>0</v>
      </c>
      <c r="AO921" t="n">
        <v>0</v>
      </c>
      <c r="AP921" s="39" t="n">
        <v>6000</v>
      </c>
      <c r="AQ921" s="39" t="n">
        <v>0</v>
      </c>
      <c r="AR921" s="39" t="n">
        <v>6000</v>
      </c>
      <c r="AT921" t="inlineStr">
        <is>
          <t>Crédito Directo</t>
        </is>
      </c>
      <c r="AZ921" t="inlineStr">
        <is>
          <t>No</t>
        </is>
      </c>
      <c r="BC921" t="inlineStr">
        <is>
          <t>PENDIENTE</t>
        </is>
      </c>
      <c r="BN921" t="inlineStr">
        <is>
          <t>No</t>
        </is>
      </c>
      <c r="BO921" s="117" t="n">
        <v>45857.51944444444</v>
      </c>
      <c r="BP921" t="inlineStr">
        <is>
          <t>Magaly Guevara Perez</t>
        </is>
      </c>
      <c r="BR921" t="n">
        <v>11</v>
      </c>
      <c r="BT921" t="n">
        <v>0</v>
      </c>
      <c r="BX921" t="inlineStr">
        <is>
          <t>Cobranzas_2027.csv</t>
        </is>
      </c>
      <c r="BY921" t="n">
        <v>2027</v>
      </c>
      <c r="BZ921" t="inlineStr">
        <is>
          <t>01/01/2024</t>
        </is>
      </c>
      <c r="CA921" t="inlineStr">
        <is>
          <t>30/09/2031</t>
        </is>
      </c>
    </row>
    <row r="922">
      <c r="A922" t="inlineStr">
        <is>
          <t>RESIDENCIAL VENECIA</t>
        </is>
      </c>
      <c r="B922" t="inlineStr">
        <is>
          <t>Etapa 1</t>
        </is>
      </c>
      <c r="C922" t="inlineStr">
        <is>
          <t>Edificio</t>
        </is>
      </c>
      <c r="D922" t="inlineStr">
        <is>
          <t>A</t>
        </is>
      </c>
      <c r="E922" t="inlineStr">
        <is>
          <t>Departamento</t>
        </is>
      </c>
      <c r="F922" t="inlineStr">
        <is>
          <t>601</t>
        </is>
      </c>
      <c r="G922" s="39" t="n">
        <v>545000</v>
      </c>
      <c r="H922" s="39" t="n">
        <v>545000</v>
      </c>
      <c r="I922" t="inlineStr">
        <is>
          <t>Edificio</t>
        </is>
      </c>
      <c r="J922" t="inlineStr">
        <is>
          <t>A</t>
        </is>
      </c>
      <c r="K922" t="inlineStr">
        <is>
          <t>Estacionamiento</t>
        </is>
      </c>
      <c r="L922" t="inlineStr">
        <is>
          <t>E 11</t>
        </is>
      </c>
      <c r="M922" s="39" t="n">
        <v>50800</v>
      </c>
      <c r="N922" s="39" t="n">
        <v>50800</v>
      </c>
      <c r="S922" s="39" t="n"/>
      <c r="T922" s="39" t="n"/>
      <c r="Y922" s="39" t="n"/>
      <c r="Z922" s="39" t="n"/>
      <c r="AA922" t="inlineStr">
        <is>
          <t>Norma Luz Tello Contreras</t>
        </is>
      </c>
      <c r="AB922" t="inlineStr">
        <is>
          <t>04063971</t>
        </is>
      </c>
      <c r="AC922" t="inlineStr">
        <is>
          <t>Av. Militar 1745 - Dpto. 1202</t>
        </is>
      </c>
      <c r="AD922" t="n">
        <v>0</v>
      </c>
      <c r="AE922" t="inlineStr">
        <is>
          <t>952305311</t>
        </is>
      </c>
      <c r="AF922" t="inlineStr">
        <is>
          <t>normatello@gmail.com</t>
        </is>
      </c>
      <c r="AG922" t="inlineStr">
        <is>
          <t>LIMA</t>
        </is>
      </c>
      <c r="AH922" t="inlineStr">
        <is>
          <t>LA VICTORIA</t>
        </is>
      </c>
      <c r="AI922" s="116" t="n">
        <v>46446</v>
      </c>
      <c r="AJ922" s="116" t="n"/>
      <c r="AK922" t="inlineStr">
        <is>
          <t>SALDO FINANCIAR</t>
        </is>
      </c>
      <c r="AL922" t="n">
        <v>18</v>
      </c>
      <c r="AM922" t="n">
        <v>6000</v>
      </c>
      <c r="AN922" t="n">
        <v>0</v>
      </c>
      <c r="AO922" t="n">
        <v>0</v>
      </c>
      <c r="AP922" s="39" t="n">
        <v>6000</v>
      </c>
      <c r="AQ922" s="39" t="n">
        <v>0</v>
      </c>
      <c r="AR922" s="39" t="n">
        <v>6000</v>
      </c>
      <c r="AT922" t="inlineStr">
        <is>
          <t>Crédito Directo</t>
        </is>
      </c>
      <c r="AZ922" t="inlineStr">
        <is>
          <t>No</t>
        </is>
      </c>
      <c r="BC922" t="inlineStr">
        <is>
          <t>PENDIENTE</t>
        </is>
      </c>
      <c r="BN922" t="inlineStr">
        <is>
          <t>No</t>
        </is>
      </c>
      <c r="BO922" s="117" t="n">
        <v>45857.51944444444</v>
      </c>
      <c r="BP922" t="inlineStr">
        <is>
          <t>Magaly Guevara Perez</t>
        </is>
      </c>
      <c r="BR922" t="n">
        <v>11</v>
      </c>
      <c r="BT922" t="n">
        <v>0</v>
      </c>
      <c r="BX922" t="inlineStr">
        <is>
          <t>Cobranzas_2027.csv</t>
        </is>
      </c>
      <c r="BY922" t="n">
        <v>2027</v>
      </c>
      <c r="BZ922" t="inlineStr">
        <is>
          <t>01/01/2024</t>
        </is>
      </c>
      <c r="CA922" t="inlineStr">
        <is>
          <t>30/09/2031</t>
        </is>
      </c>
    </row>
    <row r="923">
      <c r="A923" t="inlineStr">
        <is>
          <t>RESIDENCIAL VENECIA</t>
        </is>
      </c>
      <c r="B923" t="inlineStr">
        <is>
          <t>Etapa 1</t>
        </is>
      </c>
      <c r="C923" t="inlineStr">
        <is>
          <t>Edificio</t>
        </is>
      </c>
      <c r="D923" t="inlineStr">
        <is>
          <t>A</t>
        </is>
      </c>
      <c r="E923" t="inlineStr">
        <is>
          <t>Departamento</t>
        </is>
      </c>
      <c r="F923" t="inlineStr">
        <is>
          <t>601</t>
        </is>
      </c>
      <c r="G923" s="39" t="n">
        <v>545000</v>
      </c>
      <c r="H923" s="39" t="n">
        <v>545000</v>
      </c>
      <c r="I923" t="inlineStr">
        <is>
          <t>Edificio</t>
        </is>
      </c>
      <c r="J923" t="inlineStr">
        <is>
          <t>A</t>
        </is>
      </c>
      <c r="K923" t="inlineStr">
        <is>
          <t>Estacionamiento</t>
        </is>
      </c>
      <c r="L923" t="inlineStr">
        <is>
          <t>E 11</t>
        </is>
      </c>
      <c r="M923" s="39" t="n">
        <v>50800</v>
      </c>
      <c r="N923" s="39" t="n">
        <v>50800</v>
      </c>
      <c r="S923" s="39" t="n"/>
      <c r="T923" s="39" t="n"/>
      <c r="Y923" s="39" t="n"/>
      <c r="Z923" s="39" t="n"/>
      <c r="AA923" t="inlineStr">
        <is>
          <t>Norma Luz Tello Contreras</t>
        </is>
      </c>
      <c r="AB923" t="inlineStr">
        <is>
          <t>04063971</t>
        </is>
      </c>
      <c r="AC923" t="inlineStr">
        <is>
          <t>Av. Militar 1745 - Dpto. 1202</t>
        </is>
      </c>
      <c r="AD923" t="n">
        <v>0</v>
      </c>
      <c r="AE923" t="inlineStr">
        <is>
          <t>952305311</t>
        </is>
      </c>
      <c r="AF923" t="inlineStr">
        <is>
          <t>normatello@gmail.com</t>
        </is>
      </c>
      <c r="AG923" t="inlineStr">
        <is>
          <t>LIMA</t>
        </is>
      </c>
      <c r="AH923" t="inlineStr">
        <is>
          <t>LA VICTORIA</t>
        </is>
      </c>
      <c r="AI923" s="116" t="n">
        <v>46476</v>
      </c>
      <c r="AJ923" s="116" t="n"/>
      <c r="AK923" t="inlineStr">
        <is>
          <t>SALDO FINANCIAR</t>
        </is>
      </c>
      <c r="AL923" t="n">
        <v>19</v>
      </c>
      <c r="AM923" t="n">
        <v>6000</v>
      </c>
      <c r="AN923" t="n">
        <v>0</v>
      </c>
      <c r="AO923" t="n">
        <v>0</v>
      </c>
      <c r="AP923" s="39" t="n">
        <v>6000</v>
      </c>
      <c r="AQ923" s="39" t="n">
        <v>0</v>
      </c>
      <c r="AR923" s="39" t="n">
        <v>6000</v>
      </c>
      <c r="AT923" t="inlineStr">
        <is>
          <t>Crédito Directo</t>
        </is>
      </c>
      <c r="AZ923" t="inlineStr">
        <is>
          <t>No</t>
        </is>
      </c>
      <c r="BC923" t="inlineStr">
        <is>
          <t>PENDIENTE</t>
        </is>
      </c>
      <c r="BN923" t="inlineStr">
        <is>
          <t>No</t>
        </is>
      </c>
      <c r="BO923" s="117" t="n">
        <v>45857.51944444444</v>
      </c>
      <c r="BP923" t="inlineStr">
        <is>
          <t>Magaly Guevara Perez</t>
        </is>
      </c>
      <c r="BR923" t="n">
        <v>11</v>
      </c>
      <c r="BT923" t="n">
        <v>0</v>
      </c>
      <c r="BX923" t="inlineStr">
        <is>
          <t>Cobranzas_2027.csv</t>
        </is>
      </c>
      <c r="BY923" t="n">
        <v>2027</v>
      </c>
      <c r="BZ923" t="inlineStr">
        <is>
          <t>01/01/2024</t>
        </is>
      </c>
      <c r="CA923" t="inlineStr">
        <is>
          <t>30/09/2031</t>
        </is>
      </c>
    </row>
    <row r="924">
      <c r="A924" t="inlineStr">
        <is>
          <t>RESIDENCIAL VENECIA</t>
        </is>
      </c>
      <c r="B924" t="inlineStr">
        <is>
          <t>Etapa 1</t>
        </is>
      </c>
      <c r="C924" t="inlineStr">
        <is>
          <t>Edificio</t>
        </is>
      </c>
      <c r="D924" t="inlineStr">
        <is>
          <t>A</t>
        </is>
      </c>
      <c r="E924" t="inlineStr">
        <is>
          <t>Departamento</t>
        </is>
      </c>
      <c r="F924" t="inlineStr">
        <is>
          <t>601</t>
        </is>
      </c>
      <c r="G924" s="39" t="n">
        <v>545000</v>
      </c>
      <c r="H924" s="39" t="n">
        <v>545000</v>
      </c>
      <c r="I924" t="inlineStr">
        <is>
          <t>Edificio</t>
        </is>
      </c>
      <c r="J924" t="inlineStr">
        <is>
          <t>A</t>
        </is>
      </c>
      <c r="K924" t="inlineStr">
        <is>
          <t>Estacionamiento</t>
        </is>
      </c>
      <c r="L924" t="inlineStr">
        <is>
          <t>E 11</t>
        </is>
      </c>
      <c r="M924" s="39" t="n">
        <v>50800</v>
      </c>
      <c r="N924" s="39" t="n">
        <v>50800</v>
      </c>
      <c r="S924" s="39" t="n"/>
      <c r="T924" s="39" t="n"/>
      <c r="Y924" s="39" t="n"/>
      <c r="Z924" s="39" t="n"/>
      <c r="AA924" t="inlineStr">
        <is>
          <t>Norma Luz Tello Contreras</t>
        </is>
      </c>
      <c r="AB924" t="inlineStr">
        <is>
          <t>04063971</t>
        </is>
      </c>
      <c r="AC924" t="inlineStr">
        <is>
          <t>Av. Militar 1745 - Dpto. 1202</t>
        </is>
      </c>
      <c r="AD924" t="n">
        <v>0</v>
      </c>
      <c r="AE924" t="inlineStr">
        <is>
          <t>952305311</t>
        </is>
      </c>
      <c r="AF924" t="inlineStr">
        <is>
          <t>normatello@gmail.com</t>
        </is>
      </c>
      <c r="AG924" t="inlineStr">
        <is>
          <t>LIMA</t>
        </is>
      </c>
      <c r="AH924" t="inlineStr">
        <is>
          <t>LA VICTORIA</t>
        </is>
      </c>
      <c r="AI924" s="116" t="n">
        <v>46507</v>
      </c>
      <c r="AJ924" s="116" t="n"/>
      <c r="AK924" t="inlineStr">
        <is>
          <t>SALDO FINANCIAR</t>
        </is>
      </c>
      <c r="AL924" t="n">
        <v>20</v>
      </c>
      <c r="AM924" t="n">
        <v>238000</v>
      </c>
      <c r="AN924" t="n">
        <v>0</v>
      </c>
      <c r="AO924" t="n">
        <v>0</v>
      </c>
      <c r="AP924" s="39" t="n">
        <v>238000</v>
      </c>
      <c r="AQ924" s="39" t="n">
        <v>0</v>
      </c>
      <c r="AR924" s="39" t="n">
        <v>238000</v>
      </c>
      <c r="AT924" t="inlineStr">
        <is>
          <t>Crédito Directo</t>
        </is>
      </c>
      <c r="AZ924" t="inlineStr">
        <is>
          <t>No</t>
        </is>
      </c>
      <c r="BC924" t="inlineStr">
        <is>
          <t>PENDIENTE</t>
        </is>
      </c>
      <c r="BN924" t="inlineStr">
        <is>
          <t>No</t>
        </is>
      </c>
      <c r="BO924" s="117" t="n">
        <v>45857.51944444444</v>
      </c>
      <c r="BP924" t="inlineStr">
        <is>
          <t>Magaly Guevara Perez</t>
        </is>
      </c>
      <c r="BR924" t="n">
        <v>11</v>
      </c>
      <c r="BT924" t="n">
        <v>0</v>
      </c>
      <c r="BX924" t="inlineStr">
        <is>
          <t>Cobranzas_2027.csv</t>
        </is>
      </c>
      <c r="BY924" t="n">
        <v>2027</v>
      </c>
      <c r="BZ924" t="inlineStr">
        <is>
          <t>01/01/2024</t>
        </is>
      </c>
      <c r="CA924" t="inlineStr">
        <is>
          <t>30/09/2031</t>
        </is>
      </c>
    </row>
    <row r="925">
      <c r="A925" t="inlineStr">
        <is>
          <t>RESIDENCIAL BEYOND</t>
        </is>
      </c>
      <c r="B925" t="inlineStr">
        <is>
          <t>Etapa 1</t>
        </is>
      </c>
      <c r="C925" t="inlineStr">
        <is>
          <t>Edificio</t>
        </is>
      </c>
      <c r="D925" t="inlineStr">
        <is>
          <t>A</t>
        </is>
      </c>
      <c r="E925" t="inlineStr">
        <is>
          <t>Estacionamiento</t>
        </is>
      </c>
      <c r="F925" t="inlineStr">
        <is>
          <t>E 59</t>
        </is>
      </c>
      <c r="G925" s="39" t="n">
        <v>39000</v>
      </c>
      <c r="H925" s="39" t="n">
        <v>39000</v>
      </c>
      <c r="M925" s="39" t="n"/>
      <c r="N925" s="39" t="n"/>
      <c r="S925" s="39" t="n"/>
      <c r="T925" s="39" t="n"/>
      <c r="Y925" s="39" t="n"/>
      <c r="Z925" s="39" t="n"/>
      <c r="AA925" t="inlineStr">
        <is>
          <t>Omar Edwin Riveros Tejada</t>
        </is>
      </c>
      <c r="AB925" t="inlineStr">
        <is>
          <t>47136409</t>
        </is>
      </c>
      <c r="AC925" t="inlineStr">
        <is>
          <t>Calle Berlin 734 - Dpto. 302</t>
        </is>
      </c>
      <c r="AD925" t="n">
        <v>0</v>
      </c>
      <c r="AE925" t="inlineStr">
        <is>
          <t>959940936</t>
        </is>
      </c>
      <c r="AF925" t="inlineStr">
        <is>
          <t>omarriveros91@gmail.com</t>
        </is>
      </c>
      <c r="AG925" t="inlineStr">
        <is>
          <t>LIMA</t>
        </is>
      </c>
      <c r="AH925" t="inlineStr">
        <is>
          <t>MIRAFLORES</t>
        </is>
      </c>
      <c r="AI925" s="116" t="n">
        <v>46417</v>
      </c>
      <c r="AJ925" s="116" t="n"/>
      <c r="AK925" t="inlineStr">
        <is>
          <t>SALDO FINANCIAR</t>
        </is>
      </c>
      <c r="AL925" t="n">
        <v>1</v>
      </c>
      <c r="AM925" t="n">
        <v>2400</v>
      </c>
      <c r="AN925" t="n">
        <v>0</v>
      </c>
      <c r="AO925" t="n">
        <v>0</v>
      </c>
      <c r="AP925" s="39" t="n">
        <v>2400</v>
      </c>
      <c r="AQ925" s="39" t="n">
        <v>0</v>
      </c>
      <c r="AR925" s="39" t="n">
        <v>2400</v>
      </c>
      <c r="AT925" t="inlineStr">
        <is>
          <t>Crédito Hipotecario</t>
        </is>
      </c>
      <c r="AZ925" t="inlineStr">
        <is>
          <t>No</t>
        </is>
      </c>
      <c r="BC925" t="inlineStr">
        <is>
          <t>PENDIENTE</t>
        </is>
      </c>
      <c r="BN925" t="inlineStr">
        <is>
          <t>No</t>
        </is>
      </c>
      <c r="BO925" s="117" t="n">
        <v>46170.79166666666</v>
      </c>
      <c r="BP925" t="inlineStr">
        <is>
          <t>Carla Michue M</t>
        </is>
      </c>
      <c r="BR925" t="n">
        <v>43</v>
      </c>
      <c r="BT925" t="n">
        <v>0</v>
      </c>
      <c r="BX925" t="inlineStr">
        <is>
          <t>Cobranzas_2027.csv</t>
        </is>
      </c>
      <c r="BY925" t="n">
        <v>2027</v>
      </c>
      <c r="BZ925" t="inlineStr">
        <is>
          <t>01/01/2024</t>
        </is>
      </c>
      <c r="CA925" t="inlineStr">
        <is>
          <t>30/09/2031</t>
        </is>
      </c>
    </row>
    <row r="926">
      <c r="A926" t="inlineStr">
        <is>
          <t>RESIDENCIAL BEYOND</t>
        </is>
      </c>
      <c r="B926" t="inlineStr">
        <is>
          <t>Etapa 1</t>
        </is>
      </c>
      <c r="C926" t="inlineStr">
        <is>
          <t>Edificio</t>
        </is>
      </c>
      <c r="D926" t="inlineStr">
        <is>
          <t>A</t>
        </is>
      </c>
      <c r="E926" t="inlineStr">
        <is>
          <t>Estacionamiento</t>
        </is>
      </c>
      <c r="F926" t="inlineStr">
        <is>
          <t>E 59</t>
        </is>
      </c>
      <c r="G926" s="39" t="n">
        <v>39000</v>
      </c>
      <c r="H926" s="39" t="n">
        <v>39000</v>
      </c>
      <c r="M926" s="39" t="n"/>
      <c r="N926" s="39" t="n"/>
      <c r="S926" s="39" t="n"/>
      <c r="T926" s="39" t="n"/>
      <c r="Y926" s="39" t="n"/>
      <c r="Z926" s="39" t="n"/>
      <c r="AA926" t="inlineStr">
        <is>
          <t>Omar Edwin Riveros Tejada</t>
        </is>
      </c>
      <c r="AB926" t="inlineStr">
        <is>
          <t>47136409</t>
        </is>
      </c>
      <c r="AC926" t="inlineStr">
        <is>
          <t>Calle Berlin 734 - Dpto. 302</t>
        </is>
      </c>
      <c r="AD926" t="n">
        <v>0</v>
      </c>
      <c r="AE926" t="inlineStr">
        <is>
          <t>959940936</t>
        </is>
      </c>
      <c r="AF926" t="inlineStr">
        <is>
          <t>omarriveros91@gmail.com</t>
        </is>
      </c>
      <c r="AG926" t="inlineStr">
        <is>
          <t>LIMA</t>
        </is>
      </c>
      <c r="AH926" t="inlineStr">
        <is>
          <t>MIRAFLORES</t>
        </is>
      </c>
      <c r="AI926" s="116" t="n">
        <v>46446</v>
      </c>
      <c r="AJ926" s="116" t="n"/>
      <c r="AK926" t="inlineStr">
        <is>
          <t>SALDO FINANCIAR</t>
        </is>
      </c>
      <c r="AL926" t="n">
        <v>2</v>
      </c>
      <c r="AM926" t="n">
        <v>2400</v>
      </c>
      <c r="AN926" t="n">
        <v>0</v>
      </c>
      <c r="AO926" t="n">
        <v>0</v>
      </c>
      <c r="AP926" s="39" t="n">
        <v>2400</v>
      </c>
      <c r="AQ926" s="39" t="n">
        <v>0</v>
      </c>
      <c r="AR926" s="39" t="n">
        <v>2400</v>
      </c>
      <c r="AT926" t="inlineStr">
        <is>
          <t>Crédito Hipotecario</t>
        </is>
      </c>
      <c r="AZ926" t="inlineStr">
        <is>
          <t>No</t>
        </is>
      </c>
      <c r="BC926" t="inlineStr">
        <is>
          <t>PENDIENTE</t>
        </is>
      </c>
      <c r="BN926" t="inlineStr">
        <is>
          <t>No</t>
        </is>
      </c>
      <c r="BO926" s="117" t="n">
        <v>46170.79166666666</v>
      </c>
      <c r="BP926" t="inlineStr">
        <is>
          <t>Carla Michue M</t>
        </is>
      </c>
      <c r="BR926" t="n">
        <v>43</v>
      </c>
      <c r="BT926" t="n">
        <v>0</v>
      </c>
      <c r="BX926" t="inlineStr">
        <is>
          <t>Cobranzas_2027.csv</t>
        </is>
      </c>
      <c r="BY926" t="n">
        <v>2027</v>
      </c>
      <c r="BZ926" t="inlineStr">
        <is>
          <t>01/01/2024</t>
        </is>
      </c>
      <c r="CA926" t="inlineStr">
        <is>
          <t>30/09/2031</t>
        </is>
      </c>
    </row>
    <row r="927">
      <c r="A927" t="inlineStr">
        <is>
          <t>RESIDENCIAL BEYOND</t>
        </is>
      </c>
      <c r="B927" t="inlineStr">
        <is>
          <t>Etapa 1</t>
        </is>
      </c>
      <c r="C927" t="inlineStr">
        <is>
          <t>Edificio</t>
        </is>
      </c>
      <c r="D927" t="inlineStr">
        <is>
          <t>A</t>
        </is>
      </c>
      <c r="E927" t="inlineStr">
        <is>
          <t>Estacionamiento</t>
        </is>
      </c>
      <c r="F927" t="inlineStr">
        <is>
          <t>E 59</t>
        </is>
      </c>
      <c r="G927" s="39" t="n">
        <v>39000</v>
      </c>
      <c r="H927" s="39" t="n">
        <v>39000</v>
      </c>
      <c r="M927" s="39" t="n"/>
      <c r="N927" s="39" t="n"/>
      <c r="S927" s="39" t="n"/>
      <c r="T927" s="39" t="n"/>
      <c r="Y927" s="39" t="n"/>
      <c r="Z927" s="39" t="n"/>
      <c r="AA927" t="inlineStr">
        <is>
          <t>Omar Edwin Riveros Tejada</t>
        </is>
      </c>
      <c r="AB927" t="inlineStr">
        <is>
          <t>47136409</t>
        </is>
      </c>
      <c r="AC927" t="inlineStr">
        <is>
          <t>Calle Berlin 734 - Dpto. 302</t>
        </is>
      </c>
      <c r="AD927" t="n">
        <v>0</v>
      </c>
      <c r="AE927" t="inlineStr">
        <is>
          <t>959940936</t>
        </is>
      </c>
      <c r="AF927" t="inlineStr">
        <is>
          <t>omarriveros91@gmail.com</t>
        </is>
      </c>
      <c r="AG927" t="inlineStr">
        <is>
          <t>LIMA</t>
        </is>
      </c>
      <c r="AH927" t="inlineStr">
        <is>
          <t>MIRAFLORES</t>
        </is>
      </c>
      <c r="AI927" s="116" t="n">
        <v>46476</v>
      </c>
      <c r="AJ927" s="116" t="n"/>
      <c r="AK927" t="inlineStr">
        <is>
          <t>SALDO FINANCIAR</t>
        </is>
      </c>
      <c r="AL927" t="n">
        <v>3</v>
      </c>
      <c r="AM927" t="n">
        <v>2400</v>
      </c>
      <c r="AN927" t="n">
        <v>0</v>
      </c>
      <c r="AO927" t="n">
        <v>0</v>
      </c>
      <c r="AP927" s="39" t="n">
        <v>2400</v>
      </c>
      <c r="AQ927" s="39" t="n">
        <v>0</v>
      </c>
      <c r="AR927" s="39" t="n">
        <v>2400</v>
      </c>
      <c r="AT927" t="inlineStr">
        <is>
          <t>Crédito Hipotecario</t>
        </is>
      </c>
      <c r="AZ927" t="inlineStr">
        <is>
          <t>No</t>
        </is>
      </c>
      <c r="BC927" t="inlineStr">
        <is>
          <t>PENDIENTE</t>
        </is>
      </c>
      <c r="BN927" t="inlineStr">
        <is>
          <t>No</t>
        </is>
      </c>
      <c r="BO927" s="117" t="n">
        <v>46170.79166666666</v>
      </c>
      <c r="BP927" t="inlineStr">
        <is>
          <t>Carla Michue M</t>
        </is>
      </c>
      <c r="BR927" t="n">
        <v>43</v>
      </c>
      <c r="BT927" t="n">
        <v>0</v>
      </c>
      <c r="BX927" t="inlineStr">
        <is>
          <t>Cobranzas_2027.csv</t>
        </is>
      </c>
      <c r="BY927" t="n">
        <v>2027</v>
      </c>
      <c r="BZ927" t="inlineStr">
        <is>
          <t>01/01/2024</t>
        </is>
      </c>
      <c r="CA927" t="inlineStr">
        <is>
          <t>30/09/2031</t>
        </is>
      </c>
    </row>
    <row r="928">
      <c r="A928" t="inlineStr">
        <is>
          <t>RESIDENCIAL BEYOND</t>
        </is>
      </c>
      <c r="B928" t="inlineStr">
        <is>
          <t>Etapa 1</t>
        </is>
      </c>
      <c r="C928" t="inlineStr">
        <is>
          <t>Edificio</t>
        </is>
      </c>
      <c r="D928" t="inlineStr">
        <is>
          <t>A</t>
        </is>
      </c>
      <c r="E928" t="inlineStr">
        <is>
          <t>Estacionamiento</t>
        </is>
      </c>
      <c r="F928" t="inlineStr">
        <is>
          <t>E 59</t>
        </is>
      </c>
      <c r="G928" s="39" t="n">
        <v>39000</v>
      </c>
      <c r="H928" s="39" t="n">
        <v>39000</v>
      </c>
      <c r="M928" s="39" t="n"/>
      <c r="N928" s="39" t="n"/>
      <c r="S928" s="39" t="n"/>
      <c r="T928" s="39" t="n"/>
      <c r="Y928" s="39" t="n"/>
      <c r="Z928" s="39" t="n"/>
      <c r="AA928" t="inlineStr">
        <is>
          <t>Omar Edwin Riveros Tejada</t>
        </is>
      </c>
      <c r="AB928" t="inlineStr">
        <is>
          <t>47136409</t>
        </is>
      </c>
      <c r="AC928" t="inlineStr">
        <is>
          <t>Calle Berlin 734 - Dpto. 302</t>
        </is>
      </c>
      <c r="AD928" t="n">
        <v>0</v>
      </c>
      <c r="AE928" t="inlineStr">
        <is>
          <t>959940936</t>
        </is>
      </c>
      <c r="AF928" t="inlineStr">
        <is>
          <t>omarriveros91@gmail.com</t>
        </is>
      </c>
      <c r="AG928" t="inlineStr">
        <is>
          <t>LIMA</t>
        </is>
      </c>
      <c r="AH928" t="inlineStr">
        <is>
          <t>MIRAFLORES</t>
        </is>
      </c>
      <c r="AI928" s="116" t="n">
        <v>46507</v>
      </c>
      <c r="AJ928" s="116" t="n"/>
      <c r="AK928" t="inlineStr">
        <is>
          <t>SALDO FINANCIAR</t>
        </is>
      </c>
      <c r="AL928" t="n">
        <v>4</v>
      </c>
      <c r="AM928" t="n">
        <v>2400</v>
      </c>
      <c r="AN928" t="n">
        <v>0</v>
      </c>
      <c r="AO928" t="n">
        <v>0</v>
      </c>
      <c r="AP928" s="39" t="n">
        <v>2400</v>
      </c>
      <c r="AQ928" s="39" t="n">
        <v>0</v>
      </c>
      <c r="AR928" s="39" t="n">
        <v>2400</v>
      </c>
      <c r="AT928" t="inlineStr">
        <is>
          <t>Crédito Hipotecario</t>
        </is>
      </c>
      <c r="AZ928" t="inlineStr">
        <is>
          <t>No</t>
        </is>
      </c>
      <c r="BC928" t="inlineStr">
        <is>
          <t>PENDIENTE</t>
        </is>
      </c>
      <c r="BN928" t="inlineStr">
        <is>
          <t>No</t>
        </is>
      </c>
      <c r="BO928" s="117" t="n">
        <v>46170.79166666666</v>
      </c>
      <c r="BP928" t="inlineStr">
        <is>
          <t>Carla Michue M</t>
        </is>
      </c>
      <c r="BR928" t="n">
        <v>43</v>
      </c>
      <c r="BT928" t="n">
        <v>0</v>
      </c>
      <c r="BX928" t="inlineStr">
        <is>
          <t>Cobranzas_2027.csv</t>
        </is>
      </c>
      <c r="BY928" t="n">
        <v>2027</v>
      </c>
      <c r="BZ928" t="inlineStr">
        <is>
          <t>01/01/2024</t>
        </is>
      </c>
      <c r="CA928" t="inlineStr">
        <is>
          <t>30/09/2031</t>
        </is>
      </c>
    </row>
    <row r="929">
      <c r="A929" t="inlineStr">
        <is>
          <t>RESIDENCIAL BEYOND</t>
        </is>
      </c>
      <c r="B929" t="inlineStr">
        <is>
          <t>Etapa 1</t>
        </is>
      </c>
      <c r="C929" t="inlineStr">
        <is>
          <t>Edificio</t>
        </is>
      </c>
      <c r="D929" t="inlineStr">
        <is>
          <t>A</t>
        </is>
      </c>
      <c r="E929" t="inlineStr">
        <is>
          <t>Estacionamiento</t>
        </is>
      </c>
      <c r="F929" t="inlineStr">
        <is>
          <t>E 59</t>
        </is>
      </c>
      <c r="G929" s="39" t="n">
        <v>39000</v>
      </c>
      <c r="H929" s="39" t="n">
        <v>39000</v>
      </c>
      <c r="M929" s="39" t="n"/>
      <c r="N929" s="39" t="n"/>
      <c r="S929" s="39" t="n"/>
      <c r="T929" s="39" t="n"/>
      <c r="Y929" s="39" t="n"/>
      <c r="Z929" s="39" t="n"/>
      <c r="AA929" t="inlineStr">
        <is>
          <t>Omar Edwin Riveros Tejada</t>
        </is>
      </c>
      <c r="AB929" t="inlineStr">
        <is>
          <t>47136409</t>
        </is>
      </c>
      <c r="AC929" t="inlineStr">
        <is>
          <t>Calle Berlin 734 - Dpto. 302</t>
        </is>
      </c>
      <c r="AD929" t="n">
        <v>0</v>
      </c>
      <c r="AE929" t="inlineStr">
        <is>
          <t>959940936</t>
        </is>
      </c>
      <c r="AF929" t="inlineStr">
        <is>
          <t>omarriveros91@gmail.com</t>
        </is>
      </c>
      <c r="AG929" t="inlineStr">
        <is>
          <t>LIMA</t>
        </is>
      </c>
      <c r="AH929" t="inlineStr">
        <is>
          <t>MIRAFLORES</t>
        </is>
      </c>
      <c r="AI929" s="116" t="n">
        <v>46537</v>
      </c>
      <c r="AJ929" s="116" t="n"/>
      <c r="AK929" t="inlineStr">
        <is>
          <t>SALDO FINANCIAR</t>
        </is>
      </c>
      <c r="AL929" t="n">
        <v>5</v>
      </c>
      <c r="AM929" t="n">
        <v>2400</v>
      </c>
      <c r="AN929" t="n">
        <v>0</v>
      </c>
      <c r="AO929" t="n">
        <v>0</v>
      </c>
      <c r="AP929" s="39" t="n">
        <v>2400</v>
      </c>
      <c r="AQ929" s="39" t="n">
        <v>0</v>
      </c>
      <c r="AR929" s="39" t="n">
        <v>2400</v>
      </c>
      <c r="AT929" t="inlineStr">
        <is>
          <t>Crédito Hipotecario</t>
        </is>
      </c>
      <c r="AZ929" t="inlineStr">
        <is>
          <t>No</t>
        </is>
      </c>
      <c r="BC929" t="inlineStr">
        <is>
          <t>PENDIENTE</t>
        </is>
      </c>
      <c r="BN929" t="inlineStr">
        <is>
          <t>No</t>
        </is>
      </c>
      <c r="BO929" s="117" t="n">
        <v>46170.79166666666</v>
      </c>
      <c r="BP929" t="inlineStr">
        <is>
          <t>Carla Michue M</t>
        </is>
      </c>
      <c r="BR929" t="n">
        <v>43</v>
      </c>
      <c r="BT929" t="n">
        <v>0</v>
      </c>
      <c r="BX929" t="inlineStr">
        <is>
          <t>Cobranzas_2027.csv</t>
        </is>
      </c>
      <c r="BY929" t="n">
        <v>2027</v>
      </c>
      <c r="BZ929" t="inlineStr">
        <is>
          <t>01/01/2024</t>
        </is>
      </c>
      <c r="CA929" t="inlineStr">
        <is>
          <t>30/09/2031</t>
        </is>
      </c>
    </row>
    <row r="930">
      <c r="A930" t="inlineStr">
        <is>
          <t>RESIDENCIAL BEYOND</t>
        </is>
      </c>
      <c r="B930" t="inlineStr">
        <is>
          <t>Etapa 1</t>
        </is>
      </c>
      <c r="C930" t="inlineStr">
        <is>
          <t>Edificio</t>
        </is>
      </c>
      <c r="D930" t="inlineStr">
        <is>
          <t>A</t>
        </is>
      </c>
      <c r="E930" t="inlineStr">
        <is>
          <t>Estacionamiento</t>
        </is>
      </c>
      <c r="F930" t="inlineStr">
        <is>
          <t>E 59</t>
        </is>
      </c>
      <c r="G930" s="39" t="n">
        <v>39000</v>
      </c>
      <c r="H930" s="39" t="n">
        <v>39000</v>
      </c>
      <c r="M930" s="39" t="n"/>
      <c r="N930" s="39" t="n"/>
      <c r="S930" s="39" t="n"/>
      <c r="T930" s="39" t="n"/>
      <c r="Y930" s="39" t="n"/>
      <c r="Z930" s="39" t="n"/>
      <c r="AA930" t="inlineStr">
        <is>
          <t>Omar Edwin Riveros Tejada</t>
        </is>
      </c>
      <c r="AB930" t="inlineStr">
        <is>
          <t>47136409</t>
        </is>
      </c>
      <c r="AC930" t="inlineStr">
        <is>
          <t>Calle Berlin 734 - Dpto. 302</t>
        </is>
      </c>
      <c r="AD930" t="n">
        <v>0</v>
      </c>
      <c r="AE930" t="inlineStr">
        <is>
          <t>959940936</t>
        </is>
      </c>
      <c r="AF930" t="inlineStr">
        <is>
          <t>omarriveros91@gmail.com</t>
        </is>
      </c>
      <c r="AG930" t="inlineStr">
        <is>
          <t>LIMA</t>
        </is>
      </c>
      <c r="AH930" t="inlineStr">
        <is>
          <t>MIRAFLORES</t>
        </is>
      </c>
      <c r="AI930" s="116" t="n">
        <v>46568</v>
      </c>
      <c r="AJ930" s="116" t="n"/>
      <c r="AK930" t="inlineStr">
        <is>
          <t>SALDO FINANCIAR</t>
        </is>
      </c>
      <c r="AL930" t="n">
        <v>6</v>
      </c>
      <c r="AM930" t="n">
        <v>2400</v>
      </c>
      <c r="AN930" t="n">
        <v>0</v>
      </c>
      <c r="AO930" t="n">
        <v>0</v>
      </c>
      <c r="AP930" s="39" t="n">
        <v>2400</v>
      </c>
      <c r="AQ930" s="39" t="n">
        <v>0</v>
      </c>
      <c r="AR930" s="39" t="n">
        <v>2400</v>
      </c>
      <c r="AT930" t="inlineStr">
        <is>
          <t>Crédito Hipotecario</t>
        </is>
      </c>
      <c r="AZ930" t="inlineStr">
        <is>
          <t>No</t>
        </is>
      </c>
      <c r="BC930" t="inlineStr">
        <is>
          <t>PENDIENTE</t>
        </is>
      </c>
      <c r="BN930" t="inlineStr">
        <is>
          <t>No</t>
        </is>
      </c>
      <c r="BO930" s="117" t="n">
        <v>46170.79166666666</v>
      </c>
      <c r="BP930" t="inlineStr">
        <is>
          <t>Carla Michue M</t>
        </is>
      </c>
      <c r="BR930" t="n">
        <v>43</v>
      </c>
      <c r="BT930" t="n">
        <v>0</v>
      </c>
      <c r="BX930" t="inlineStr">
        <is>
          <t>Cobranzas_2027.csv</t>
        </is>
      </c>
      <c r="BY930" t="n">
        <v>2027</v>
      </c>
      <c r="BZ930" t="inlineStr">
        <is>
          <t>01/01/2024</t>
        </is>
      </c>
      <c r="CA930" t="inlineStr">
        <is>
          <t>30/09/2031</t>
        </is>
      </c>
    </row>
    <row r="931">
      <c r="A931" t="inlineStr">
        <is>
          <t>RESIDENCIAL BEYOND</t>
        </is>
      </c>
      <c r="B931" t="inlineStr">
        <is>
          <t>Etapa 1</t>
        </is>
      </c>
      <c r="C931" t="inlineStr">
        <is>
          <t>Edificio</t>
        </is>
      </c>
      <c r="D931" t="inlineStr">
        <is>
          <t>A</t>
        </is>
      </c>
      <c r="E931" t="inlineStr">
        <is>
          <t>Estacionamiento</t>
        </is>
      </c>
      <c r="F931" t="inlineStr">
        <is>
          <t>E 59</t>
        </is>
      </c>
      <c r="G931" s="39" t="n">
        <v>39000</v>
      </c>
      <c r="H931" s="39" t="n">
        <v>39000</v>
      </c>
      <c r="M931" s="39" t="n"/>
      <c r="N931" s="39" t="n"/>
      <c r="S931" s="39" t="n"/>
      <c r="T931" s="39" t="n"/>
      <c r="Y931" s="39" t="n"/>
      <c r="Z931" s="39" t="n"/>
      <c r="AA931" t="inlineStr">
        <is>
          <t>Omar Edwin Riveros Tejada</t>
        </is>
      </c>
      <c r="AB931" t="inlineStr">
        <is>
          <t>47136409</t>
        </is>
      </c>
      <c r="AC931" t="inlineStr">
        <is>
          <t>Calle Berlin 734 - Dpto. 302</t>
        </is>
      </c>
      <c r="AD931" t="n">
        <v>0</v>
      </c>
      <c r="AE931" t="inlineStr">
        <is>
          <t>959940936</t>
        </is>
      </c>
      <c r="AF931" t="inlineStr">
        <is>
          <t>omarriveros91@gmail.com</t>
        </is>
      </c>
      <c r="AG931" t="inlineStr">
        <is>
          <t>LIMA</t>
        </is>
      </c>
      <c r="AH931" t="inlineStr">
        <is>
          <t>MIRAFLORES</t>
        </is>
      </c>
      <c r="AI931" s="116" t="n">
        <v>46598</v>
      </c>
      <c r="AJ931" s="116" t="n"/>
      <c r="AK931" t="inlineStr">
        <is>
          <t>SALDO FINANCIAR</t>
        </is>
      </c>
      <c r="AL931" t="n">
        <v>7</v>
      </c>
      <c r="AM931" t="n">
        <v>2400</v>
      </c>
      <c r="AN931" t="n">
        <v>0</v>
      </c>
      <c r="AO931" t="n">
        <v>0</v>
      </c>
      <c r="AP931" s="39" t="n">
        <v>2400</v>
      </c>
      <c r="AQ931" s="39" t="n">
        <v>0</v>
      </c>
      <c r="AR931" s="39" t="n">
        <v>2400</v>
      </c>
      <c r="AT931" t="inlineStr">
        <is>
          <t>Crédito Hipotecario</t>
        </is>
      </c>
      <c r="AZ931" t="inlineStr">
        <is>
          <t>No</t>
        </is>
      </c>
      <c r="BC931" t="inlineStr">
        <is>
          <t>PENDIENTE</t>
        </is>
      </c>
      <c r="BN931" t="inlineStr">
        <is>
          <t>No</t>
        </is>
      </c>
      <c r="BO931" s="117" t="n">
        <v>46170.79166666666</v>
      </c>
      <c r="BP931" t="inlineStr">
        <is>
          <t>Carla Michue M</t>
        </is>
      </c>
      <c r="BR931" t="n">
        <v>43</v>
      </c>
      <c r="BT931" t="n">
        <v>0</v>
      </c>
      <c r="BX931" t="inlineStr">
        <is>
          <t>Cobranzas_2027.csv</t>
        </is>
      </c>
      <c r="BY931" t="n">
        <v>2027</v>
      </c>
      <c r="BZ931" t="inlineStr">
        <is>
          <t>01/01/2024</t>
        </is>
      </c>
      <c r="CA931" t="inlineStr">
        <is>
          <t>30/09/2031</t>
        </is>
      </c>
    </row>
    <row r="932">
      <c r="A932" t="inlineStr">
        <is>
          <t>RESIDENCIAL BEYOND</t>
        </is>
      </c>
      <c r="B932" t="inlineStr">
        <is>
          <t>Etapa 1</t>
        </is>
      </c>
      <c r="C932" t="inlineStr">
        <is>
          <t>Edificio</t>
        </is>
      </c>
      <c r="D932" t="inlineStr">
        <is>
          <t>A</t>
        </is>
      </c>
      <c r="E932" t="inlineStr">
        <is>
          <t>Estacionamiento</t>
        </is>
      </c>
      <c r="F932" t="inlineStr">
        <is>
          <t>E 59</t>
        </is>
      </c>
      <c r="G932" s="39" t="n">
        <v>39000</v>
      </c>
      <c r="H932" s="39" t="n">
        <v>39000</v>
      </c>
      <c r="M932" s="39" t="n"/>
      <c r="N932" s="39" t="n"/>
      <c r="S932" s="39" t="n"/>
      <c r="T932" s="39" t="n"/>
      <c r="Y932" s="39" t="n"/>
      <c r="Z932" s="39" t="n"/>
      <c r="AA932" t="inlineStr">
        <is>
          <t>Omar Edwin Riveros Tejada</t>
        </is>
      </c>
      <c r="AB932" t="inlineStr">
        <is>
          <t>47136409</t>
        </is>
      </c>
      <c r="AC932" t="inlineStr">
        <is>
          <t>Calle Berlin 734 - Dpto. 302</t>
        </is>
      </c>
      <c r="AD932" t="n">
        <v>0</v>
      </c>
      <c r="AE932" t="inlineStr">
        <is>
          <t>959940936</t>
        </is>
      </c>
      <c r="AF932" t="inlineStr">
        <is>
          <t>omarriveros91@gmail.com</t>
        </is>
      </c>
      <c r="AG932" t="inlineStr">
        <is>
          <t>LIMA</t>
        </is>
      </c>
      <c r="AH932" t="inlineStr">
        <is>
          <t>MIRAFLORES</t>
        </is>
      </c>
      <c r="AI932" s="116" t="n">
        <v>46629</v>
      </c>
      <c r="AJ932" s="116" t="n"/>
      <c r="AK932" t="inlineStr">
        <is>
          <t>SALDO FINANCIAR</t>
        </is>
      </c>
      <c r="AL932" t="n">
        <v>8</v>
      </c>
      <c r="AM932" t="n">
        <v>2400</v>
      </c>
      <c r="AN932" t="n">
        <v>0</v>
      </c>
      <c r="AO932" t="n">
        <v>0</v>
      </c>
      <c r="AP932" s="39" t="n">
        <v>2400</v>
      </c>
      <c r="AQ932" s="39" t="n">
        <v>0</v>
      </c>
      <c r="AR932" s="39" t="n">
        <v>2400</v>
      </c>
      <c r="AT932" t="inlineStr">
        <is>
          <t>Crédito Hipotecario</t>
        </is>
      </c>
      <c r="AZ932" t="inlineStr">
        <is>
          <t>No</t>
        </is>
      </c>
      <c r="BC932" t="inlineStr">
        <is>
          <t>PENDIENTE</t>
        </is>
      </c>
      <c r="BN932" t="inlineStr">
        <is>
          <t>No</t>
        </is>
      </c>
      <c r="BO932" s="117" t="n">
        <v>46170.79166666666</v>
      </c>
      <c r="BP932" t="inlineStr">
        <is>
          <t>Carla Michue M</t>
        </is>
      </c>
      <c r="BR932" t="n">
        <v>43</v>
      </c>
      <c r="BT932" t="n">
        <v>0</v>
      </c>
      <c r="BX932" t="inlineStr">
        <is>
          <t>Cobranzas_2027.csv</t>
        </is>
      </c>
      <c r="BY932" t="n">
        <v>2027</v>
      </c>
      <c r="BZ932" t="inlineStr">
        <is>
          <t>01/01/2024</t>
        </is>
      </c>
      <c r="CA932" t="inlineStr">
        <is>
          <t>30/09/2031</t>
        </is>
      </c>
    </row>
    <row r="933">
      <c r="A933" t="inlineStr">
        <is>
          <t>RESIDENCIAL BEYOND</t>
        </is>
      </c>
      <c r="B933" t="inlineStr">
        <is>
          <t>Etapa 1</t>
        </is>
      </c>
      <c r="C933" t="inlineStr">
        <is>
          <t>Edificio</t>
        </is>
      </c>
      <c r="D933" t="inlineStr">
        <is>
          <t>A</t>
        </is>
      </c>
      <c r="E933" t="inlineStr">
        <is>
          <t>Estacionamiento</t>
        </is>
      </c>
      <c r="F933" t="inlineStr">
        <is>
          <t>E 59</t>
        </is>
      </c>
      <c r="G933" s="39" t="n">
        <v>39000</v>
      </c>
      <c r="H933" s="39" t="n">
        <v>39000</v>
      </c>
      <c r="M933" s="39" t="n"/>
      <c r="N933" s="39" t="n"/>
      <c r="S933" s="39" t="n"/>
      <c r="T933" s="39" t="n"/>
      <c r="Y933" s="39" t="n"/>
      <c r="Z933" s="39" t="n"/>
      <c r="AA933" t="inlineStr">
        <is>
          <t>Omar Edwin Riveros Tejada</t>
        </is>
      </c>
      <c r="AB933" t="inlineStr">
        <is>
          <t>47136409</t>
        </is>
      </c>
      <c r="AC933" t="inlineStr">
        <is>
          <t>Calle Berlin 734 - Dpto. 302</t>
        </is>
      </c>
      <c r="AD933" t="n">
        <v>0</v>
      </c>
      <c r="AE933" t="inlineStr">
        <is>
          <t>959940936</t>
        </is>
      </c>
      <c r="AF933" t="inlineStr">
        <is>
          <t>omarriveros91@gmail.com</t>
        </is>
      </c>
      <c r="AG933" t="inlineStr">
        <is>
          <t>LIMA</t>
        </is>
      </c>
      <c r="AH933" t="inlineStr">
        <is>
          <t>MIRAFLORES</t>
        </is>
      </c>
      <c r="AI933" s="116" t="n">
        <v>46660</v>
      </c>
      <c r="AJ933" s="116" t="n"/>
      <c r="AK933" t="inlineStr">
        <is>
          <t>SALDO FINANCIAR</t>
        </is>
      </c>
      <c r="AL933" t="n">
        <v>9</v>
      </c>
      <c r="AM933" t="n">
        <v>2400</v>
      </c>
      <c r="AN933" t="n">
        <v>0</v>
      </c>
      <c r="AO933" t="n">
        <v>0</v>
      </c>
      <c r="AP933" s="39" t="n">
        <v>2400</v>
      </c>
      <c r="AQ933" s="39" t="n">
        <v>0</v>
      </c>
      <c r="AR933" s="39" t="n">
        <v>2400</v>
      </c>
      <c r="AT933" t="inlineStr">
        <is>
          <t>Crédito Hipotecario</t>
        </is>
      </c>
      <c r="AZ933" t="inlineStr">
        <is>
          <t>No</t>
        </is>
      </c>
      <c r="BC933" t="inlineStr">
        <is>
          <t>PENDIENTE</t>
        </is>
      </c>
      <c r="BN933" t="inlineStr">
        <is>
          <t>No</t>
        </is>
      </c>
      <c r="BO933" s="117" t="n">
        <v>46170.79166666666</v>
      </c>
      <c r="BP933" t="inlineStr">
        <is>
          <t>Carla Michue M</t>
        </is>
      </c>
      <c r="BR933" t="n">
        <v>43</v>
      </c>
      <c r="BT933" t="n">
        <v>0</v>
      </c>
      <c r="BX933" t="inlineStr">
        <is>
          <t>Cobranzas_2027.csv</t>
        </is>
      </c>
      <c r="BY933" t="n">
        <v>2027</v>
      </c>
      <c r="BZ933" t="inlineStr">
        <is>
          <t>01/01/2024</t>
        </is>
      </c>
      <c r="CA933" t="inlineStr">
        <is>
          <t>30/09/2031</t>
        </is>
      </c>
    </row>
    <row r="934">
      <c r="A934" t="inlineStr">
        <is>
          <t>RESIDENCIAL BEYOND</t>
        </is>
      </c>
      <c r="B934" t="inlineStr">
        <is>
          <t>Etapa 1</t>
        </is>
      </c>
      <c r="C934" t="inlineStr">
        <is>
          <t>Edificio</t>
        </is>
      </c>
      <c r="D934" t="inlineStr">
        <is>
          <t>A</t>
        </is>
      </c>
      <c r="E934" t="inlineStr">
        <is>
          <t>Estacionamiento</t>
        </is>
      </c>
      <c r="F934" t="inlineStr">
        <is>
          <t>E 59</t>
        </is>
      </c>
      <c r="G934" s="39" t="n">
        <v>39000</v>
      </c>
      <c r="H934" s="39" t="n">
        <v>39000</v>
      </c>
      <c r="M934" s="39" t="n"/>
      <c r="N934" s="39" t="n"/>
      <c r="S934" s="39" t="n"/>
      <c r="T934" s="39" t="n"/>
      <c r="Y934" s="39" t="n"/>
      <c r="Z934" s="39" t="n"/>
      <c r="AA934" t="inlineStr">
        <is>
          <t>Omar Edwin Riveros Tejada</t>
        </is>
      </c>
      <c r="AB934" t="inlineStr">
        <is>
          <t>47136409</t>
        </is>
      </c>
      <c r="AC934" t="inlineStr">
        <is>
          <t>Calle Berlin 734 - Dpto. 302</t>
        </is>
      </c>
      <c r="AD934" t="n">
        <v>0</v>
      </c>
      <c r="AE934" t="inlineStr">
        <is>
          <t>959940936</t>
        </is>
      </c>
      <c r="AF934" t="inlineStr">
        <is>
          <t>omarriveros91@gmail.com</t>
        </is>
      </c>
      <c r="AG934" t="inlineStr">
        <is>
          <t>LIMA</t>
        </is>
      </c>
      <c r="AH934" t="inlineStr">
        <is>
          <t>MIRAFLORES</t>
        </is>
      </c>
      <c r="AI934" s="116" t="n">
        <v>46690</v>
      </c>
      <c r="AJ934" s="116" t="n"/>
      <c r="AK934" t="inlineStr">
        <is>
          <t>SALDO FINANCIAR</t>
        </is>
      </c>
      <c r="AL934" t="n">
        <v>10</v>
      </c>
      <c r="AM934" t="n">
        <v>2400</v>
      </c>
      <c r="AN934" t="n">
        <v>0</v>
      </c>
      <c r="AO934" t="n">
        <v>0</v>
      </c>
      <c r="AP934" s="39" t="n">
        <v>2400</v>
      </c>
      <c r="AQ934" s="39" t="n">
        <v>0</v>
      </c>
      <c r="AR934" s="39" t="n">
        <v>2400</v>
      </c>
      <c r="AT934" t="inlineStr">
        <is>
          <t>Crédito Hipotecario</t>
        </is>
      </c>
      <c r="AZ934" t="inlineStr">
        <is>
          <t>No</t>
        </is>
      </c>
      <c r="BC934" t="inlineStr">
        <is>
          <t>PENDIENTE</t>
        </is>
      </c>
      <c r="BN934" t="inlineStr">
        <is>
          <t>No</t>
        </is>
      </c>
      <c r="BO934" s="117" t="n">
        <v>46170.79166666666</v>
      </c>
      <c r="BP934" t="inlineStr">
        <is>
          <t>Carla Michue M</t>
        </is>
      </c>
      <c r="BR934" t="n">
        <v>43</v>
      </c>
      <c r="BT934" t="n">
        <v>0</v>
      </c>
      <c r="BX934" t="inlineStr">
        <is>
          <t>Cobranzas_2027.csv</t>
        </is>
      </c>
      <c r="BY934" t="n">
        <v>2027</v>
      </c>
      <c r="BZ934" t="inlineStr">
        <is>
          <t>01/01/2024</t>
        </is>
      </c>
      <c r="CA934" t="inlineStr">
        <is>
          <t>30/09/2031</t>
        </is>
      </c>
    </row>
    <row r="935">
      <c r="A935" t="inlineStr">
        <is>
          <t>RESIDENCIAL BEYOND</t>
        </is>
      </c>
      <c r="B935" t="inlineStr">
        <is>
          <t>Etapa 1</t>
        </is>
      </c>
      <c r="C935" t="inlineStr">
        <is>
          <t>Edificio</t>
        </is>
      </c>
      <c r="D935" t="inlineStr">
        <is>
          <t>A</t>
        </is>
      </c>
      <c r="E935" t="inlineStr">
        <is>
          <t>Estacionamiento</t>
        </is>
      </c>
      <c r="F935" t="inlineStr">
        <is>
          <t>E 59</t>
        </is>
      </c>
      <c r="G935" s="39" t="n">
        <v>39000</v>
      </c>
      <c r="H935" s="39" t="n">
        <v>39000</v>
      </c>
      <c r="M935" s="39" t="n"/>
      <c r="N935" s="39" t="n"/>
      <c r="S935" s="39" t="n"/>
      <c r="T935" s="39" t="n"/>
      <c r="Y935" s="39" t="n"/>
      <c r="Z935" s="39" t="n"/>
      <c r="AA935" t="inlineStr">
        <is>
          <t>Omar Edwin Riveros Tejada</t>
        </is>
      </c>
      <c r="AB935" t="inlineStr">
        <is>
          <t>47136409</t>
        </is>
      </c>
      <c r="AC935" t="inlineStr">
        <is>
          <t>Calle Berlin 734 - Dpto. 302</t>
        </is>
      </c>
      <c r="AD935" t="n">
        <v>0</v>
      </c>
      <c r="AE935" t="inlineStr">
        <is>
          <t>959940936</t>
        </is>
      </c>
      <c r="AF935" t="inlineStr">
        <is>
          <t>omarriveros91@gmail.com</t>
        </is>
      </c>
      <c r="AG935" t="inlineStr">
        <is>
          <t>LIMA</t>
        </is>
      </c>
      <c r="AH935" t="inlineStr">
        <is>
          <t>MIRAFLORES</t>
        </is>
      </c>
      <c r="AI935" s="116" t="n">
        <v>46721</v>
      </c>
      <c r="AJ935" s="116" t="n"/>
      <c r="AK935" t="inlineStr">
        <is>
          <t>SALDO FINANCIAR</t>
        </is>
      </c>
      <c r="AL935" t="n">
        <v>11</v>
      </c>
      <c r="AM935" t="n">
        <v>2400</v>
      </c>
      <c r="AN935" t="n">
        <v>0</v>
      </c>
      <c r="AO935" t="n">
        <v>0</v>
      </c>
      <c r="AP935" s="39" t="n">
        <v>2400</v>
      </c>
      <c r="AQ935" s="39" t="n">
        <v>0</v>
      </c>
      <c r="AR935" s="39" t="n">
        <v>2400</v>
      </c>
      <c r="AT935" t="inlineStr">
        <is>
          <t>Crédito Hipotecario</t>
        </is>
      </c>
      <c r="AZ935" t="inlineStr">
        <is>
          <t>No</t>
        </is>
      </c>
      <c r="BC935" t="inlineStr">
        <is>
          <t>PENDIENTE</t>
        </is>
      </c>
      <c r="BN935" t="inlineStr">
        <is>
          <t>No</t>
        </is>
      </c>
      <c r="BO935" s="117" t="n">
        <v>46170.79166666666</v>
      </c>
      <c r="BP935" t="inlineStr">
        <is>
          <t>Carla Michue M</t>
        </is>
      </c>
      <c r="BR935" t="n">
        <v>43</v>
      </c>
      <c r="BT935" t="n">
        <v>0</v>
      </c>
      <c r="BX935" t="inlineStr">
        <is>
          <t>Cobranzas_2027.csv</t>
        </is>
      </c>
      <c r="BY935" t="n">
        <v>2027</v>
      </c>
      <c r="BZ935" t="inlineStr">
        <is>
          <t>01/01/2024</t>
        </is>
      </c>
      <c r="CA935" t="inlineStr">
        <is>
          <t>30/09/2031</t>
        </is>
      </c>
    </row>
    <row r="936">
      <c r="A936" t="inlineStr">
        <is>
          <t>RESIDENCIAL BEYOND</t>
        </is>
      </c>
      <c r="B936" t="inlineStr">
        <is>
          <t>Etapa 1</t>
        </is>
      </c>
      <c r="C936" t="inlineStr">
        <is>
          <t>Edificio</t>
        </is>
      </c>
      <c r="D936" t="inlineStr">
        <is>
          <t>A</t>
        </is>
      </c>
      <c r="E936" t="inlineStr">
        <is>
          <t>Estacionamiento</t>
        </is>
      </c>
      <c r="F936" t="inlineStr">
        <is>
          <t>E 59</t>
        </is>
      </c>
      <c r="G936" s="39" t="n">
        <v>39000</v>
      </c>
      <c r="H936" s="39" t="n">
        <v>39000</v>
      </c>
      <c r="M936" s="39" t="n"/>
      <c r="N936" s="39" t="n"/>
      <c r="S936" s="39" t="n"/>
      <c r="T936" s="39" t="n"/>
      <c r="Y936" s="39" t="n"/>
      <c r="Z936" s="39" t="n"/>
      <c r="AA936" t="inlineStr">
        <is>
          <t>Omar Edwin Riveros Tejada</t>
        </is>
      </c>
      <c r="AB936" t="inlineStr">
        <is>
          <t>47136409</t>
        </is>
      </c>
      <c r="AC936" t="inlineStr">
        <is>
          <t>Calle Berlin 734 - Dpto. 302</t>
        </is>
      </c>
      <c r="AD936" t="n">
        <v>0</v>
      </c>
      <c r="AE936" t="inlineStr">
        <is>
          <t>959940936</t>
        </is>
      </c>
      <c r="AF936" t="inlineStr">
        <is>
          <t>omarriveros91@gmail.com</t>
        </is>
      </c>
      <c r="AG936" t="inlineStr">
        <is>
          <t>LIMA</t>
        </is>
      </c>
      <c r="AH936" t="inlineStr">
        <is>
          <t>MIRAFLORES</t>
        </is>
      </c>
      <c r="AI936" s="116" t="n">
        <v>46751</v>
      </c>
      <c r="AJ936" s="116" t="n"/>
      <c r="AK936" t="inlineStr">
        <is>
          <t>SALDO FINANCIAR</t>
        </is>
      </c>
      <c r="AL936" t="n">
        <v>12</v>
      </c>
      <c r="AM936" t="n">
        <v>2600</v>
      </c>
      <c r="AN936" t="n">
        <v>0</v>
      </c>
      <c r="AO936" t="n">
        <v>0</v>
      </c>
      <c r="AP936" s="39" t="n">
        <v>2600</v>
      </c>
      <c r="AQ936" s="39" t="n">
        <v>0</v>
      </c>
      <c r="AR936" s="39" t="n">
        <v>2600</v>
      </c>
      <c r="AT936" t="inlineStr">
        <is>
          <t>Crédito Hipotecario</t>
        </is>
      </c>
      <c r="AZ936" t="inlineStr">
        <is>
          <t>No</t>
        </is>
      </c>
      <c r="BC936" t="inlineStr">
        <is>
          <t>PENDIENTE</t>
        </is>
      </c>
      <c r="BN936" t="inlineStr">
        <is>
          <t>No</t>
        </is>
      </c>
      <c r="BO936" s="117" t="n">
        <v>46170.79166666666</v>
      </c>
      <c r="BP936" t="inlineStr">
        <is>
          <t>Carla Michue M</t>
        </is>
      </c>
      <c r="BR936" t="n">
        <v>43</v>
      </c>
      <c r="BT936" t="n">
        <v>0</v>
      </c>
      <c r="BX936" t="inlineStr">
        <is>
          <t>Cobranzas_2027.csv</t>
        </is>
      </c>
      <c r="BY936" t="n">
        <v>2027</v>
      </c>
      <c r="BZ936" t="inlineStr">
        <is>
          <t>01/01/2024</t>
        </is>
      </c>
      <c r="CA936" t="inlineStr">
        <is>
          <t>30/09/2031</t>
        </is>
      </c>
    </row>
    <row r="937">
      <c r="A937" t="inlineStr">
        <is>
          <t>RESIDENCIAL BEYOND</t>
        </is>
      </c>
      <c r="B937" t="inlineStr">
        <is>
          <t>Etapa 1</t>
        </is>
      </c>
      <c r="C937" t="inlineStr">
        <is>
          <t>Edificio</t>
        </is>
      </c>
      <c r="D937" t="inlineStr">
        <is>
          <t>A</t>
        </is>
      </c>
      <c r="E937" t="inlineStr">
        <is>
          <t>Departamento</t>
        </is>
      </c>
      <c r="F937" t="inlineStr">
        <is>
          <t>604</t>
        </is>
      </c>
      <c r="G937" s="39" t="n">
        <v>460000</v>
      </c>
      <c r="H937" s="39" t="n">
        <v>460000</v>
      </c>
      <c r="I937" t="inlineStr">
        <is>
          <t>Edificio</t>
        </is>
      </c>
      <c r="J937" t="inlineStr">
        <is>
          <t>A</t>
        </is>
      </c>
      <c r="K937" t="inlineStr">
        <is>
          <t>Estacionamiento</t>
        </is>
      </c>
      <c r="L937" t="inlineStr">
        <is>
          <t>E 11</t>
        </is>
      </c>
      <c r="M937" s="39" t="n">
        <v>47500</v>
      </c>
      <c r="N937" s="39" t="n">
        <v>47500</v>
      </c>
      <c r="O937" t="inlineStr">
        <is>
          <t>Edificio</t>
        </is>
      </c>
      <c r="P937" t="inlineStr">
        <is>
          <t>A</t>
        </is>
      </c>
      <c r="Q937" t="inlineStr">
        <is>
          <t>Depósito</t>
        </is>
      </c>
      <c r="R937" t="inlineStr">
        <is>
          <t>D 07</t>
        </is>
      </c>
      <c r="S937" s="39" t="n">
        <v>9500</v>
      </c>
      <c r="T937" s="39" t="n">
        <v>9500</v>
      </c>
      <c r="U937" t="inlineStr">
        <is>
          <t>Edificio</t>
        </is>
      </c>
      <c r="V937" t="inlineStr">
        <is>
          <t>A</t>
        </is>
      </c>
      <c r="W937" t="inlineStr">
        <is>
          <t>Depósito</t>
        </is>
      </c>
      <c r="X937" t="inlineStr">
        <is>
          <t>D 06</t>
        </is>
      </c>
      <c r="Y937" s="39" t="n">
        <v>21700</v>
      </c>
      <c r="Z937" s="39" t="n">
        <v>21700</v>
      </c>
      <c r="AA937" t="inlineStr">
        <is>
          <t>PABLO JAIME CORNEJO PEREDA</t>
        </is>
      </c>
      <c r="AB937" t="inlineStr">
        <is>
          <t>07763504</t>
        </is>
      </c>
      <c r="AC937" t="inlineStr">
        <is>
          <t>Lima - Lima - San Miguel - Jr. Simon Bolivar 105 Dpto 1201</t>
        </is>
      </c>
      <c r="AE937" t="inlineStr">
        <is>
          <t>998912031</t>
        </is>
      </c>
      <c r="AF937" t="inlineStr">
        <is>
          <t>pablocornejo@yahoo.com</t>
        </is>
      </c>
      <c r="AG937" t="inlineStr">
        <is>
          <t>LIMA</t>
        </is>
      </c>
      <c r="AH937" t="inlineStr">
        <is>
          <t>SAN MIGUEL</t>
        </is>
      </c>
      <c r="AI937" s="116" t="n">
        <v>46477</v>
      </c>
      <c r="AJ937" s="116" t="n"/>
      <c r="AK937" t="inlineStr">
        <is>
          <t>SALDO FINANCIAR</t>
        </is>
      </c>
      <c r="AL937" t="n">
        <v>10</v>
      </c>
      <c r="AM937" t="n">
        <v>10584</v>
      </c>
      <c r="AN937" t="n">
        <v>0</v>
      </c>
      <c r="AO937" t="n">
        <v>0</v>
      </c>
      <c r="AP937" s="39" t="n">
        <v>10584</v>
      </c>
      <c r="AQ937" s="39" t="n">
        <v>0</v>
      </c>
      <c r="AR937" s="39" t="n">
        <v>10584</v>
      </c>
      <c r="AT937" t="inlineStr">
        <is>
          <t>Crédito Directo</t>
        </is>
      </c>
      <c r="AZ937" t="inlineStr">
        <is>
          <t>No</t>
        </is>
      </c>
      <c r="BC937" t="inlineStr">
        <is>
          <t>PENDIENTE</t>
        </is>
      </c>
      <c r="BN937" t="inlineStr">
        <is>
          <t>No</t>
        </is>
      </c>
      <c r="BO937" s="117" t="n">
        <v>45761.40694444445</v>
      </c>
      <c r="BP937" t="inlineStr">
        <is>
          <t>Magaly Guevara Perez</t>
        </is>
      </c>
      <c r="BR937" t="n">
        <v>38</v>
      </c>
      <c r="BT937" t="n">
        <v>0</v>
      </c>
      <c r="BX937" t="inlineStr">
        <is>
          <t>Cobranzas_2027.csv</t>
        </is>
      </c>
      <c r="BY937" t="n">
        <v>2027</v>
      </c>
      <c r="BZ937" t="inlineStr">
        <is>
          <t>01/01/2024</t>
        </is>
      </c>
      <c r="CA937" t="inlineStr">
        <is>
          <t>30/09/2031</t>
        </is>
      </c>
    </row>
    <row r="938">
      <c r="A938" t="inlineStr">
        <is>
          <t>RESIDENCIAL VENECIA</t>
        </is>
      </c>
      <c r="B938" t="inlineStr">
        <is>
          <t>Etapa 1</t>
        </is>
      </c>
      <c r="C938" t="inlineStr">
        <is>
          <t>Edificio</t>
        </is>
      </c>
      <c r="D938" t="inlineStr">
        <is>
          <t>A</t>
        </is>
      </c>
      <c r="E938" t="inlineStr">
        <is>
          <t>Departamento</t>
        </is>
      </c>
      <c r="F938" t="inlineStr">
        <is>
          <t>302</t>
        </is>
      </c>
      <c r="G938" s="39" t="n">
        <v>623000</v>
      </c>
      <c r="H938" s="39" t="n">
        <v>600000</v>
      </c>
      <c r="M938" s="39" t="n"/>
      <c r="N938" s="39" t="n"/>
      <c r="S938" s="39" t="n"/>
      <c r="T938" s="39" t="n"/>
      <c r="Y938" s="39" t="n"/>
      <c r="Z938" s="39" t="n"/>
      <c r="AA938" t="inlineStr">
        <is>
          <t>Patricia Salazar Aparcana</t>
        </is>
      </c>
      <c r="AB938" t="inlineStr">
        <is>
          <t>10142891</t>
        </is>
      </c>
      <c r="AC938" t="inlineStr">
        <is>
          <t xml:space="preserve"> Jr. Manco segundo 2258 dpto 207</t>
        </is>
      </c>
      <c r="AD938" t="n">
        <v>0</v>
      </c>
      <c r="AE938" t="inlineStr">
        <is>
          <t>996611448</t>
        </is>
      </c>
      <c r="AF938" t="inlineStr">
        <is>
          <t>PATRICIASALAZAR25@HOTMAIL.COM</t>
        </is>
      </c>
      <c r="AG938" t="inlineStr">
        <is>
          <t>LIMA</t>
        </is>
      </c>
      <c r="AH938" t="inlineStr">
        <is>
          <t>LINCE</t>
        </is>
      </c>
      <c r="AI938" s="116" t="n">
        <v>46416</v>
      </c>
      <c r="AJ938" s="116" t="n"/>
      <c r="AK938" t="inlineStr">
        <is>
          <t>SALDO FINANCIAR</t>
        </is>
      </c>
      <c r="AL938" t="n">
        <v>1</v>
      </c>
      <c r="AM938" t="n">
        <v>540000</v>
      </c>
      <c r="AN938" t="n">
        <v>0</v>
      </c>
      <c r="AO938" t="n">
        <v>0</v>
      </c>
      <c r="AP938" s="39" t="n">
        <v>540000</v>
      </c>
      <c r="AQ938" s="39" t="n">
        <v>0</v>
      </c>
      <c r="AR938" s="39" t="n">
        <v>540000</v>
      </c>
      <c r="AT938" t="inlineStr">
        <is>
          <t>Ahorro</t>
        </is>
      </c>
      <c r="AZ938" t="inlineStr">
        <is>
          <t>No</t>
        </is>
      </c>
      <c r="BC938" t="inlineStr">
        <is>
          <t>PENDIENTE</t>
        </is>
      </c>
      <c r="BN938" t="inlineStr">
        <is>
          <t>No</t>
        </is>
      </c>
      <c r="BO938" s="117" t="n">
        <v>46081.33819444444</v>
      </c>
      <c r="BP938" t="inlineStr">
        <is>
          <t>Magaly Guevara Perez</t>
        </is>
      </c>
      <c r="BR938" t="n">
        <v>1</v>
      </c>
      <c r="BT938" t="n">
        <v>0</v>
      </c>
      <c r="BX938" t="inlineStr">
        <is>
          <t>Cobranzas_2027.csv</t>
        </is>
      </c>
      <c r="BY938" t="n">
        <v>2027</v>
      </c>
      <c r="BZ938" t="inlineStr">
        <is>
          <t>01/01/2024</t>
        </is>
      </c>
      <c r="CA938" t="inlineStr">
        <is>
          <t>30/09/2031</t>
        </is>
      </c>
    </row>
    <row r="939">
      <c r="A939" t="inlineStr">
        <is>
          <t>RESIDENCIAL VENECIA</t>
        </is>
      </c>
      <c r="B939" t="inlineStr">
        <is>
          <t>Etapa 1</t>
        </is>
      </c>
      <c r="C939" t="inlineStr">
        <is>
          <t>Edificio</t>
        </is>
      </c>
      <c r="D939" t="inlineStr">
        <is>
          <t>A</t>
        </is>
      </c>
      <c r="E939" t="inlineStr">
        <is>
          <t>Estacionamiento</t>
        </is>
      </c>
      <c r="F939" t="inlineStr">
        <is>
          <t>E 25 - D 8</t>
        </is>
      </c>
      <c r="G939" s="39" t="n">
        <v>50800</v>
      </c>
      <c r="H939" s="39" t="n">
        <v>50800</v>
      </c>
      <c r="M939" s="39" t="n"/>
      <c r="N939" s="39" t="n"/>
      <c r="S939" s="39" t="n"/>
      <c r="T939" s="39" t="n"/>
      <c r="Y939" s="39" t="n"/>
      <c r="Z939" s="39" t="n"/>
      <c r="AA939" t="inlineStr">
        <is>
          <t>Patricia Salazar Aparcana</t>
        </is>
      </c>
      <c r="AB939" t="inlineStr">
        <is>
          <t>10142891</t>
        </is>
      </c>
      <c r="AC939" t="inlineStr">
        <is>
          <t xml:space="preserve"> Jr. Manco segundo 2258 dpto 207</t>
        </is>
      </c>
      <c r="AD939" t="n">
        <v>0</v>
      </c>
      <c r="AE939" t="inlineStr">
        <is>
          <t>996611448</t>
        </is>
      </c>
      <c r="AF939" t="inlineStr">
        <is>
          <t>PATRICIASALAZAR25@HOTMAIL.COM</t>
        </is>
      </c>
      <c r="AG939" t="inlineStr">
        <is>
          <t>LIMA</t>
        </is>
      </c>
      <c r="AH939" t="inlineStr">
        <is>
          <t>LINCE</t>
        </is>
      </c>
      <c r="AI939" s="116" t="n">
        <v>46418</v>
      </c>
      <c r="AJ939" s="116" t="n"/>
      <c r="AK939" t="inlineStr">
        <is>
          <t>SALDO FINANCIAR</t>
        </is>
      </c>
      <c r="AL939" t="n">
        <v>6</v>
      </c>
      <c r="AM939" t="n">
        <v>2512.94</v>
      </c>
      <c r="AN939" t="n">
        <v>0</v>
      </c>
      <c r="AO939" t="n">
        <v>0</v>
      </c>
      <c r="AP939" s="39" t="n">
        <v>2512.94</v>
      </c>
      <c r="AQ939" s="39" t="n">
        <v>0</v>
      </c>
      <c r="AR939" s="39" t="n">
        <v>2512.94</v>
      </c>
      <c r="AT939" t="inlineStr">
        <is>
          <t>Crédito Directo</t>
        </is>
      </c>
      <c r="AZ939" t="inlineStr">
        <is>
          <t>No</t>
        </is>
      </c>
      <c r="BC939" t="inlineStr">
        <is>
          <t>PENDIENTE</t>
        </is>
      </c>
      <c r="BN939" t="inlineStr">
        <is>
          <t>No</t>
        </is>
      </c>
      <c r="BO939" s="117" t="n">
        <v>46187.36388888889</v>
      </c>
      <c r="BP939" t="inlineStr">
        <is>
          <t>Magaly Guevara Perez</t>
        </is>
      </c>
      <c r="BR939" t="n">
        <v>20</v>
      </c>
      <c r="BT939" t="n">
        <v>0</v>
      </c>
      <c r="BX939" t="inlineStr">
        <is>
          <t>Cobranzas_2027.csv</t>
        </is>
      </c>
      <c r="BY939" t="n">
        <v>2027</v>
      </c>
      <c r="BZ939" t="inlineStr">
        <is>
          <t>01/01/2024</t>
        </is>
      </c>
      <c r="CA939" t="inlineStr">
        <is>
          <t>30/09/2031</t>
        </is>
      </c>
    </row>
    <row r="940">
      <c r="A940" t="inlineStr">
        <is>
          <t>RESIDENCIAL VENECIA</t>
        </is>
      </c>
      <c r="B940" t="inlineStr">
        <is>
          <t>Etapa 1</t>
        </is>
      </c>
      <c r="C940" t="inlineStr">
        <is>
          <t>Edificio</t>
        </is>
      </c>
      <c r="D940" t="inlineStr">
        <is>
          <t>A</t>
        </is>
      </c>
      <c r="E940" t="inlineStr">
        <is>
          <t>Estacionamiento</t>
        </is>
      </c>
      <c r="F940" t="inlineStr">
        <is>
          <t>E 25 - D 8</t>
        </is>
      </c>
      <c r="G940" s="39" t="n">
        <v>50800</v>
      </c>
      <c r="H940" s="39" t="n">
        <v>50800</v>
      </c>
      <c r="M940" s="39" t="n"/>
      <c r="N940" s="39" t="n"/>
      <c r="S940" s="39" t="n"/>
      <c r="T940" s="39" t="n"/>
      <c r="Y940" s="39" t="n"/>
      <c r="Z940" s="39" t="n"/>
      <c r="AA940" t="inlineStr">
        <is>
          <t>Patricia Salazar Aparcana</t>
        </is>
      </c>
      <c r="AB940" t="inlineStr">
        <is>
          <t>10142891</t>
        </is>
      </c>
      <c r="AC940" t="inlineStr">
        <is>
          <t xml:space="preserve"> Jr. Manco segundo 2258 dpto 207</t>
        </is>
      </c>
      <c r="AD940" t="n">
        <v>0</v>
      </c>
      <c r="AE940" t="inlineStr">
        <is>
          <t>996611448</t>
        </is>
      </c>
      <c r="AF940" t="inlineStr">
        <is>
          <t>PATRICIASALAZAR25@HOTMAIL.COM</t>
        </is>
      </c>
      <c r="AG940" t="inlineStr">
        <is>
          <t>LIMA</t>
        </is>
      </c>
      <c r="AH940" t="inlineStr">
        <is>
          <t>LINCE</t>
        </is>
      </c>
      <c r="AI940" s="116" t="n">
        <v>46446</v>
      </c>
      <c r="AJ940" s="116" t="n"/>
      <c r="AK940" t="inlineStr">
        <is>
          <t>SALDO FINANCIAR</t>
        </is>
      </c>
      <c r="AL940" t="n">
        <v>7</v>
      </c>
      <c r="AM940" t="n">
        <v>2512.94</v>
      </c>
      <c r="AN940" t="n">
        <v>0</v>
      </c>
      <c r="AO940" t="n">
        <v>0</v>
      </c>
      <c r="AP940" s="39" t="n">
        <v>2512.94</v>
      </c>
      <c r="AQ940" s="39" t="n">
        <v>0</v>
      </c>
      <c r="AR940" s="39" t="n">
        <v>2512.94</v>
      </c>
      <c r="AT940" t="inlineStr">
        <is>
          <t>Crédito Directo</t>
        </is>
      </c>
      <c r="AZ940" t="inlineStr">
        <is>
          <t>No</t>
        </is>
      </c>
      <c r="BC940" t="inlineStr">
        <is>
          <t>PENDIENTE</t>
        </is>
      </c>
      <c r="BN940" t="inlineStr">
        <is>
          <t>No</t>
        </is>
      </c>
      <c r="BO940" s="117" t="n">
        <v>46187.36388888889</v>
      </c>
      <c r="BP940" t="inlineStr">
        <is>
          <t>Magaly Guevara Perez</t>
        </is>
      </c>
      <c r="BR940" t="n">
        <v>20</v>
      </c>
      <c r="BT940" t="n">
        <v>0</v>
      </c>
      <c r="BX940" t="inlineStr">
        <is>
          <t>Cobranzas_2027.csv</t>
        </is>
      </c>
      <c r="BY940" t="n">
        <v>2027</v>
      </c>
      <c r="BZ940" t="inlineStr">
        <is>
          <t>01/01/2024</t>
        </is>
      </c>
      <c r="CA940" t="inlineStr">
        <is>
          <t>30/09/2031</t>
        </is>
      </c>
    </row>
    <row r="941">
      <c r="A941" t="inlineStr">
        <is>
          <t>RESIDENCIAL VENECIA</t>
        </is>
      </c>
      <c r="B941" t="inlineStr">
        <is>
          <t>Etapa 1</t>
        </is>
      </c>
      <c r="C941" t="inlineStr">
        <is>
          <t>Edificio</t>
        </is>
      </c>
      <c r="D941" t="inlineStr">
        <is>
          <t>A</t>
        </is>
      </c>
      <c r="E941" t="inlineStr">
        <is>
          <t>Estacionamiento</t>
        </is>
      </c>
      <c r="F941" t="inlineStr">
        <is>
          <t>E 25 - D 8</t>
        </is>
      </c>
      <c r="G941" s="39" t="n">
        <v>50800</v>
      </c>
      <c r="H941" s="39" t="n">
        <v>50800</v>
      </c>
      <c r="M941" s="39" t="n"/>
      <c r="N941" s="39" t="n"/>
      <c r="S941" s="39" t="n"/>
      <c r="T941" s="39" t="n"/>
      <c r="Y941" s="39" t="n"/>
      <c r="Z941" s="39" t="n"/>
      <c r="AA941" t="inlineStr">
        <is>
          <t>Patricia Salazar Aparcana</t>
        </is>
      </c>
      <c r="AB941" t="inlineStr">
        <is>
          <t>10142891</t>
        </is>
      </c>
      <c r="AC941" t="inlineStr">
        <is>
          <t xml:space="preserve"> Jr. Manco segundo 2258 dpto 207</t>
        </is>
      </c>
      <c r="AD941" t="n">
        <v>0</v>
      </c>
      <c r="AE941" t="inlineStr">
        <is>
          <t>996611448</t>
        </is>
      </c>
      <c r="AF941" t="inlineStr">
        <is>
          <t>PATRICIASALAZAR25@HOTMAIL.COM</t>
        </is>
      </c>
      <c r="AG941" t="inlineStr">
        <is>
          <t>LIMA</t>
        </is>
      </c>
      <c r="AH941" t="inlineStr">
        <is>
          <t>LINCE</t>
        </is>
      </c>
      <c r="AI941" s="116" t="n">
        <v>46477</v>
      </c>
      <c r="AJ941" s="116" t="n"/>
      <c r="AK941" t="inlineStr">
        <is>
          <t>SALDO FINANCIAR</t>
        </is>
      </c>
      <c r="AL941" t="n">
        <v>8</v>
      </c>
      <c r="AM941" t="n">
        <v>2512.94</v>
      </c>
      <c r="AN941" t="n">
        <v>0</v>
      </c>
      <c r="AO941" t="n">
        <v>0</v>
      </c>
      <c r="AP941" s="39" t="n">
        <v>2512.94</v>
      </c>
      <c r="AQ941" s="39" t="n">
        <v>0</v>
      </c>
      <c r="AR941" s="39" t="n">
        <v>2512.94</v>
      </c>
      <c r="AT941" t="inlineStr">
        <is>
          <t>Crédito Directo</t>
        </is>
      </c>
      <c r="AZ941" t="inlineStr">
        <is>
          <t>No</t>
        </is>
      </c>
      <c r="BC941" t="inlineStr">
        <is>
          <t>PENDIENTE</t>
        </is>
      </c>
      <c r="BN941" t="inlineStr">
        <is>
          <t>No</t>
        </is>
      </c>
      <c r="BO941" s="117" t="n">
        <v>46187.36388888889</v>
      </c>
      <c r="BP941" t="inlineStr">
        <is>
          <t>Magaly Guevara Perez</t>
        </is>
      </c>
      <c r="BR941" t="n">
        <v>20</v>
      </c>
      <c r="BT941" t="n">
        <v>0</v>
      </c>
      <c r="BX941" t="inlineStr">
        <is>
          <t>Cobranzas_2027.csv</t>
        </is>
      </c>
      <c r="BY941" t="n">
        <v>2027</v>
      </c>
      <c r="BZ941" t="inlineStr">
        <is>
          <t>01/01/2024</t>
        </is>
      </c>
      <c r="CA941" t="inlineStr">
        <is>
          <t>30/09/2031</t>
        </is>
      </c>
    </row>
    <row r="942">
      <c r="A942" t="inlineStr">
        <is>
          <t>RESIDENCIAL VENECIA</t>
        </is>
      </c>
      <c r="B942" t="inlineStr">
        <is>
          <t>Etapa 1</t>
        </is>
      </c>
      <c r="C942" t="inlineStr">
        <is>
          <t>Edificio</t>
        </is>
      </c>
      <c r="D942" t="inlineStr">
        <is>
          <t>A</t>
        </is>
      </c>
      <c r="E942" t="inlineStr">
        <is>
          <t>Estacionamiento</t>
        </is>
      </c>
      <c r="F942" t="inlineStr">
        <is>
          <t>E 25 - D 8</t>
        </is>
      </c>
      <c r="G942" s="39" t="n">
        <v>50800</v>
      </c>
      <c r="H942" s="39" t="n">
        <v>50800</v>
      </c>
      <c r="M942" s="39" t="n"/>
      <c r="N942" s="39" t="n"/>
      <c r="S942" s="39" t="n"/>
      <c r="T942" s="39" t="n"/>
      <c r="Y942" s="39" t="n"/>
      <c r="Z942" s="39" t="n"/>
      <c r="AA942" t="inlineStr">
        <is>
          <t>Patricia Salazar Aparcana</t>
        </is>
      </c>
      <c r="AB942" t="inlineStr">
        <is>
          <t>10142891</t>
        </is>
      </c>
      <c r="AC942" t="inlineStr">
        <is>
          <t xml:space="preserve"> Jr. Manco segundo 2258 dpto 207</t>
        </is>
      </c>
      <c r="AD942" t="n">
        <v>0</v>
      </c>
      <c r="AE942" t="inlineStr">
        <is>
          <t>996611448</t>
        </is>
      </c>
      <c r="AF942" t="inlineStr">
        <is>
          <t>PATRICIASALAZAR25@HOTMAIL.COM</t>
        </is>
      </c>
      <c r="AG942" t="inlineStr">
        <is>
          <t>LIMA</t>
        </is>
      </c>
      <c r="AH942" t="inlineStr">
        <is>
          <t>LINCE</t>
        </is>
      </c>
      <c r="AI942" s="116" t="n">
        <v>46507</v>
      </c>
      <c r="AJ942" s="116" t="n"/>
      <c r="AK942" t="inlineStr">
        <is>
          <t>SALDO FINANCIAR</t>
        </is>
      </c>
      <c r="AL942" t="n">
        <v>9</v>
      </c>
      <c r="AM942" t="n">
        <v>2512.94</v>
      </c>
      <c r="AN942" t="n">
        <v>0</v>
      </c>
      <c r="AO942" t="n">
        <v>0</v>
      </c>
      <c r="AP942" s="39" t="n">
        <v>2512.94</v>
      </c>
      <c r="AQ942" s="39" t="n">
        <v>0</v>
      </c>
      <c r="AR942" s="39" t="n">
        <v>2512.94</v>
      </c>
      <c r="AT942" t="inlineStr">
        <is>
          <t>Crédito Directo</t>
        </is>
      </c>
      <c r="AZ942" t="inlineStr">
        <is>
          <t>No</t>
        </is>
      </c>
      <c r="BC942" t="inlineStr">
        <is>
          <t>PENDIENTE</t>
        </is>
      </c>
      <c r="BN942" t="inlineStr">
        <is>
          <t>No</t>
        </is>
      </c>
      <c r="BO942" s="117" t="n">
        <v>46187.36388888889</v>
      </c>
      <c r="BP942" t="inlineStr">
        <is>
          <t>Magaly Guevara Perez</t>
        </is>
      </c>
      <c r="BR942" t="n">
        <v>20</v>
      </c>
      <c r="BT942" t="n">
        <v>0</v>
      </c>
      <c r="BX942" t="inlineStr">
        <is>
          <t>Cobranzas_2027.csv</t>
        </is>
      </c>
      <c r="BY942" t="n">
        <v>2027</v>
      </c>
      <c r="BZ942" t="inlineStr">
        <is>
          <t>01/01/2024</t>
        </is>
      </c>
      <c r="CA942" t="inlineStr">
        <is>
          <t>30/09/2031</t>
        </is>
      </c>
    </row>
    <row r="943">
      <c r="A943" t="inlineStr">
        <is>
          <t>RESIDENCIAL VENECIA</t>
        </is>
      </c>
      <c r="B943" t="inlineStr">
        <is>
          <t>Etapa 1</t>
        </is>
      </c>
      <c r="C943" t="inlineStr">
        <is>
          <t>Edificio</t>
        </is>
      </c>
      <c r="D943" t="inlineStr">
        <is>
          <t>A</t>
        </is>
      </c>
      <c r="E943" t="inlineStr">
        <is>
          <t>Estacionamiento</t>
        </is>
      </c>
      <c r="F943" t="inlineStr">
        <is>
          <t>E 25 - D 8</t>
        </is>
      </c>
      <c r="G943" s="39" t="n">
        <v>50800</v>
      </c>
      <c r="H943" s="39" t="n">
        <v>50800</v>
      </c>
      <c r="M943" s="39" t="n"/>
      <c r="N943" s="39" t="n"/>
      <c r="S943" s="39" t="n"/>
      <c r="T943" s="39" t="n"/>
      <c r="Y943" s="39" t="n"/>
      <c r="Z943" s="39" t="n"/>
      <c r="AA943" t="inlineStr">
        <is>
          <t>Patricia Salazar Aparcana</t>
        </is>
      </c>
      <c r="AB943" t="inlineStr">
        <is>
          <t>10142891</t>
        </is>
      </c>
      <c r="AC943" t="inlineStr">
        <is>
          <t xml:space="preserve"> Jr. Manco segundo 2258 dpto 207</t>
        </is>
      </c>
      <c r="AD943" t="n">
        <v>0</v>
      </c>
      <c r="AE943" t="inlineStr">
        <is>
          <t>996611448</t>
        </is>
      </c>
      <c r="AF943" t="inlineStr">
        <is>
          <t>PATRICIASALAZAR25@HOTMAIL.COM</t>
        </is>
      </c>
      <c r="AG943" t="inlineStr">
        <is>
          <t>LIMA</t>
        </is>
      </c>
      <c r="AH943" t="inlineStr">
        <is>
          <t>LINCE</t>
        </is>
      </c>
      <c r="AI943" s="116" t="n">
        <v>46538</v>
      </c>
      <c r="AJ943" s="116" t="n"/>
      <c r="AK943" t="inlineStr">
        <is>
          <t>SALDO FINANCIAR</t>
        </is>
      </c>
      <c r="AL943" t="n">
        <v>10</v>
      </c>
      <c r="AM943" t="n">
        <v>2512.94</v>
      </c>
      <c r="AN943" t="n">
        <v>0</v>
      </c>
      <c r="AO943" t="n">
        <v>0</v>
      </c>
      <c r="AP943" s="39" t="n">
        <v>2512.94</v>
      </c>
      <c r="AQ943" s="39" t="n">
        <v>0</v>
      </c>
      <c r="AR943" s="39" t="n">
        <v>2512.94</v>
      </c>
      <c r="AT943" t="inlineStr">
        <is>
          <t>Crédito Directo</t>
        </is>
      </c>
      <c r="AZ943" t="inlineStr">
        <is>
          <t>No</t>
        </is>
      </c>
      <c r="BC943" t="inlineStr">
        <is>
          <t>PENDIENTE</t>
        </is>
      </c>
      <c r="BN943" t="inlineStr">
        <is>
          <t>No</t>
        </is>
      </c>
      <c r="BO943" s="117" t="n">
        <v>46187.36388888889</v>
      </c>
      <c r="BP943" t="inlineStr">
        <is>
          <t>Magaly Guevara Perez</t>
        </is>
      </c>
      <c r="BR943" t="n">
        <v>20</v>
      </c>
      <c r="BT943" t="n">
        <v>0</v>
      </c>
      <c r="BX943" t="inlineStr">
        <is>
          <t>Cobranzas_2027.csv</t>
        </is>
      </c>
      <c r="BY943" t="n">
        <v>2027</v>
      </c>
      <c r="BZ943" t="inlineStr">
        <is>
          <t>01/01/2024</t>
        </is>
      </c>
      <c r="CA943" t="inlineStr">
        <is>
          <t>30/09/2031</t>
        </is>
      </c>
    </row>
    <row r="944">
      <c r="A944" t="inlineStr">
        <is>
          <t>RESIDENCIAL VENECIA</t>
        </is>
      </c>
      <c r="B944" t="inlineStr">
        <is>
          <t>Etapa 1</t>
        </is>
      </c>
      <c r="C944" t="inlineStr">
        <is>
          <t>Edificio</t>
        </is>
      </c>
      <c r="D944" t="inlineStr">
        <is>
          <t>A</t>
        </is>
      </c>
      <c r="E944" t="inlineStr">
        <is>
          <t>Estacionamiento</t>
        </is>
      </c>
      <c r="F944" t="inlineStr">
        <is>
          <t>E 25 - D 8</t>
        </is>
      </c>
      <c r="G944" s="39" t="n">
        <v>50800</v>
      </c>
      <c r="H944" s="39" t="n">
        <v>50800</v>
      </c>
      <c r="M944" s="39" t="n"/>
      <c r="N944" s="39" t="n"/>
      <c r="S944" s="39" t="n"/>
      <c r="T944" s="39" t="n"/>
      <c r="Y944" s="39" t="n"/>
      <c r="Z944" s="39" t="n"/>
      <c r="AA944" t="inlineStr">
        <is>
          <t>Patricia Salazar Aparcana</t>
        </is>
      </c>
      <c r="AB944" t="inlineStr">
        <is>
          <t>10142891</t>
        </is>
      </c>
      <c r="AC944" t="inlineStr">
        <is>
          <t xml:space="preserve"> Jr. Manco segundo 2258 dpto 207</t>
        </is>
      </c>
      <c r="AD944" t="n">
        <v>0</v>
      </c>
      <c r="AE944" t="inlineStr">
        <is>
          <t>996611448</t>
        </is>
      </c>
      <c r="AF944" t="inlineStr">
        <is>
          <t>PATRICIASALAZAR25@HOTMAIL.COM</t>
        </is>
      </c>
      <c r="AG944" t="inlineStr">
        <is>
          <t>LIMA</t>
        </is>
      </c>
      <c r="AH944" t="inlineStr">
        <is>
          <t>LINCE</t>
        </is>
      </c>
      <c r="AI944" s="116" t="n">
        <v>46568</v>
      </c>
      <c r="AJ944" s="116" t="n"/>
      <c r="AK944" t="inlineStr">
        <is>
          <t>SALDO FINANCIAR</t>
        </is>
      </c>
      <c r="AL944" t="n">
        <v>11</v>
      </c>
      <c r="AM944" t="n">
        <v>2512.94</v>
      </c>
      <c r="AN944" t="n">
        <v>0</v>
      </c>
      <c r="AO944" t="n">
        <v>0</v>
      </c>
      <c r="AP944" s="39" t="n">
        <v>2512.94</v>
      </c>
      <c r="AQ944" s="39" t="n">
        <v>0</v>
      </c>
      <c r="AR944" s="39" t="n">
        <v>2512.94</v>
      </c>
      <c r="AT944" t="inlineStr">
        <is>
          <t>Crédito Directo</t>
        </is>
      </c>
      <c r="AZ944" t="inlineStr">
        <is>
          <t>No</t>
        </is>
      </c>
      <c r="BC944" t="inlineStr">
        <is>
          <t>PENDIENTE</t>
        </is>
      </c>
      <c r="BN944" t="inlineStr">
        <is>
          <t>No</t>
        </is>
      </c>
      <c r="BO944" s="117" t="n">
        <v>46187.36388888889</v>
      </c>
      <c r="BP944" t="inlineStr">
        <is>
          <t>Magaly Guevara Perez</t>
        </is>
      </c>
      <c r="BR944" t="n">
        <v>20</v>
      </c>
      <c r="BT944" t="n">
        <v>0</v>
      </c>
      <c r="BX944" t="inlineStr">
        <is>
          <t>Cobranzas_2027.csv</t>
        </is>
      </c>
      <c r="BY944" t="n">
        <v>2027</v>
      </c>
      <c r="BZ944" t="inlineStr">
        <is>
          <t>01/01/2024</t>
        </is>
      </c>
      <c r="CA944" t="inlineStr">
        <is>
          <t>30/09/2031</t>
        </is>
      </c>
    </row>
    <row r="945">
      <c r="A945" t="inlineStr">
        <is>
          <t>RESIDENCIAL VENECIA</t>
        </is>
      </c>
      <c r="B945" t="inlineStr">
        <is>
          <t>Etapa 1</t>
        </is>
      </c>
      <c r="C945" t="inlineStr">
        <is>
          <t>Edificio</t>
        </is>
      </c>
      <c r="D945" t="inlineStr">
        <is>
          <t>A</t>
        </is>
      </c>
      <c r="E945" t="inlineStr">
        <is>
          <t>Estacionamiento</t>
        </is>
      </c>
      <c r="F945" t="inlineStr">
        <is>
          <t>E 25 - D 8</t>
        </is>
      </c>
      <c r="G945" s="39" t="n">
        <v>50800</v>
      </c>
      <c r="H945" s="39" t="n">
        <v>50800</v>
      </c>
      <c r="M945" s="39" t="n"/>
      <c r="N945" s="39" t="n"/>
      <c r="S945" s="39" t="n"/>
      <c r="T945" s="39" t="n"/>
      <c r="Y945" s="39" t="n"/>
      <c r="Z945" s="39" t="n"/>
      <c r="AA945" t="inlineStr">
        <is>
          <t>Patricia Salazar Aparcana</t>
        </is>
      </c>
      <c r="AB945" t="inlineStr">
        <is>
          <t>10142891</t>
        </is>
      </c>
      <c r="AC945" t="inlineStr">
        <is>
          <t xml:space="preserve"> Jr. Manco segundo 2258 dpto 207</t>
        </is>
      </c>
      <c r="AD945" t="n">
        <v>0</v>
      </c>
      <c r="AE945" t="inlineStr">
        <is>
          <t>996611448</t>
        </is>
      </c>
      <c r="AF945" t="inlineStr">
        <is>
          <t>PATRICIASALAZAR25@HOTMAIL.COM</t>
        </is>
      </c>
      <c r="AG945" t="inlineStr">
        <is>
          <t>LIMA</t>
        </is>
      </c>
      <c r="AH945" t="inlineStr">
        <is>
          <t>LINCE</t>
        </is>
      </c>
      <c r="AI945" s="116" t="n">
        <v>46599</v>
      </c>
      <c r="AJ945" s="116" t="n"/>
      <c r="AK945" t="inlineStr">
        <is>
          <t>SALDO FINANCIAR</t>
        </is>
      </c>
      <c r="AL945" t="n">
        <v>12</v>
      </c>
      <c r="AM945" t="n">
        <v>2512.94</v>
      </c>
      <c r="AN945" t="n">
        <v>0</v>
      </c>
      <c r="AO945" t="n">
        <v>0</v>
      </c>
      <c r="AP945" s="39" t="n">
        <v>2512.94</v>
      </c>
      <c r="AQ945" s="39" t="n">
        <v>0</v>
      </c>
      <c r="AR945" s="39" t="n">
        <v>2512.94</v>
      </c>
      <c r="AT945" t="inlineStr">
        <is>
          <t>Crédito Directo</t>
        </is>
      </c>
      <c r="AZ945" t="inlineStr">
        <is>
          <t>No</t>
        </is>
      </c>
      <c r="BC945" t="inlineStr">
        <is>
          <t>PENDIENTE</t>
        </is>
      </c>
      <c r="BN945" t="inlineStr">
        <is>
          <t>No</t>
        </is>
      </c>
      <c r="BO945" s="117" t="n">
        <v>46187.36388888889</v>
      </c>
      <c r="BP945" t="inlineStr">
        <is>
          <t>Magaly Guevara Perez</t>
        </is>
      </c>
      <c r="BR945" t="n">
        <v>20</v>
      </c>
      <c r="BT945" t="n">
        <v>0</v>
      </c>
      <c r="BX945" t="inlineStr">
        <is>
          <t>Cobranzas_2027.csv</t>
        </is>
      </c>
      <c r="BY945" t="n">
        <v>2027</v>
      </c>
      <c r="BZ945" t="inlineStr">
        <is>
          <t>01/01/2024</t>
        </is>
      </c>
      <c r="CA945" t="inlineStr">
        <is>
          <t>30/09/2031</t>
        </is>
      </c>
    </row>
    <row r="946">
      <c r="A946" t="inlineStr">
        <is>
          <t>RESIDENCIAL VENECIA</t>
        </is>
      </c>
      <c r="B946" t="inlineStr">
        <is>
          <t>Etapa 1</t>
        </is>
      </c>
      <c r="C946" t="inlineStr">
        <is>
          <t>Edificio</t>
        </is>
      </c>
      <c r="D946" t="inlineStr">
        <is>
          <t>A</t>
        </is>
      </c>
      <c r="E946" t="inlineStr">
        <is>
          <t>Estacionamiento</t>
        </is>
      </c>
      <c r="F946" t="inlineStr">
        <is>
          <t>E 25 - D 8</t>
        </is>
      </c>
      <c r="G946" s="39" t="n">
        <v>50800</v>
      </c>
      <c r="H946" s="39" t="n">
        <v>50800</v>
      </c>
      <c r="M946" s="39" t="n"/>
      <c r="N946" s="39" t="n"/>
      <c r="S946" s="39" t="n"/>
      <c r="T946" s="39" t="n"/>
      <c r="Y946" s="39" t="n"/>
      <c r="Z946" s="39" t="n"/>
      <c r="AA946" t="inlineStr">
        <is>
          <t>Patricia Salazar Aparcana</t>
        </is>
      </c>
      <c r="AB946" t="inlineStr">
        <is>
          <t>10142891</t>
        </is>
      </c>
      <c r="AC946" t="inlineStr">
        <is>
          <t xml:space="preserve"> Jr. Manco segundo 2258 dpto 207</t>
        </is>
      </c>
      <c r="AD946" t="n">
        <v>0</v>
      </c>
      <c r="AE946" t="inlineStr">
        <is>
          <t>996611448</t>
        </is>
      </c>
      <c r="AF946" t="inlineStr">
        <is>
          <t>PATRICIASALAZAR25@HOTMAIL.COM</t>
        </is>
      </c>
      <c r="AG946" t="inlineStr">
        <is>
          <t>LIMA</t>
        </is>
      </c>
      <c r="AH946" t="inlineStr">
        <is>
          <t>LINCE</t>
        </is>
      </c>
      <c r="AI946" s="116" t="n">
        <v>46630</v>
      </c>
      <c r="AJ946" s="116" t="n"/>
      <c r="AK946" t="inlineStr">
        <is>
          <t>SALDO FINANCIAR</t>
        </is>
      </c>
      <c r="AL946" t="n">
        <v>13</v>
      </c>
      <c r="AM946" t="n">
        <v>2512.94</v>
      </c>
      <c r="AN946" t="n">
        <v>0</v>
      </c>
      <c r="AO946" t="n">
        <v>0</v>
      </c>
      <c r="AP946" s="39" t="n">
        <v>2512.94</v>
      </c>
      <c r="AQ946" s="39" t="n">
        <v>0</v>
      </c>
      <c r="AR946" s="39" t="n">
        <v>2512.94</v>
      </c>
      <c r="AT946" t="inlineStr">
        <is>
          <t>Crédito Directo</t>
        </is>
      </c>
      <c r="AZ946" t="inlineStr">
        <is>
          <t>No</t>
        </is>
      </c>
      <c r="BC946" t="inlineStr">
        <is>
          <t>PENDIENTE</t>
        </is>
      </c>
      <c r="BN946" t="inlineStr">
        <is>
          <t>No</t>
        </is>
      </c>
      <c r="BO946" s="117" t="n">
        <v>46187.36388888889</v>
      </c>
      <c r="BP946" t="inlineStr">
        <is>
          <t>Magaly Guevara Perez</t>
        </is>
      </c>
      <c r="BR946" t="n">
        <v>20</v>
      </c>
      <c r="BT946" t="n">
        <v>0</v>
      </c>
      <c r="BX946" t="inlineStr">
        <is>
          <t>Cobranzas_2027.csv</t>
        </is>
      </c>
      <c r="BY946" t="n">
        <v>2027</v>
      </c>
      <c r="BZ946" t="inlineStr">
        <is>
          <t>01/01/2024</t>
        </is>
      </c>
      <c r="CA946" t="inlineStr">
        <is>
          <t>30/09/2031</t>
        </is>
      </c>
    </row>
    <row r="947">
      <c r="A947" t="inlineStr">
        <is>
          <t>RESIDENCIAL VENECIA</t>
        </is>
      </c>
      <c r="B947" t="inlineStr">
        <is>
          <t>Etapa 1</t>
        </is>
      </c>
      <c r="C947" t="inlineStr">
        <is>
          <t>Edificio</t>
        </is>
      </c>
      <c r="D947" t="inlineStr">
        <is>
          <t>A</t>
        </is>
      </c>
      <c r="E947" t="inlineStr">
        <is>
          <t>Estacionamiento</t>
        </is>
      </c>
      <c r="F947" t="inlineStr">
        <is>
          <t>E 25 - D 8</t>
        </is>
      </c>
      <c r="G947" s="39" t="n">
        <v>50800</v>
      </c>
      <c r="H947" s="39" t="n">
        <v>50800</v>
      </c>
      <c r="M947" s="39" t="n"/>
      <c r="N947" s="39" t="n"/>
      <c r="S947" s="39" t="n"/>
      <c r="T947" s="39" t="n"/>
      <c r="Y947" s="39" t="n"/>
      <c r="Z947" s="39" t="n"/>
      <c r="AA947" t="inlineStr">
        <is>
          <t>Patricia Salazar Aparcana</t>
        </is>
      </c>
      <c r="AB947" t="inlineStr">
        <is>
          <t>10142891</t>
        </is>
      </c>
      <c r="AC947" t="inlineStr">
        <is>
          <t xml:space="preserve"> Jr. Manco segundo 2258 dpto 207</t>
        </is>
      </c>
      <c r="AD947" t="n">
        <v>0</v>
      </c>
      <c r="AE947" t="inlineStr">
        <is>
          <t>996611448</t>
        </is>
      </c>
      <c r="AF947" t="inlineStr">
        <is>
          <t>PATRICIASALAZAR25@HOTMAIL.COM</t>
        </is>
      </c>
      <c r="AG947" t="inlineStr">
        <is>
          <t>LIMA</t>
        </is>
      </c>
      <c r="AH947" t="inlineStr">
        <is>
          <t>LINCE</t>
        </is>
      </c>
      <c r="AI947" s="116" t="n">
        <v>46660</v>
      </c>
      <c r="AJ947" s="116" t="n"/>
      <c r="AK947" t="inlineStr">
        <is>
          <t>SALDO FINANCIAR</t>
        </is>
      </c>
      <c r="AL947" t="n">
        <v>14</v>
      </c>
      <c r="AM947" t="n">
        <v>2512.94</v>
      </c>
      <c r="AN947" t="n">
        <v>0</v>
      </c>
      <c r="AO947" t="n">
        <v>0</v>
      </c>
      <c r="AP947" s="39" t="n">
        <v>2512.94</v>
      </c>
      <c r="AQ947" s="39" t="n">
        <v>0</v>
      </c>
      <c r="AR947" s="39" t="n">
        <v>2512.94</v>
      </c>
      <c r="AT947" t="inlineStr">
        <is>
          <t>Crédito Directo</t>
        </is>
      </c>
      <c r="AZ947" t="inlineStr">
        <is>
          <t>No</t>
        </is>
      </c>
      <c r="BC947" t="inlineStr">
        <is>
          <t>PENDIENTE</t>
        </is>
      </c>
      <c r="BN947" t="inlineStr">
        <is>
          <t>No</t>
        </is>
      </c>
      <c r="BO947" s="117" t="n">
        <v>46187.36388888889</v>
      </c>
      <c r="BP947" t="inlineStr">
        <is>
          <t>Magaly Guevara Perez</t>
        </is>
      </c>
      <c r="BR947" t="n">
        <v>20</v>
      </c>
      <c r="BT947" t="n">
        <v>0</v>
      </c>
      <c r="BX947" t="inlineStr">
        <is>
          <t>Cobranzas_2027.csv</t>
        </is>
      </c>
      <c r="BY947" t="n">
        <v>2027</v>
      </c>
      <c r="BZ947" t="inlineStr">
        <is>
          <t>01/01/2024</t>
        </is>
      </c>
      <c r="CA947" t="inlineStr">
        <is>
          <t>30/09/2031</t>
        </is>
      </c>
    </row>
    <row r="948">
      <c r="A948" t="inlineStr">
        <is>
          <t>RESIDENCIAL VENECIA</t>
        </is>
      </c>
      <c r="B948" t="inlineStr">
        <is>
          <t>Etapa 1</t>
        </is>
      </c>
      <c r="C948" t="inlineStr">
        <is>
          <t>Edificio</t>
        </is>
      </c>
      <c r="D948" t="inlineStr">
        <is>
          <t>A</t>
        </is>
      </c>
      <c r="E948" t="inlineStr">
        <is>
          <t>Estacionamiento</t>
        </is>
      </c>
      <c r="F948" t="inlineStr">
        <is>
          <t>E 25 - D 8</t>
        </is>
      </c>
      <c r="G948" s="39" t="n">
        <v>50800</v>
      </c>
      <c r="H948" s="39" t="n">
        <v>50800</v>
      </c>
      <c r="M948" s="39" t="n"/>
      <c r="N948" s="39" t="n"/>
      <c r="S948" s="39" t="n"/>
      <c r="T948" s="39" t="n"/>
      <c r="Y948" s="39" t="n"/>
      <c r="Z948" s="39" t="n"/>
      <c r="AA948" t="inlineStr">
        <is>
          <t>Patricia Salazar Aparcana</t>
        </is>
      </c>
      <c r="AB948" t="inlineStr">
        <is>
          <t>10142891</t>
        </is>
      </c>
      <c r="AC948" t="inlineStr">
        <is>
          <t xml:space="preserve"> Jr. Manco segundo 2258 dpto 207</t>
        </is>
      </c>
      <c r="AD948" t="n">
        <v>0</v>
      </c>
      <c r="AE948" t="inlineStr">
        <is>
          <t>996611448</t>
        </is>
      </c>
      <c r="AF948" t="inlineStr">
        <is>
          <t>PATRICIASALAZAR25@HOTMAIL.COM</t>
        </is>
      </c>
      <c r="AG948" t="inlineStr">
        <is>
          <t>LIMA</t>
        </is>
      </c>
      <c r="AH948" t="inlineStr">
        <is>
          <t>LINCE</t>
        </is>
      </c>
      <c r="AI948" s="116" t="n">
        <v>46691</v>
      </c>
      <c r="AJ948" s="116" t="n"/>
      <c r="AK948" t="inlineStr">
        <is>
          <t>SALDO FINANCIAR</t>
        </is>
      </c>
      <c r="AL948" t="n">
        <v>15</v>
      </c>
      <c r="AM948" t="n">
        <v>2512.94</v>
      </c>
      <c r="AN948" t="n">
        <v>0</v>
      </c>
      <c r="AO948" t="n">
        <v>0</v>
      </c>
      <c r="AP948" s="39" t="n">
        <v>2512.94</v>
      </c>
      <c r="AQ948" s="39" t="n">
        <v>0</v>
      </c>
      <c r="AR948" s="39" t="n">
        <v>2512.94</v>
      </c>
      <c r="AT948" t="inlineStr">
        <is>
          <t>Crédito Directo</t>
        </is>
      </c>
      <c r="AZ948" t="inlineStr">
        <is>
          <t>No</t>
        </is>
      </c>
      <c r="BC948" t="inlineStr">
        <is>
          <t>PENDIENTE</t>
        </is>
      </c>
      <c r="BN948" t="inlineStr">
        <is>
          <t>No</t>
        </is>
      </c>
      <c r="BO948" s="117" t="n">
        <v>46187.36388888889</v>
      </c>
      <c r="BP948" t="inlineStr">
        <is>
          <t>Magaly Guevara Perez</t>
        </is>
      </c>
      <c r="BR948" t="n">
        <v>20</v>
      </c>
      <c r="BT948" t="n">
        <v>0</v>
      </c>
      <c r="BX948" t="inlineStr">
        <is>
          <t>Cobranzas_2027.csv</t>
        </is>
      </c>
      <c r="BY948" t="n">
        <v>2027</v>
      </c>
      <c r="BZ948" t="inlineStr">
        <is>
          <t>01/01/2024</t>
        </is>
      </c>
      <c r="CA948" t="inlineStr">
        <is>
          <t>30/09/2031</t>
        </is>
      </c>
    </row>
    <row r="949">
      <c r="A949" t="inlineStr">
        <is>
          <t>RESIDENCIAL VENECIA</t>
        </is>
      </c>
      <c r="B949" t="inlineStr">
        <is>
          <t>Etapa 1</t>
        </is>
      </c>
      <c r="C949" t="inlineStr">
        <is>
          <t>Edificio</t>
        </is>
      </c>
      <c r="D949" t="inlineStr">
        <is>
          <t>A</t>
        </is>
      </c>
      <c r="E949" t="inlineStr">
        <is>
          <t>Estacionamiento</t>
        </is>
      </c>
      <c r="F949" t="inlineStr">
        <is>
          <t>E 25 - D 8</t>
        </is>
      </c>
      <c r="G949" s="39" t="n">
        <v>50800</v>
      </c>
      <c r="H949" s="39" t="n">
        <v>50800</v>
      </c>
      <c r="M949" s="39" t="n"/>
      <c r="N949" s="39" t="n"/>
      <c r="S949" s="39" t="n"/>
      <c r="T949" s="39" t="n"/>
      <c r="Y949" s="39" t="n"/>
      <c r="Z949" s="39" t="n"/>
      <c r="AA949" t="inlineStr">
        <is>
          <t>Patricia Salazar Aparcana</t>
        </is>
      </c>
      <c r="AB949" t="inlineStr">
        <is>
          <t>10142891</t>
        </is>
      </c>
      <c r="AC949" t="inlineStr">
        <is>
          <t xml:space="preserve"> Jr. Manco segundo 2258 dpto 207</t>
        </is>
      </c>
      <c r="AD949" t="n">
        <v>0</v>
      </c>
      <c r="AE949" t="inlineStr">
        <is>
          <t>996611448</t>
        </is>
      </c>
      <c r="AF949" t="inlineStr">
        <is>
          <t>PATRICIASALAZAR25@HOTMAIL.COM</t>
        </is>
      </c>
      <c r="AG949" t="inlineStr">
        <is>
          <t>LIMA</t>
        </is>
      </c>
      <c r="AH949" t="inlineStr">
        <is>
          <t>LINCE</t>
        </is>
      </c>
      <c r="AI949" s="116" t="n">
        <v>46721</v>
      </c>
      <c r="AJ949" s="116" t="n"/>
      <c r="AK949" t="inlineStr">
        <is>
          <t>SALDO FINANCIAR</t>
        </is>
      </c>
      <c r="AL949" t="n">
        <v>16</v>
      </c>
      <c r="AM949" t="n">
        <v>2512.94</v>
      </c>
      <c r="AN949" t="n">
        <v>0</v>
      </c>
      <c r="AO949" t="n">
        <v>0</v>
      </c>
      <c r="AP949" s="39" t="n">
        <v>2512.94</v>
      </c>
      <c r="AQ949" s="39" t="n">
        <v>0</v>
      </c>
      <c r="AR949" s="39" t="n">
        <v>2512.94</v>
      </c>
      <c r="AT949" t="inlineStr">
        <is>
          <t>Crédito Directo</t>
        </is>
      </c>
      <c r="AZ949" t="inlineStr">
        <is>
          <t>No</t>
        </is>
      </c>
      <c r="BC949" t="inlineStr">
        <is>
          <t>PENDIENTE</t>
        </is>
      </c>
      <c r="BN949" t="inlineStr">
        <is>
          <t>No</t>
        </is>
      </c>
      <c r="BO949" s="117" t="n">
        <v>46187.36388888889</v>
      </c>
      <c r="BP949" t="inlineStr">
        <is>
          <t>Magaly Guevara Perez</t>
        </is>
      </c>
      <c r="BR949" t="n">
        <v>20</v>
      </c>
      <c r="BT949" t="n">
        <v>0</v>
      </c>
      <c r="BX949" t="inlineStr">
        <is>
          <t>Cobranzas_2027.csv</t>
        </is>
      </c>
      <c r="BY949" t="n">
        <v>2027</v>
      </c>
      <c r="BZ949" t="inlineStr">
        <is>
          <t>01/01/2024</t>
        </is>
      </c>
      <c r="CA949" t="inlineStr">
        <is>
          <t>30/09/2031</t>
        </is>
      </c>
    </row>
    <row r="950">
      <c r="A950" t="inlineStr">
        <is>
          <t>RESIDENCIAL VENECIA</t>
        </is>
      </c>
      <c r="B950" t="inlineStr">
        <is>
          <t>Etapa 1</t>
        </is>
      </c>
      <c r="C950" t="inlineStr">
        <is>
          <t>Edificio</t>
        </is>
      </c>
      <c r="D950" t="inlineStr">
        <is>
          <t>A</t>
        </is>
      </c>
      <c r="E950" t="inlineStr">
        <is>
          <t>Estacionamiento</t>
        </is>
      </c>
      <c r="F950" t="inlineStr">
        <is>
          <t>E 25 - D 8</t>
        </is>
      </c>
      <c r="G950" s="39" t="n">
        <v>50800</v>
      </c>
      <c r="H950" s="39" t="n">
        <v>50800</v>
      </c>
      <c r="M950" s="39" t="n"/>
      <c r="N950" s="39" t="n"/>
      <c r="S950" s="39" t="n"/>
      <c r="T950" s="39" t="n"/>
      <c r="Y950" s="39" t="n"/>
      <c r="Z950" s="39" t="n"/>
      <c r="AA950" t="inlineStr">
        <is>
          <t>Patricia Salazar Aparcana</t>
        </is>
      </c>
      <c r="AB950" t="inlineStr">
        <is>
          <t>10142891</t>
        </is>
      </c>
      <c r="AC950" t="inlineStr">
        <is>
          <t xml:space="preserve"> Jr. Manco segundo 2258 dpto 207</t>
        </is>
      </c>
      <c r="AD950" t="n">
        <v>0</v>
      </c>
      <c r="AE950" t="inlineStr">
        <is>
          <t>996611448</t>
        </is>
      </c>
      <c r="AF950" t="inlineStr">
        <is>
          <t>PATRICIASALAZAR25@HOTMAIL.COM</t>
        </is>
      </c>
      <c r="AG950" t="inlineStr">
        <is>
          <t>LIMA</t>
        </is>
      </c>
      <c r="AH950" t="inlineStr">
        <is>
          <t>LINCE</t>
        </is>
      </c>
      <c r="AI950" s="116" t="n">
        <v>46752</v>
      </c>
      <c r="AJ950" s="116" t="n"/>
      <c r="AK950" t="inlineStr">
        <is>
          <t>SALDO FINANCIAR</t>
        </is>
      </c>
      <c r="AL950" t="n">
        <v>17</v>
      </c>
      <c r="AM950" t="n">
        <v>2512.96</v>
      </c>
      <c r="AN950" t="n">
        <v>0</v>
      </c>
      <c r="AO950" t="n">
        <v>0</v>
      </c>
      <c r="AP950" s="39" t="n">
        <v>2512.96</v>
      </c>
      <c r="AQ950" s="39" t="n">
        <v>0</v>
      </c>
      <c r="AR950" s="39" t="n">
        <v>2512.96</v>
      </c>
      <c r="AT950" t="inlineStr">
        <is>
          <t>Crédito Directo</t>
        </is>
      </c>
      <c r="AZ950" t="inlineStr">
        <is>
          <t>No</t>
        </is>
      </c>
      <c r="BC950" t="inlineStr">
        <is>
          <t>PENDIENTE</t>
        </is>
      </c>
      <c r="BN950" t="inlineStr">
        <is>
          <t>No</t>
        </is>
      </c>
      <c r="BO950" s="117" t="n">
        <v>46187.36388888889</v>
      </c>
      <c r="BP950" t="inlineStr">
        <is>
          <t>Magaly Guevara Perez</t>
        </is>
      </c>
      <c r="BR950" t="n">
        <v>20</v>
      </c>
      <c r="BT950" t="n">
        <v>0</v>
      </c>
      <c r="BX950" t="inlineStr">
        <is>
          <t>Cobranzas_2027.csv</t>
        </is>
      </c>
      <c r="BY950" t="n">
        <v>2027</v>
      </c>
      <c r="BZ950" t="inlineStr">
        <is>
          <t>01/01/2024</t>
        </is>
      </c>
      <c r="CA950" t="inlineStr">
        <is>
          <t>30/09/2031</t>
        </is>
      </c>
    </row>
    <row r="951">
      <c r="A951" t="inlineStr">
        <is>
          <t>RESIDENCIAL BEYOND</t>
        </is>
      </c>
      <c r="B951" t="inlineStr">
        <is>
          <t>Etapa 1</t>
        </is>
      </c>
      <c r="C951" t="inlineStr">
        <is>
          <t>Edificio</t>
        </is>
      </c>
      <c r="D951" t="inlineStr">
        <is>
          <t>A</t>
        </is>
      </c>
      <c r="E951" t="inlineStr">
        <is>
          <t>Departamento</t>
        </is>
      </c>
      <c r="F951" t="inlineStr">
        <is>
          <t>1503</t>
        </is>
      </c>
      <c r="G951" s="39" t="n">
        <v>504700</v>
      </c>
      <c r="H951" s="39" t="n">
        <v>455000</v>
      </c>
      <c r="I951" t="inlineStr">
        <is>
          <t>Edificio</t>
        </is>
      </c>
      <c r="J951" t="inlineStr">
        <is>
          <t>A</t>
        </is>
      </c>
      <c r="K951" t="inlineStr">
        <is>
          <t>Estacionamiento</t>
        </is>
      </c>
      <c r="L951" t="inlineStr">
        <is>
          <t>E 01</t>
        </is>
      </c>
      <c r="M951" s="39" t="n">
        <v>47500</v>
      </c>
      <c r="N951" s="39" t="n">
        <v>47500</v>
      </c>
      <c r="S951" s="39" t="n"/>
      <c r="T951" s="39" t="n"/>
      <c r="Y951" s="39" t="n"/>
      <c r="Z951" s="39" t="n"/>
      <c r="AA951" t="inlineStr">
        <is>
          <t>Rita Hermelinda Monje Casafranca</t>
        </is>
      </c>
      <c r="AB951" t="inlineStr">
        <is>
          <t>23959890</t>
        </is>
      </c>
      <c r="AC951" t="inlineStr">
        <is>
          <t>Av. Gregorio Escobedo 570, Dpto N°1602</t>
        </is>
      </c>
      <c r="AD951" t="n">
        <v>0</v>
      </c>
      <c r="AE951" t="inlineStr">
        <is>
          <t>984620296</t>
        </is>
      </c>
      <c r="AF951" t="inlineStr">
        <is>
          <t>rhmc1611@gmail.com</t>
        </is>
      </c>
      <c r="AG951" t="inlineStr">
        <is>
          <t>LIMA</t>
        </is>
      </c>
      <c r="AH951" t="inlineStr">
        <is>
          <t>JESUS MARIA</t>
        </is>
      </c>
      <c r="AI951" s="116" t="n">
        <v>46446</v>
      </c>
      <c r="AJ951" s="116" t="n"/>
      <c r="AK951" t="inlineStr">
        <is>
          <t>CUOTA INICIAL</t>
        </is>
      </c>
      <c r="AL951" t="n">
        <v>4</v>
      </c>
      <c r="AM951" t="n">
        <v>50000</v>
      </c>
      <c r="AN951" t="n">
        <v>0</v>
      </c>
      <c r="AO951" t="n">
        <v>0</v>
      </c>
      <c r="AP951" s="39" t="n">
        <v>50000</v>
      </c>
      <c r="AQ951" s="39" t="n">
        <v>0</v>
      </c>
      <c r="AR951" s="39" t="n">
        <v>50000</v>
      </c>
      <c r="AT951" t="inlineStr">
        <is>
          <t>Crédito Directo</t>
        </is>
      </c>
      <c r="AZ951" t="inlineStr">
        <is>
          <t>No</t>
        </is>
      </c>
      <c r="BC951" t="inlineStr">
        <is>
          <t>PENDIENTE</t>
        </is>
      </c>
      <c r="BN951" t="inlineStr">
        <is>
          <t>No</t>
        </is>
      </c>
      <c r="BO951" s="117" t="n">
        <v>46165.40555555555</v>
      </c>
      <c r="BP951" t="inlineStr">
        <is>
          <t>Kenny Salazar S</t>
        </is>
      </c>
      <c r="BR951" t="n">
        <v>47</v>
      </c>
      <c r="BT951" t="n">
        <v>0</v>
      </c>
      <c r="BX951" t="inlineStr">
        <is>
          <t>Cobranzas_2027.csv</t>
        </is>
      </c>
      <c r="BY951" t="n">
        <v>2027</v>
      </c>
      <c r="BZ951" t="inlineStr">
        <is>
          <t>01/01/2024</t>
        </is>
      </c>
      <c r="CA951" t="inlineStr">
        <is>
          <t>30/09/2031</t>
        </is>
      </c>
    </row>
    <row r="952">
      <c r="A952" t="inlineStr">
        <is>
          <t>RESIDENCIAL BEYOND</t>
        </is>
      </c>
      <c r="B952" t="inlineStr">
        <is>
          <t>Etapa 1</t>
        </is>
      </c>
      <c r="C952" t="inlineStr">
        <is>
          <t>Edificio</t>
        </is>
      </c>
      <c r="D952" t="inlineStr">
        <is>
          <t>A</t>
        </is>
      </c>
      <c r="E952" t="inlineStr">
        <is>
          <t>Departamento</t>
        </is>
      </c>
      <c r="F952" t="inlineStr">
        <is>
          <t>1503</t>
        </is>
      </c>
      <c r="G952" s="39" t="n">
        <v>504700</v>
      </c>
      <c r="H952" s="39" t="n">
        <v>455000</v>
      </c>
      <c r="I952" t="inlineStr">
        <is>
          <t>Edificio</t>
        </is>
      </c>
      <c r="J952" t="inlineStr">
        <is>
          <t>A</t>
        </is>
      </c>
      <c r="K952" t="inlineStr">
        <is>
          <t>Estacionamiento</t>
        </is>
      </c>
      <c r="L952" t="inlineStr">
        <is>
          <t>E 01</t>
        </is>
      </c>
      <c r="M952" s="39" t="n">
        <v>47500</v>
      </c>
      <c r="N952" s="39" t="n">
        <v>47500</v>
      </c>
      <c r="S952" s="39" t="n"/>
      <c r="T952" s="39" t="n"/>
      <c r="Y952" s="39" t="n"/>
      <c r="Z952" s="39" t="n"/>
      <c r="AA952" t="inlineStr">
        <is>
          <t>Rita Hermelinda Monje Casafranca</t>
        </is>
      </c>
      <c r="AB952" t="inlineStr">
        <is>
          <t>23959890</t>
        </is>
      </c>
      <c r="AC952" t="inlineStr">
        <is>
          <t>Av. Gregorio Escobedo 570, Dpto N°1602</t>
        </is>
      </c>
      <c r="AD952" t="n">
        <v>0</v>
      </c>
      <c r="AE952" t="inlineStr">
        <is>
          <t>984620296</t>
        </is>
      </c>
      <c r="AF952" t="inlineStr">
        <is>
          <t>rhmc1611@gmail.com</t>
        </is>
      </c>
      <c r="AG952" t="inlineStr">
        <is>
          <t>LIMA</t>
        </is>
      </c>
      <c r="AH952" t="inlineStr">
        <is>
          <t>JESUS MARIA</t>
        </is>
      </c>
      <c r="AI952" s="116" t="n">
        <v>46598</v>
      </c>
      <c r="AJ952" s="116" t="n"/>
      <c r="AK952" t="inlineStr">
        <is>
          <t>SALDO FINANCIAR</t>
        </is>
      </c>
      <c r="AL952" t="n">
        <v>1</v>
      </c>
      <c r="AM952" t="n">
        <v>352250</v>
      </c>
      <c r="AN952" t="n">
        <v>0</v>
      </c>
      <c r="AO952" t="n">
        <v>0</v>
      </c>
      <c r="AP952" s="39" t="n">
        <v>352250</v>
      </c>
      <c r="AQ952" s="39" t="n">
        <v>0</v>
      </c>
      <c r="AR952" s="39" t="n">
        <v>352250</v>
      </c>
      <c r="AT952" t="inlineStr">
        <is>
          <t>Crédito Directo</t>
        </is>
      </c>
      <c r="AZ952" t="inlineStr">
        <is>
          <t>No</t>
        </is>
      </c>
      <c r="BC952" t="inlineStr">
        <is>
          <t>PENDIENTE</t>
        </is>
      </c>
      <c r="BN952" t="inlineStr">
        <is>
          <t>No</t>
        </is>
      </c>
      <c r="BO952" s="117" t="n">
        <v>46165.40555555555</v>
      </c>
      <c r="BP952" t="inlineStr">
        <is>
          <t>Kenny Salazar S</t>
        </is>
      </c>
      <c r="BR952" t="n">
        <v>47</v>
      </c>
      <c r="BT952" t="n">
        <v>0</v>
      </c>
      <c r="BX952" t="inlineStr">
        <is>
          <t>Cobranzas_2027.csv</t>
        </is>
      </c>
      <c r="BY952" t="n">
        <v>2027</v>
      </c>
      <c r="BZ952" t="inlineStr">
        <is>
          <t>01/01/2024</t>
        </is>
      </c>
      <c r="CA952" t="inlineStr">
        <is>
          <t>30/09/2031</t>
        </is>
      </c>
    </row>
    <row r="953">
      <c r="A953" t="inlineStr">
        <is>
          <t>RESIDENCIAL VENECIA</t>
        </is>
      </c>
      <c r="B953" t="inlineStr">
        <is>
          <t>Etapa 1</t>
        </is>
      </c>
      <c r="C953" t="inlineStr">
        <is>
          <t>Edificio</t>
        </is>
      </c>
      <c r="D953" t="inlineStr">
        <is>
          <t>A</t>
        </is>
      </c>
      <c r="E953" t="inlineStr">
        <is>
          <t>Departamento</t>
        </is>
      </c>
      <c r="F953" t="inlineStr">
        <is>
          <t>602</t>
        </is>
      </c>
      <c r="G953" s="39" t="n">
        <v>573000</v>
      </c>
      <c r="H953" s="39" t="n">
        <v>573000</v>
      </c>
      <c r="I953" t="inlineStr">
        <is>
          <t>Edificio</t>
        </is>
      </c>
      <c r="J953" t="inlineStr">
        <is>
          <t>A</t>
        </is>
      </c>
      <c r="K953" t="inlineStr">
        <is>
          <t>Estacionamiento</t>
        </is>
      </c>
      <c r="L953" t="inlineStr">
        <is>
          <t>E 24 - D 5</t>
        </is>
      </c>
      <c r="M953" s="39" t="n">
        <v>51000</v>
      </c>
      <c r="N953" s="39" t="n">
        <v>51000</v>
      </c>
      <c r="S953" s="39" t="n"/>
      <c r="T953" s="39" t="n"/>
      <c r="Y953" s="39" t="n"/>
      <c r="Z953" s="39" t="n"/>
      <c r="AA953" t="inlineStr">
        <is>
          <t>Rocio Chuquimango Valencia</t>
        </is>
      </c>
      <c r="AB953" t="inlineStr">
        <is>
          <t>26707781</t>
        </is>
      </c>
      <c r="AC953" t="inlineStr">
        <is>
          <t xml:space="preserve">AV.ATAHUALPA 337.INT 2 </t>
        </is>
      </c>
      <c r="AD953" t="n">
        <v>0</v>
      </c>
      <c r="AE953" t="inlineStr">
        <is>
          <t>976685767</t>
        </is>
      </c>
      <c r="AF953" t="inlineStr">
        <is>
          <t>rocio-0511@hotmail.com</t>
        </is>
      </c>
      <c r="AG953" t="inlineStr">
        <is>
          <t>CAJAMARCA</t>
        </is>
      </c>
      <c r="AH953" t="inlineStr">
        <is>
          <t>CAJAMARCA</t>
        </is>
      </c>
      <c r="AI953" s="116" t="n">
        <v>46418</v>
      </c>
      <c r="AJ953" s="116" t="n"/>
      <c r="AK953" t="inlineStr">
        <is>
          <t>SALDO FINANCIAR</t>
        </is>
      </c>
      <c r="AL953" t="n">
        <v>7</v>
      </c>
      <c r="AM953" t="n">
        <v>24266.67</v>
      </c>
      <c r="AN953" t="n">
        <v>0</v>
      </c>
      <c r="AO953" t="n">
        <v>0</v>
      </c>
      <c r="AP953" s="39" t="n">
        <v>24266.67</v>
      </c>
      <c r="AQ953" s="39" t="n">
        <v>0</v>
      </c>
      <c r="AR953" s="39" t="n">
        <v>24266.67</v>
      </c>
      <c r="AT953" t="inlineStr">
        <is>
          <t>Crédito Directo</t>
        </is>
      </c>
      <c r="AZ953" t="inlineStr">
        <is>
          <t>No</t>
        </is>
      </c>
      <c r="BC953" t="inlineStr">
        <is>
          <t>PENDIENTE</t>
        </is>
      </c>
      <c r="BN953" t="inlineStr">
        <is>
          <t>No</t>
        </is>
      </c>
      <c r="BO953" s="117" t="n">
        <v>45898.34652777778</v>
      </c>
      <c r="BP953" t="inlineStr">
        <is>
          <t>Magaly Guevara Perez</t>
        </is>
      </c>
      <c r="BR953" t="n">
        <v>12</v>
      </c>
      <c r="BT953" t="n">
        <v>0</v>
      </c>
      <c r="BX953" t="inlineStr">
        <is>
          <t>Cobranzas_2027.csv</t>
        </is>
      </c>
      <c r="BY953" t="n">
        <v>2027</v>
      </c>
      <c r="BZ953" t="inlineStr">
        <is>
          <t>01/01/2024</t>
        </is>
      </c>
      <c r="CA953" t="inlineStr">
        <is>
          <t>30/09/2031</t>
        </is>
      </c>
    </row>
    <row r="954">
      <c r="A954" t="inlineStr">
        <is>
          <t>RESIDENCIAL VENECIA</t>
        </is>
      </c>
      <c r="B954" t="inlineStr">
        <is>
          <t>Etapa 1</t>
        </is>
      </c>
      <c r="C954" t="inlineStr">
        <is>
          <t>Edificio</t>
        </is>
      </c>
      <c r="D954" t="inlineStr">
        <is>
          <t>A</t>
        </is>
      </c>
      <c r="E954" t="inlineStr">
        <is>
          <t>Departamento</t>
        </is>
      </c>
      <c r="F954" t="inlineStr">
        <is>
          <t>602</t>
        </is>
      </c>
      <c r="G954" s="39" t="n">
        <v>573000</v>
      </c>
      <c r="H954" s="39" t="n">
        <v>573000</v>
      </c>
      <c r="I954" t="inlineStr">
        <is>
          <t>Edificio</t>
        </is>
      </c>
      <c r="J954" t="inlineStr">
        <is>
          <t>A</t>
        </is>
      </c>
      <c r="K954" t="inlineStr">
        <is>
          <t>Estacionamiento</t>
        </is>
      </c>
      <c r="L954" t="inlineStr">
        <is>
          <t>E 24 - D 5</t>
        </is>
      </c>
      <c r="M954" s="39" t="n">
        <v>51000</v>
      </c>
      <c r="N954" s="39" t="n">
        <v>51000</v>
      </c>
      <c r="S954" s="39" t="n"/>
      <c r="T954" s="39" t="n"/>
      <c r="Y954" s="39" t="n"/>
      <c r="Z954" s="39" t="n"/>
      <c r="AA954" t="inlineStr">
        <is>
          <t>Rocio Chuquimango Valencia</t>
        </is>
      </c>
      <c r="AB954" t="inlineStr">
        <is>
          <t>26707781</t>
        </is>
      </c>
      <c r="AC954" t="inlineStr">
        <is>
          <t xml:space="preserve">AV.ATAHUALPA 337.INT 2 </t>
        </is>
      </c>
      <c r="AD954" t="n">
        <v>0</v>
      </c>
      <c r="AE954" t="inlineStr">
        <is>
          <t>976685767</t>
        </is>
      </c>
      <c r="AF954" t="inlineStr">
        <is>
          <t>rocio-0511@hotmail.com</t>
        </is>
      </c>
      <c r="AG954" t="inlineStr">
        <is>
          <t>CAJAMARCA</t>
        </is>
      </c>
      <c r="AH954" t="inlineStr">
        <is>
          <t>CAJAMARCA</t>
        </is>
      </c>
      <c r="AI954" s="116" t="n">
        <v>46446</v>
      </c>
      <c r="AJ954" s="116" t="n"/>
      <c r="AK954" t="inlineStr">
        <is>
          <t>SALDO FINANCIAR</t>
        </is>
      </c>
      <c r="AL954" t="n">
        <v>8</v>
      </c>
      <c r="AM954" t="n">
        <v>24266.67</v>
      </c>
      <c r="AN954" t="n">
        <v>0</v>
      </c>
      <c r="AO954" t="n">
        <v>0</v>
      </c>
      <c r="AP954" s="39" t="n">
        <v>24266.67</v>
      </c>
      <c r="AQ954" s="39" t="n">
        <v>0</v>
      </c>
      <c r="AR954" s="39" t="n">
        <v>24266.67</v>
      </c>
      <c r="AT954" t="inlineStr">
        <is>
          <t>Crédito Directo</t>
        </is>
      </c>
      <c r="AZ954" t="inlineStr">
        <is>
          <t>No</t>
        </is>
      </c>
      <c r="BC954" t="inlineStr">
        <is>
          <t>PENDIENTE</t>
        </is>
      </c>
      <c r="BN954" t="inlineStr">
        <is>
          <t>No</t>
        </is>
      </c>
      <c r="BO954" s="117" t="n">
        <v>45898.34652777778</v>
      </c>
      <c r="BP954" t="inlineStr">
        <is>
          <t>Magaly Guevara Perez</t>
        </is>
      </c>
      <c r="BR954" t="n">
        <v>12</v>
      </c>
      <c r="BT954" t="n">
        <v>0</v>
      </c>
      <c r="BX954" t="inlineStr">
        <is>
          <t>Cobranzas_2027.csv</t>
        </is>
      </c>
      <c r="BY954" t="n">
        <v>2027</v>
      </c>
      <c r="BZ954" t="inlineStr">
        <is>
          <t>01/01/2024</t>
        </is>
      </c>
      <c r="CA954" t="inlineStr">
        <is>
          <t>30/09/2031</t>
        </is>
      </c>
    </row>
    <row r="955">
      <c r="A955" t="inlineStr">
        <is>
          <t>RESIDENCIAL VENECIA</t>
        </is>
      </c>
      <c r="B955" t="inlineStr">
        <is>
          <t>Etapa 1</t>
        </is>
      </c>
      <c r="C955" t="inlineStr">
        <is>
          <t>Edificio</t>
        </is>
      </c>
      <c r="D955" t="inlineStr">
        <is>
          <t>A</t>
        </is>
      </c>
      <c r="E955" t="inlineStr">
        <is>
          <t>Departamento</t>
        </is>
      </c>
      <c r="F955" t="inlineStr">
        <is>
          <t>602</t>
        </is>
      </c>
      <c r="G955" s="39" t="n">
        <v>573000</v>
      </c>
      <c r="H955" s="39" t="n">
        <v>573000</v>
      </c>
      <c r="I955" t="inlineStr">
        <is>
          <t>Edificio</t>
        </is>
      </c>
      <c r="J955" t="inlineStr">
        <is>
          <t>A</t>
        </is>
      </c>
      <c r="K955" t="inlineStr">
        <is>
          <t>Estacionamiento</t>
        </is>
      </c>
      <c r="L955" t="inlineStr">
        <is>
          <t>E 24 - D 5</t>
        </is>
      </c>
      <c r="M955" s="39" t="n">
        <v>51000</v>
      </c>
      <c r="N955" s="39" t="n">
        <v>51000</v>
      </c>
      <c r="S955" s="39" t="n"/>
      <c r="T955" s="39" t="n"/>
      <c r="Y955" s="39" t="n"/>
      <c r="Z955" s="39" t="n"/>
      <c r="AA955" t="inlineStr">
        <is>
          <t>Rocio Chuquimango Valencia</t>
        </is>
      </c>
      <c r="AB955" t="inlineStr">
        <is>
          <t>26707781</t>
        </is>
      </c>
      <c r="AC955" t="inlineStr">
        <is>
          <t xml:space="preserve">AV.ATAHUALPA 337.INT 2 </t>
        </is>
      </c>
      <c r="AD955" t="n">
        <v>0</v>
      </c>
      <c r="AE955" t="inlineStr">
        <is>
          <t>976685767</t>
        </is>
      </c>
      <c r="AF955" t="inlineStr">
        <is>
          <t>rocio-0511@hotmail.com</t>
        </is>
      </c>
      <c r="AG955" t="inlineStr">
        <is>
          <t>CAJAMARCA</t>
        </is>
      </c>
      <c r="AH955" t="inlineStr">
        <is>
          <t>CAJAMARCA</t>
        </is>
      </c>
      <c r="AI955" s="116" t="n">
        <v>46477</v>
      </c>
      <c r="AJ955" s="116" t="n"/>
      <c r="AK955" t="inlineStr">
        <is>
          <t>SALDO FINANCIAR</t>
        </is>
      </c>
      <c r="AL955" t="n">
        <v>9</v>
      </c>
      <c r="AM955" t="n">
        <v>24266.67</v>
      </c>
      <c r="AN955" t="n">
        <v>0</v>
      </c>
      <c r="AO955" t="n">
        <v>0</v>
      </c>
      <c r="AP955" s="39" t="n">
        <v>24266.67</v>
      </c>
      <c r="AQ955" s="39" t="n">
        <v>0</v>
      </c>
      <c r="AR955" s="39" t="n">
        <v>24266.67</v>
      </c>
      <c r="AT955" t="inlineStr">
        <is>
          <t>Crédito Directo</t>
        </is>
      </c>
      <c r="AZ955" t="inlineStr">
        <is>
          <t>No</t>
        </is>
      </c>
      <c r="BC955" t="inlineStr">
        <is>
          <t>PENDIENTE</t>
        </is>
      </c>
      <c r="BN955" t="inlineStr">
        <is>
          <t>No</t>
        </is>
      </c>
      <c r="BO955" s="117" t="n">
        <v>45898.34652777778</v>
      </c>
      <c r="BP955" t="inlineStr">
        <is>
          <t>Magaly Guevara Perez</t>
        </is>
      </c>
      <c r="BR955" t="n">
        <v>12</v>
      </c>
      <c r="BT955" t="n">
        <v>0</v>
      </c>
      <c r="BX955" t="inlineStr">
        <is>
          <t>Cobranzas_2027.csv</t>
        </is>
      </c>
      <c r="BY955" t="n">
        <v>2027</v>
      </c>
      <c r="BZ955" t="inlineStr">
        <is>
          <t>01/01/2024</t>
        </is>
      </c>
      <c r="CA955" t="inlineStr">
        <is>
          <t>30/09/2031</t>
        </is>
      </c>
    </row>
    <row r="956">
      <c r="A956" t="inlineStr">
        <is>
          <t>RESIDENCIAL VENECIA</t>
        </is>
      </c>
      <c r="B956" t="inlineStr">
        <is>
          <t>Etapa 1</t>
        </is>
      </c>
      <c r="C956" t="inlineStr">
        <is>
          <t>Edificio</t>
        </is>
      </c>
      <c r="D956" t="inlineStr">
        <is>
          <t>A</t>
        </is>
      </c>
      <c r="E956" t="inlineStr">
        <is>
          <t>Departamento</t>
        </is>
      </c>
      <c r="F956" t="inlineStr">
        <is>
          <t>602</t>
        </is>
      </c>
      <c r="G956" s="39" t="n">
        <v>573000</v>
      </c>
      <c r="H956" s="39" t="n">
        <v>573000</v>
      </c>
      <c r="I956" t="inlineStr">
        <is>
          <t>Edificio</t>
        </is>
      </c>
      <c r="J956" t="inlineStr">
        <is>
          <t>A</t>
        </is>
      </c>
      <c r="K956" t="inlineStr">
        <is>
          <t>Estacionamiento</t>
        </is>
      </c>
      <c r="L956" t="inlineStr">
        <is>
          <t>E 24 - D 5</t>
        </is>
      </c>
      <c r="M956" s="39" t="n">
        <v>51000</v>
      </c>
      <c r="N956" s="39" t="n">
        <v>51000</v>
      </c>
      <c r="S956" s="39" t="n"/>
      <c r="T956" s="39" t="n"/>
      <c r="Y956" s="39" t="n"/>
      <c r="Z956" s="39" t="n"/>
      <c r="AA956" t="inlineStr">
        <is>
          <t>Rocio Chuquimango Valencia</t>
        </is>
      </c>
      <c r="AB956" t="inlineStr">
        <is>
          <t>26707781</t>
        </is>
      </c>
      <c r="AC956" t="inlineStr">
        <is>
          <t xml:space="preserve">AV.ATAHUALPA 337.INT 2 </t>
        </is>
      </c>
      <c r="AD956" t="n">
        <v>0</v>
      </c>
      <c r="AE956" t="inlineStr">
        <is>
          <t>976685767</t>
        </is>
      </c>
      <c r="AF956" t="inlineStr">
        <is>
          <t>rocio-0511@hotmail.com</t>
        </is>
      </c>
      <c r="AG956" t="inlineStr">
        <is>
          <t>CAJAMARCA</t>
        </is>
      </c>
      <c r="AH956" t="inlineStr">
        <is>
          <t>CAJAMARCA</t>
        </is>
      </c>
      <c r="AI956" s="116" t="n">
        <v>46507</v>
      </c>
      <c r="AJ956" s="116" t="n"/>
      <c r="AK956" t="inlineStr">
        <is>
          <t>SALDO FINANCIAR</t>
        </is>
      </c>
      <c r="AL956" t="n">
        <v>10</v>
      </c>
      <c r="AM956" t="n">
        <v>24266.67</v>
      </c>
      <c r="AN956" t="n">
        <v>0</v>
      </c>
      <c r="AO956" t="n">
        <v>0</v>
      </c>
      <c r="AP956" s="39" t="n">
        <v>24266.67</v>
      </c>
      <c r="AQ956" s="39" t="n">
        <v>0</v>
      </c>
      <c r="AR956" s="39" t="n">
        <v>24266.67</v>
      </c>
      <c r="AT956" t="inlineStr">
        <is>
          <t>Crédito Directo</t>
        </is>
      </c>
      <c r="AZ956" t="inlineStr">
        <is>
          <t>No</t>
        </is>
      </c>
      <c r="BC956" t="inlineStr">
        <is>
          <t>PENDIENTE</t>
        </is>
      </c>
      <c r="BN956" t="inlineStr">
        <is>
          <t>No</t>
        </is>
      </c>
      <c r="BO956" s="117" t="n">
        <v>45898.34652777778</v>
      </c>
      <c r="BP956" t="inlineStr">
        <is>
          <t>Magaly Guevara Perez</t>
        </is>
      </c>
      <c r="BR956" t="n">
        <v>12</v>
      </c>
      <c r="BT956" t="n">
        <v>0</v>
      </c>
      <c r="BX956" t="inlineStr">
        <is>
          <t>Cobranzas_2027.csv</t>
        </is>
      </c>
      <c r="BY956" t="n">
        <v>2027</v>
      </c>
      <c r="BZ956" t="inlineStr">
        <is>
          <t>01/01/2024</t>
        </is>
      </c>
      <c r="CA956" t="inlineStr">
        <is>
          <t>30/09/2031</t>
        </is>
      </c>
    </row>
    <row r="957">
      <c r="A957" t="inlineStr">
        <is>
          <t>RESIDENCIAL VENECIA</t>
        </is>
      </c>
      <c r="B957" t="inlineStr">
        <is>
          <t>Etapa 1</t>
        </is>
      </c>
      <c r="C957" t="inlineStr">
        <is>
          <t>Edificio</t>
        </is>
      </c>
      <c r="D957" t="inlineStr">
        <is>
          <t>A</t>
        </is>
      </c>
      <c r="E957" t="inlineStr">
        <is>
          <t>Departamento</t>
        </is>
      </c>
      <c r="F957" t="inlineStr">
        <is>
          <t>602</t>
        </is>
      </c>
      <c r="G957" s="39" t="n">
        <v>573000</v>
      </c>
      <c r="H957" s="39" t="n">
        <v>573000</v>
      </c>
      <c r="I957" t="inlineStr">
        <is>
          <t>Edificio</t>
        </is>
      </c>
      <c r="J957" t="inlineStr">
        <is>
          <t>A</t>
        </is>
      </c>
      <c r="K957" t="inlineStr">
        <is>
          <t>Estacionamiento</t>
        </is>
      </c>
      <c r="L957" t="inlineStr">
        <is>
          <t>E 24 - D 5</t>
        </is>
      </c>
      <c r="M957" s="39" t="n">
        <v>51000</v>
      </c>
      <c r="N957" s="39" t="n">
        <v>51000</v>
      </c>
      <c r="S957" s="39" t="n"/>
      <c r="T957" s="39" t="n"/>
      <c r="Y957" s="39" t="n"/>
      <c r="Z957" s="39" t="n"/>
      <c r="AA957" t="inlineStr">
        <is>
          <t>Rocio Chuquimango Valencia</t>
        </is>
      </c>
      <c r="AB957" t="inlineStr">
        <is>
          <t>26707781</t>
        </is>
      </c>
      <c r="AC957" t="inlineStr">
        <is>
          <t xml:space="preserve">AV.ATAHUALPA 337.INT 2 </t>
        </is>
      </c>
      <c r="AD957" t="n">
        <v>0</v>
      </c>
      <c r="AE957" t="inlineStr">
        <is>
          <t>976685767</t>
        </is>
      </c>
      <c r="AF957" t="inlineStr">
        <is>
          <t>rocio-0511@hotmail.com</t>
        </is>
      </c>
      <c r="AG957" t="inlineStr">
        <is>
          <t>CAJAMARCA</t>
        </is>
      </c>
      <c r="AH957" t="inlineStr">
        <is>
          <t>CAJAMARCA</t>
        </is>
      </c>
      <c r="AI957" s="116" t="n">
        <v>46538</v>
      </c>
      <c r="AJ957" s="116" t="n"/>
      <c r="AK957" t="inlineStr">
        <is>
          <t>SALDO FINANCIAR</t>
        </is>
      </c>
      <c r="AL957" t="n">
        <v>11</v>
      </c>
      <c r="AM957" t="n">
        <v>24266.67</v>
      </c>
      <c r="AN957" t="n">
        <v>0</v>
      </c>
      <c r="AO957" t="n">
        <v>0</v>
      </c>
      <c r="AP957" s="39" t="n">
        <v>24266.67</v>
      </c>
      <c r="AQ957" s="39" t="n">
        <v>0</v>
      </c>
      <c r="AR957" s="39" t="n">
        <v>24266.67</v>
      </c>
      <c r="AT957" t="inlineStr">
        <is>
          <t>Crédito Directo</t>
        </is>
      </c>
      <c r="AZ957" t="inlineStr">
        <is>
          <t>No</t>
        </is>
      </c>
      <c r="BC957" t="inlineStr">
        <is>
          <t>PENDIENTE</t>
        </is>
      </c>
      <c r="BN957" t="inlineStr">
        <is>
          <t>No</t>
        </is>
      </c>
      <c r="BO957" s="117" t="n">
        <v>45898.34652777778</v>
      </c>
      <c r="BP957" t="inlineStr">
        <is>
          <t>Magaly Guevara Perez</t>
        </is>
      </c>
      <c r="BR957" t="n">
        <v>12</v>
      </c>
      <c r="BT957" t="n">
        <v>0</v>
      </c>
      <c r="BX957" t="inlineStr">
        <is>
          <t>Cobranzas_2027.csv</t>
        </is>
      </c>
      <c r="BY957" t="n">
        <v>2027</v>
      </c>
      <c r="BZ957" t="inlineStr">
        <is>
          <t>01/01/2024</t>
        </is>
      </c>
      <c r="CA957" t="inlineStr">
        <is>
          <t>30/09/2031</t>
        </is>
      </c>
    </row>
    <row r="958">
      <c r="A958" t="inlineStr">
        <is>
          <t>RESIDENCIAL VENECIA</t>
        </is>
      </c>
      <c r="B958" t="inlineStr">
        <is>
          <t>Etapa 1</t>
        </is>
      </c>
      <c r="C958" t="inlineStr">
        <is>
          <t>Edificio</t>
        </is>
      </c>
      <c r="D958" t="inlineStr">
        <is>
          <t>A</t>
        </is>
      </c>
      <c r="E958" t="inlineStr">
        <is>
          <t>Departamento</t>
        </is>
      </c>
      <c r="F958" t="inlineStr">
        <is>
          <t>602</t>
        </is>
      </c>
      <c r="G958" s="39" t="n">
        <v>573000</v>
      </c>
      <c r="H958" s="39" t="n">
        <v>573000</v>
      </c>
      <c r="I958" t="inlineStr">
        <is>
          <t>Edificio</t>
        </is>
      </c>
      <c r="J958" t="inlineStr">
        <is>
          <t>A</t>
        </is>
      </c>
      <c r="K958" t="inlineStr">
        <is>
          <t>Estacionamiento</t>
        </is>
      </c>
      <c r="L958" t="inlineStr">
        <is>
          <t>E 24 - D 5</t>
        </is>
      </c>
      <c r="M958" s="39" t="n">
        <v>51000</v>
      </c>
      <c r="N958" s="39" t="n">
        <v>51000</v>
      </c>
      <c r="S958" s="39" t="n"/>
      <c r="T958" s="39" t="n"/>
      <c r="Y958" s="39" t="n"/>
      <c r="Z958" s="39" t="n"/>
      <c r="AA958" t="inlineStr">
        <is>
          <t>Rocio Chuquimango Valencia</t>
        </is>
      </c>
      <c r="AB958" t="inlineStr">
        <is>
          <t>26707781</t>
        </is>
      </c>
      <c r="AC958" t="inlineStr">
        <is>
          <t xml:space="preserve">AV.ATAHUALPA 337.INT 2 </t>
        </is>
      </c>
      <c r="AD958" t="n">
        <v>0</v>
      </c>
      <c r="AE958" t="inlineStr">
        <is>
          <t>976685767</t>
        </is>
      </c>
      <c r="AF958" t="inlineStr">
        <is>
          <t>rocio-0511@hotmail.com</t>
        </is>
      </c>
      <c r="AG958" t="inlineStr">
        <is>
          <t>CAJAMARCA</t>
        </is>
      </c>
      <c r="AH958" t="inlineStr">
        <is>
          <t>CAJAMARCA</t>
        </is>
      </c>
      <c r="AI958" s="116" t="n">
        <v>46568</v>
      </c>
      <c r="AJ958" s="116" t="n"/>
      <c r="AK958" t="inlineStr">
        <is>
          <t>SALDO FINANCIAR</t>
        </is>
      </c>
      <c r="AL958" t="n">
        <v>12</v>
      </c>
      <c r="AM958" t="n">
        <v>24266.67</v>
      </c>
      <c r="AN958" t="n">
        <v>0</v>
      </c>
      <c r="AO958" t="n">
        <v>0</v>
      </c>
      <c r="AP958" s="39" t="n">
        <v>24266.67</v>
      </c>
      <c r="AQ958" s="39" t="n">
        <v>0</v>
      </c>
      <c r="AR958" s="39" t="n">
        <v>24266.67</v>
      </c>
      <c r="AT958" t="inlineStr">
        <is>
          <t>Crédito Directo</t>
        </is>
      </c>
      <c r="AZ958" t="inlineStr">
        <is>
          <t>No</t>
        </is>
      </c>
      <c r="BC958" t="inlineStr">
        <is>
          <t>PENDIENTE</t>
        </is>
      </c>
      <c r="BN958" t="inlineStr">
        <is>
          <t>No</t>
        </is>
      </c>
      <c r="BO958" s="117" t="n">
        <v>45898.34652777778</v>
      </c>
      <c r="BP958" t="inlineStr">
        <is>
          <t>Magaly Guevara Perez</t>
        </is>
      </c>
      <c r="BR958" t="n">
        <v>12</v>
      </c>
      <c r="BT958" t="n">
        <v>0</v>
      </c>
      <c r="BX958" t="inlineStr">
        <is>
          <t>Cobranzas_2027.csv</t>
        </is>
      </c>
      <c r="BY958" t="n">
        <v>2027</v>
      </c>
      <c r="BZ958" t="inlineStr">
        <is>
          <t>01/01/2024</t>
        </is>
      </c>
      <c r="CA958" t="inlineStr">
        <is>
          <t>30/09/2031</t>
        </is>
      </c>
    </row>
    <row r="959">
      <c r="A959" t="inlineStr">
        <is>
          <t>RESIDENCIAL VENECIA</t>
        </is>
      </c>
      <c r="B959" t="inlineStr">
        <is>
          <t>Etapa 1</t>
        </is>
      </c>
      <c r="C959" t="inlineStr">
        <is>
          <t>Edificio</t>
        </is>
      </c>
      <c r="D959" t="inlineStr">
        <is>
          <t>A</t>
        </is>
      </c>
      <c r="E959" t="inlineStr">
        <is>
          <t>Departamento</t>
        </is>
      </c>
      <c r="F959" t="inlineStr">
        <is>
          <t>602</t>
        </is>
      </c>
      <c r="G959" s="39" t="n">
        <v>573000</v>
      </c>
      <c r="H959" s="39" t="n">
        <v>573000</v>
      </c>
      <c r="I959" t="inlineStr">
        <is>
          <t>Edificio</t>
        </is>
      </c>
      <c r="J959" t="inlineStr">
        <is>
          <t>A</t>
        </is>
      </c>
      <c r="K959" t="inlineStr">
        <is>
          <t>Estacionamiento</t>
        </is>
      </c>
      <c r="L959" t="inlineStr">
        <is>
          <t>E 24 - D 5</t>
        </is>
      </c>
      <c r="M959" s="39" t="n">
        <v>51000</v>
      </c>
      <c r="N959" s="39" t="n">
        <v>51000</v>
      </c>
      <c r="S959" s="39" t="n"/>
      <c r="T959" s="39" t="n"/>
      <c r="Y959" s="39" t="n"/>
      <c r="Z959" s="39" t="n"/>
      <c r="AA959" t="inlineStr">
        <is>
          <t>Rocio Chuquimango Valencia</t>
        </is>
      </c>
      <c r="AB959" t="inlineStr">
        <is>
          <t>26707781</t>
        </is>
      </c>
      <c r="AC959" t="inlineStr">
        <is>
          <t xml:space="preserve">AV.ATAHUALPA 337.INT 2 </t>
        </is>
      </c>
      <c r="AD959" t="n">
        <v>0</v>
      </c>
      <c r="AE959" t="inlineStr">
        <is>
          <t>976685767</t>
        </is>
      </c>
      <c r="AF959" t="inlineStr">
        <is>
          <t>rocio-0511@hotmail.com</t>
        </is>
      </c>
      <c r="AG959" t="inlineStr">
        <is>
          <t>CAJAMARCA</t>
        </is>
      </c>
      <c r="AH959" t="inlineStr">
        <is>
          <t>CAJAMARCA</t>
        </is>
      </c>
      <c r="AI959" s="116" t="n">
        <v>46599</v>
      </c>
      <c r="AJ959" s="116" t="n"/>
      <c r="AK959" t="inlineStr">
        <is>
          <t>SALDO FINANCIAR</t>
        </is>
      </c>
      <c r="AL959" t="n">
        <v>13</v>
      </c>
      <c r="AM959" t="n">
        <v>24266.67</v>
      </c>
      <c r="AN959" t="n">
        <v>0</v>
      </c>
      <c r="AO959" t="n">
        <v>0</v>
      </c>
      <c r="AP959" s="39" t="n">
        <v>24266.67</v>
      </c>
      <c r="AQ959" s="39" t="n">
        <v>0</v>
      </c>
      <c r="AR959" s="39" t="n">
        <v>24266.67</v>
      </c>
      <c r="AT959" t="inlineStr">
        <is>
          <t>Crédito Directo</t>
        </is>
      </c>
      <c r="AZ959" t="inlineStr">
        <is>
          <t>No</t>
        </is>
      </c>
      <c r="BC959" t="inlineStr">
        <is>
          <t>PENDIENTE</t>
        </is>
      </c>
      <c r="BN959" t="inlineStr">
        <is>
          <t>No</t>
        </is>
      </c>
      <c r="BO959" s="117" t="n">
        <v>45898.34652777778</v>
      </c>
      <c r="BP959" t="inlineStr">
        <is>
          <t>Magaly Guevara Perez</t>
        </is>
      </c>
      <c r="BR959" t="n">
        <v>12</v>
      </c>
      <c r="BT959" t="n">
        <v>0</v>
      </c>
      <c r="BX959" t="inlineStr">
        <is>
          <t>Cobranzas_2027.csv</t>
        </is>
      </c>
      <c r="BY959" t="n">
        <v>2027</v>
      </c>
      <c r="BZ959" t="inlineStr">
        <is>
          <t>01/01/2024</t>
        </is>
      </c>
      <c r="CA959" t="inlineStr">
        <is>
          <t>30/09/2031</t>
        </is>
      </c>
    </row>
    <row r="960">
      <c r="A960" t="inlineStr">
        <is>
          <t>RESIDENCIAL VENECIA</t>
        </is>
      </c>
      <c r="B960" t="inlineStr">
        <is>
          <t>Etapa 1</t>
        </is>
      </c>
      <c r="C960" t="inlineStr">
        <is>
          <t>Edificio</t>
        </is>
      </c>
      <c r="D960" t="inlineStr">
        <is>
          <t>A</t>
        </is>
      </c>
      <c r="E960" t="inlineStr">
        <is>
          <t>Departamento</t>
        </is>
      </c>
      <c r="F960" t="inlineStr">
        <is>
          <t>602</t>
        </is>
      </c>
      <c r="G960" s="39" t="n">
        <v>573000</v>
      </c>
      <c r="H960" s="39" t="n">
        <v>573000</v>
      </c>
      <c r="I960" t="inlineStr">
        <is>
          <t>Edificio</t>
        </is>
      </c>
      <c r="J960" t="inlineStr">
        <is>
          <t>A</t>
        </is>
      </c>
      <c r="K960" t="inlineStr">
        <is>
          <t>Estacionamiento</t>
        </is>
      </c>
      <c r="L960" t="inlineStr">
        <is>
          <t>E 24 - D 5</t>
        </is>
      </c>
      <c r="M960" s="39" t="n">
        <v>51000</v>
      </c>
      <c r="N960" s="39" t="n">
        <v>51000</v>
      </c>
      <c r="S960" s="39" t="n"/>
      <c r="T960" s="39" t="n"/>
      <c r="Y960" s="39" t="n"/>
      <c r="Z960" s="39" t="n"/>
      <c r="AA960" t="inlineStr">
        <is>
          <t>Rocio Chuquimango Valencia</t>
        </is>
      </c>
      <c r="AB960" t="inlineStr">
        <is>
          <t>26707781</t>
        </is>
      </c>
      <c r="AC960" t="inlineStr">
        <is>
          <t xml:space="preserve">AV.ATAHUALPA 337.INT 2 </t>
        </is>
      </c>
      <c r="AD960" t="n">
        <v>0</v>
      </c>
      <c r="AE960" t="inlineStr">
        <is>
          <t>976685767</t>
        </is>
      </c>
      <c r="AF960" t="inlineStr">
        <is>
          <t>rocio-0511@hotmail.com</t>
        </is>
      </c>
      <c r="AG960" t="inlineStr">
        <is>
          <t>CAJAMARCA</t>
        </is>
      </c>
      <c r="AH960" t="inlineStr">
        <is>
          <t>CAJAMARCA</t>
        </is>
      </c>
      <c r="AI960" s="116" t="n">
        <v>46630</v>
      </c>
      <c r="AJ960" s="116" t="n"/>
      <c r="AK960" t="inlineStr">
        <is>
          <t>SALDO FINANCIAR</t>
        </is>
      </c>
      <c r="AL960" t="n">
        <v>14</v>
      </c>
      <c r="AM960" t="n">
        <v>24266.67</v>
      </c>
      <c r="AN960" t="n">
        <v>0</v>
      </c>
      <c r="AO960" t="n">
        <v>0</v>
      </c>
      <c r="AP960" s="39" t="n">
        <v>24266.67</v>
      </c>
      <c r="AQ960" s="39" t="n">
        <v>0</v>
      </c>
      <c r="AR960" s="39" t="n">
        <v>24266.67</v>
      </c>
      <c r="AT960" t="inlineStr">
        <is>
          <t>Crédito Directo</t>
        </is>
      </c>
      <c r="AZ960" t="inlineStr">
        <is>
          <t>No</t>
        </is>
      </c>
      <c r="BC960" t="inlineStr">
        <is>
          <t>PENDIENTE</t>
        </is>
      </c>
      <c r="BN960" t="inlineStr">
        <is>
          <t>No</t>
        </is>
      </c>
      <c r="BO960" s="117" t="n">
        <v>45898.34652777778</v>
      </c>
      <c r="BP960" t="inlineStr">
        <is>
          <t>Magaly Guevara Perez</t>
        </is>
      </c>
      <c r="BR960" t="n">
        <v>12</v>
      </c>
      <c r="BT960" t="n">
        <v>0</v>
      </c>
      <c r="BX960" t="inlineStr">
        <is>
          <t>Cobranzas_2027.csv</t>
        </is>
      </c>
      <c r="BY960" t="n">
        <v>2027</v>
      </c>
      <c r="BZ960" t="inlineStr">
        <is>
          <t>01/01/2024</t>
        </is>
      </c>
      <c r="CA960" t="inlineStr">
        <is>
          <t>30/09/2031</t>
        </is>
      </c>
    </row>
    <row r="961">
      <c r="A961" t="inlineStr">
        <is>
          <t>RESIDENCIAL VENECIA</t>
        </is>
      </c>
      <c r="B961" t="inlineStr">
        <is>
          <t>Etapa 1</t>
        </is>
      </c>
      <c r="C961" t="inlineStr">
        <is>
          <t>Edificio</t>
        </is>
      </c>
      <c r="D961" t="inlineStr">
        <is>
          <t>A</t>
        </is>
      </c>
      <c r="E961" t="inlineStr">
        <is>
          <t>Departamento</t>
        </is>
      </c>
      <c r="F961" t="inlineStr">
        <is>
          <t>602</t>
        </is>
      </c>
      <c r="G961" s="39" t="n">
        <v>573000</v>
      </c>
      <c r="H961" s="39" t="n">
        <v>573000</v>
      </c>
      <c r="I961" t="inlineStr">
        <is>
          <t>Edificio</t>
        </is>
      </c>
      <c r="J961" t="inlineStr">
        <is>
          <t>A</t>
        </is>
      </c>
      <c r="K961" t="inlineStr">
        <is>
          <t>Estacionamiento</t>
        </is>
      </c>
      <c r="L961" t="inlineStr">
        <is>
          <t>E 24 - D 5</t>
        </is>
      </c>
      <c r="M961" s="39" t="n">
        <v>51000</v>
      </c>
      <c r="N961" s="39" t="n">
        <v>51000</v>
      </c>
      <c r="S961" s="39" t="n"/>
      <c r="T961" s="39" t="n"/>
      <c r="Y961" s="39" t="n"/>
      <c r="Z961" s="39" t="n"/>
      <c r="AA961" t="inlineStr">
        <is>
          <t>Rocio Chuquimango Valencia</t>
        </is>
      </c>
      <c r="AB961" t="inlineStr">
        <is>
          <t>26707781</t>
        </is>
      </c>
      <c r="AC961" t="inlineStr">
        <is>
          <t xml:space="preserve">AV.ATAHUALPA 337.INT 2 </t>
        </is>
      </c>
      <c r="AD961" t="n">
        <v>0</v>
      </c>
      <c r="AE961" t="inlineStr">
        <is>
          <t>976685767</t>
        </is>
      </c>
      <c r="AF961" t="inlineStr">
        <is>
          <t>rocio-0511@hotmail.com</t>
        </is>
      </c>
      <c r="AG961" t="inlineStr">
        <is>
          <t>CAJAMARCA</t>
        </is>
      </c>
      <c r="AH961" t="inlineStr">
        <is>
          <t>CAJAMARCA</t>
        </is>
      </c>
      <c r="AI961" s="116" t="n">
        <v>46660</v>
      </c>
      <c r="AJ961" s="116" t="n"/>
      <c r="AK961" t="inlineStr">
        <is>
          <t>SALDO FINANCIAR</t>
        </is>
      </c>
      <c r="AL961" t="n">
        <v>15</v>
      </c>
      <c r="AM961" t="n">
        <v>24266.67</v>
      </c>
      <c r="AN961" t="n">
        <v>0</v>
      </c>
      <c r="AO961" t="n">
        <v>0</v>
      </c>
      <c r="AP961" s="39" t="n">
        <v>24266.67</v>
      </c>
      <c r="AQ961" s="39" t="n">
        <v>0</v>
      </c>
      <c r="AR961" s="39" t="n">
        <v>24266.67</v>
      </c>
      <c r="AT961" t="inlineStr">
        <is>
          <t>Crédito Directo</t>
        </is>
      </c>
      <c r="AZ961" t="inlineStr">
        <is>
          <t>No</t>
        </is>
      </c>
      <c r="BC961" t="inlineStr">
        <is>
          <t>PENDIENTE</t>
        </is>
      </c>
      <c r="BN961" t="inlineStr">
        <is>
          <t>No</t>
        </is>
      </c>
      <c r="BO961" s="117" t="n">
        <v>45898.34652777778</v>
      </c>
      <c r="BP961" t="inlineStr">
        <is>
          <t>Magaly Guevara Perez</t>
        </is>
      </c>
      <c r="BR961" t="n">
        <v>12</v>
      </c>
      <c r="BT961" t="n">
        <v>0</v>
      </c>
      <c r="BX961" t="inlineStr">
        <is>
          <t>Cobranzas_2027.csv</t>
        </is>
      </c>
      <c r="BY961" t="n">
        <v>2027</v>
      </c>
      <c r="BZ961" t="inlineStr">
        <is>
          <t>01/01/2024</t>
        </is>
      </c>
      <c r="CA961" t="inlineStr">
        <is>
          <t>30/09/2031</t>
        </is>
      </c>
    </row>
    <row r="962">
      <c r="A962" t="inlineStr">
        <is>
          <t>RESIDENCIAL VENECIA</t>
        </is>
      </c>
      <c r="B962" t="inlineStr">
        <is>
          <t>Etapa 1</t>
        </is>
      </c>
      <c r="C962" t="inlineStr">
        <is>
          <t>Edificio</t>
        </is>
      </c>
      <c r="D962" t="inlineStr">
        <is>
          <t>A</t>
        </is>
      </c>
      <c r="E962" t="inlineStr">
        <is>
          <t>Departamento</t>
        </is>
      </c>
      <c r="F962" t="inlineStr">
        <is>
          <t>602</t>
        </is>
      </c>
      <c r="G962" s="39" t="n">
        <v>573000</v>
      </c>
      <c r="H962" s="39" t="n">
        <v>573000</v>
      </c>
      <c r="I962" t="inlineStr">
        <is>
          <t>Edificio</t>
        </is>
      </c>
      <c r="J962" t="inlineStr">
        <is>
          <t>A</t>
        </is>
      </c>
      <c r="K962" t="inlineStr">
        <is>
          <t>Estacionamiento</t>
        </is>
      </c>
      <c r="L962" t="inlineStr">
        <is>
          <t>E 24 - D 5</t>
        </is>
      </c>
      <c r="M962" s="39" t="n">
        <v>51000</v>
      </c>
      <c r="N962" s="39" t="n">
        <v>51000</v>
      </c>
      <c r="S962" s="39" t="n"/>
      <c r="T962" s="39" t="n"/>
      <c r="Y962" s="39" t="n"/>
      <c r="Z962" s="39" t="n"/>
      <c r="AA962" t="inlineStr">
        <is>
          <t>Rocio Chuquimango Valencia</t>
        </is>
      </c>
      <c r="AB962" t="inlineStr">
        <is>
          <t>26707781</t>
        </is>
      </c>
      <c r="AC962" t="inlineStr">
        <is>
          <t xml:space="preserve">AV.ATAHUALPA 337.INT 2 </t>
        </is>
      </c>
      <c r="AD962" t="n">
        <v>0</v>
      </c>
      <c r="AE962" t="inlineStr">
        <is>
          <t>976685767</t>
        </is>
      </c>
      <c r="AF962" t="inlineStr">
        <is>
          <t>rocio-0511@hotmail.com</t>
        </is>
      </c>
      <c r="AG962" t="inlineStr">
        <is>
          <t>CAJAMARCA</t>
        </is>
      </c>
      <c r="AH962" t="inlineStr">
        <is>
          <t>CAJAMARCA</t>
        </is>
      </c>
      <c r="AI962" s="116" t="n">
        <v>46691</v>
      </c>
      <c r="AJ962" s="116" t="n"/>
      <c r="AK962" t="inlineStr">
        <is>
          <t>SALDO FINANCIAR</t>
        </is>
      </c>
      <c r="AL962" t="n">
        <v>16</v>
      </c>
      <c r="AM962" t="n">
        <v>24266.67</v>
      </c>
      <c r="AN962" t="n">
        <v>0</v>
      </c>
      <c r="AO962" t="n">
        <v>0</v>
      </c>
      <c r="AP962" s="39" t="n">
        <v>24266.67</v>
      </c>
      <c r="AQ962" s="39" t="n">
        <v>0</v>
      </c>
      <c r="AR962" s="39" t="n">
        <v>24266.67</v>
      </c>
      <c r="AT962" t="inlineStr">
        <is>
          <t>Crédito Directo</t>
        </is>
      </c>
      <c r="AZ962" t="inlineStr">
        <is>
          <t>No</t>
        </is>
      </c>
      <c r="BC962" t="inlineStr">
        <is>
          <t>PENDIENTE</t>
        </is>
      </c>
      <c r="BN962" t="inlineStr">
        <is>
          <t>No</t>
        </is>
      </c>
      <c r="BO962" s="117" t="n">
        <v>45898.34652777778</v>
      </c>
      <c r="BP962" t="inlineStr">
        <is>
          <t>Magaly Guevara Perez</t>
        </is>
      </c>
      <c r="BR962" t="n">
        <v>12</v>
      </c>
      <c r="BT962" t="n">
        <v>0</v>
      </c>
      <c r="BX962" t="inlineStr">
        <is>
          <t>Cobranzas_2027.csv</t>
        </is>
      </c>
      <c r="BY962" t="n">
        <v>2027</v>
      </c>
      <c r="BZ962" t="inlineStr">
        <is>
          <t>01/01/2024</t>
        </is>
      </c>
      <c r="CA962" t="inlineStr">
        <is>
          <t>30/09/2031</t>
        </is>
      </c>
    </row>
    <row r="963">
      <c r="A963" t="inlineStr">
        <is>
          <t>RESIDENCIAL VENECIA</t>
        </is>
      </c>
      <c r="B963" t="inlineStr">
        <is>
          <t>Etapa 1</t>
        </is>
      </c>
      <c r="C963" t="inlineStr">
        <is>
          <t>Edificio</t>
        </is>
      </c>
      <c r="D963" t="inlineStr">
        <is>
          <t>A</t>
        </is>
      </c>
      <c r="E963" t="inlineStr">
        <is>
          <t>Departamento</t>
        </is>
      </c>
      <c r="F963" t="inlineStr">
        <is>
          <t>602</t>
        </is>
      </c>
      <c r="G963" s="39" t="n">
        <v>573000</v>
      </c>
      <c r="H963" s="39" t="n">
        <v>573000</v>
      </c>
      <c r="I963" t="inlineStr">
        <is>
          <t>Edificio</t>
        </is>
      </c>
      <c r="J963" t="inlineStr">
        <is>
          <t>A</t>
        </is>
      </c>
      <c r="K963" t="inlineStr">
        <is>
          <t>Estacionamiento</t>
        </is>
      </c>
      <c r="L963" t="inlineStr">
        <is>
          <t>E 24 - D 5</t>
        </is>
      </c>
      <c r="M963" s="39" t="n">
        <v>51000</v>
      </c>
      <c r="N963" s="39" t="n">
        <v>51000</v>
      </c>
      <c r="S963" s="39" t="n"/>
      <c r="T963" s="39" t="n"/>
      <c r="Y963" s="39" t="n"/>
      <c r="Z963" s="39" t="n"/>
      <c r="AA963" t="inlineStr">
        <is>
          <t>Rocio Chuquimango Valencia</t>
        </is>
      </c>
      <c r="AB963" t="inlineStr">
        <is>
          <t>26707781</t>
        </is>
      </c>
      <c r="AC963" t="inlineStr">
        <is>
          <t xml:space="preserve">AV.ATAHUALPA 337.INT 2 </t>
        </is>
      </c>
      <c r="AD963" t="n">
        <v>0</v>
      </c>
      <c r="AE963" t="inlineStr">
        <is>
          <t>976685767</t>
        </is>
      </c>
      <c r="AF963" t="inlineStr">
        <is>
          <t>rocio-0511@hotmail.com</t>
        </is>
      </c>
      <c r="AG963" t="inlineStr">
        <is>
          <t>CAJAMARCA</t>
        </is>
      </c>
      <c r="AH963" t="inlineStr">
        <is>
          <t>CAJAMARCA</t>
        </is>
      </c>
      <c r="AI963" s="116" t="n">
        <v>46721</v>
      </c>
      <c r="AJ963" s="116" t="n"/>
      <c r="AK963" t="inlineStr">
        <is>
          <t>SALDO FINANCIAR</t>
        </is>
      </c>
      <c r="AL963" t="n">
        <v>17</v>
      </c>
      <c r="AM963" t="n">
        <v>24266.67</v>
      </c>
      <c r="AN963" t="n">
        <v>0</v>
      </c>
      <c r="AO963" t="n">
        <v>0</v>
      </c>
      <c r="AP963" s="39" t="n">
        <v>24266.67</v>
      </c>
      <c r="AQ963" s="39" t="n">
        <v>0</v>
      </c>
      <c r="AR963" s="39" t="n">
        <v>24266.67</v>
      </c>
      <c r="AT963" t="inlineStr">
        <is>
          <t>Crédito Directo</t>
        </is>
      </c>
      <c r="AZ963" t="inlineStr">
        <is>
          <t>No</t>
        </is>
      </c>
      <c r="BC963" t="inlineStr">
        <is>
          <t>PENDIENTE</t>
        </is>
      </c>
      <c r="BN963" t="inlineStr">
        <is>
          <t>No</t>
        </is>
      </c>
      <c r="BO963" s="117" t="n">
        <v>45898.34652777778</v>
      </c>
      <c r="BP963" t="inlineStr">
        <is>
          <t>Magaly Guevara Perez</t>
        </is>
      </c>
      <c r="BR963" t="n">
        <v>12</v>
      </c>
      <c r="BT963" t="n">
        <v>0</v>
      </c>
      <c r="BX963" t="inlineStr">
        <is>
          <t>Cobranzas_2027.csv</t>
        </is>
      </c>
      <c r="BY963" t="n">
        <v>2027</v>
      </c>
      <c r="BZ963" t="inlineStr">
        <is>
          <t>01/01/2024</t>
        </is>
      </c>
      <c r="CA963" t="inlineStr">
        <is>
          <t>30/09/2031</t>
        </is>
      </c>
    </row>
    <row r="964">
      <c r="A964" t="inlineStr">
        <is>
          <t>RESIDENCIAL VENECIA</t>
        </is>
      </c>
      <c r="B964" t="inlineStr">
        <is>
          <t>Etapa 1</t>
        </is>
      </c>
      <c r="C964" t="inlineStr">
        <is>
          <t>Edificio</t>
        </is>
      </c>
      <c r="D964" t="inlineStr">
        <is>
          <t>A</t>
        </is>
      </c>
      <c r="E964" t="inlineStr">
        <is>
          <t>Departamento</t>
        </is>
      </c>
      <c r="F964" t="inlineStr">
        <is>
          <t>602</t>
        </is>
      </c>
      <c r="G964" s="39" t="n">
        <v>573000</v>
      </c>
      <c r="H964" s="39" t="n">
        <v>573000</v>
      </c>
      <c r="I964" t="inlineStr">
        <is>
          <t>Edificio</t>
        </is>
      </c>
      <c r="J964" t="inlineStr">
        <is>
          <t>A</t>
        </is>
      </c>
      <c r="K964" t="inlineStr">
        <is>
          <t>Estacionamiento</t>
        </is>
      </c>
      <c r="L964" t="inlineStr">
        <is>
          <t>E 24 - D 5</t>
        </is>
      </c>
      <c r="M964" s="39" t="n">
        <v>51000</v>
      </c>
      <c r="N964" s="39" t="n">
        <v>51000</v>
      </c>
      <c r="S964" s="39" t="n"/>
      <c r="T964" s="39" t="n"/>
      <c r="Y964" s="39" t="n"/>
      <c r="Z964" s="39" t="n"/>
      <c r="AA964" t="inlineStr">
        <is>
          <t>Rocio Chuquimango Valencia</t>
        </is>
      </c>
      <c r="AB964" t="inlineStr">
        <is>
          <t>26707781</t>
        </is>
      </c>
      <c r="AC964" t="inlineStr">
        <is>
          <t xml:space="preserve">AV.ATAHUALPA 337.INT 2 </t>
        </is>
      </c>
      <c r="AD964" t="n">
        <v>0</v>
      </c>
      <c r="AE964" t="inlineStr">
        <is>
          <t>976685767</t>
        </is>
      </c>
      <c r="AF964" t="inlineStr">
        <is>
          <t>rocio-0511@hotmail.com</t>
        </is>
      </c>
      <c r="AG964" t="inlineStr">
        <is>
          <t>CAJAMARCA</t>
        </is>
      </c>
      <c r="AH964" t="inlineStr">
        <is>
          <t>CAJAMARCA</t>
        </is>
      </c>
      <c r="AI964" s="116" t="n">
        <v>46752</v>
      </c>
      <c r="AJ964" s="116" t="n"/>
      <c r="AK964" t="inlineStr">
        <is>
          <t>SALDO FINANCIAR</t>
        </is>
      </c>
      <c r="AL964" t="n">
        <v>18</v>
      </c>
      <c r="AM964" t="n">
        <v>24266.61</v>
      </c>
      <c r="AN964" t="n">
        <v>0</v>
      </c>
      <c r="AO964" t="n">
        <v>0</v>
      </c>
      <c r="AP964" s="39" t="n">
        <v>24266.61</v>
      </c>
      <c r="AQ964" s="39" t="n">
        <v>0</v>
      </c>
      <c r="AR964" s="39" t="n">
        <v>24266.61</v>
      </c>
      <c r="AT964" t="inlineStr">
        <is>
          <t>Crédito Directo</t>
        </is>
      </c>
      <c r="AZ964" t="inlineStr">
        <is>
          <t>No</t>
        </is>
      </c>
      <c r="BC964" t="inlineStr">
        <is>
          <t>PENDIENTE</t>
        </is>
      </c>
      <c r="BN964" t="inlineStr">
        <is>
          <t>No</t>
        </is>
      </c>
      <c r="BO964" s="117" t="n">
        <v>45898.34652777778</v>
      </c>
      <c r="BP964" t="inlineStr">
        <is>
          <t>Magaly Guevara Perez</t>
        </is>
      </c>
      <c r="BR964" t="n">
        <v>12</v>
      </c>
      <c r="BT964" t="n">
        <v>0</v>
      </c>
      <c r="BX964" t="inlineStr">
        <is>
          <t>Cobranzas_2027.csv</t>
        </is>
      </c>
      <c r="BY964" t="n">
        <v>2027</v>
      </c>
      <c r="BZ964" t="inlineStr">
        <is>
          <t>01/01/2024</t>
        </is>
      </c>
      <c r="CA964" t="inlineStr">
        <is>
          <t>30/09/2031</t>
        </is>
      </c>
    </row>
    <row r="965">
      <c r="A965" t="inlineStr">
        <is>
          <t>RESIDENCIAL BEYOND</t>
        </is>
      </c>
      <c r="B965" t="inlineStr">
        <is>
          <t>Etapa 1</t>
        </is>
      </c>
      <c r="C965" t="inlineStr">
        <is>
          <t>Edificio</t>
        </is>
      </c>
      <c r="D965" t="inlineStr">
        <is>
          <t>A</t>
        </is>
      </c>
      <c r="E965" t="inlineStr">
        <is>
          <t>Departamento</t>
        </is>
      </c>
      <c r="F965" t="inlineStr">
        <is>
          <t>905</t>
        </is>
      </c>
      <c r="G965" s="39" t="n">
        <v>532100</v>
      </c>
      <c r="H965" s="39" t="n">
        <v>510000</v>
      </c>
      <c r="M965" s="39" t="n"/>
      <c r="N965" s="39" t="n"/>
      <c r="S965" s="39" t="n"/>
      <c r="T965" s="39" t="n"/>
      <c r="Y965" s="39" t="n"/>
      <c r="Z965" s="39" t="n"/>
      <c r="AA965" t="inlineStr">
        <is>
          <t>Rocio del Pilar Quispe Vivanco</t>
        </is>
      </c>
      <c r="AB965" t="inlineStr">
        <is>
          <t>46571077</t>
        </is>
      </c>
      <c r="AC965" t="inlineStr">
        <is>
          <t>Calle 49 MZ UU2 Lt.14 Urb. La Floresta</t>
        </is>
      </c>
      <c r="AD965" t="n">
        <v>0</v>
      </c>
      <c r="AE965" t="inlineStr">
        <is>
          <t>942198649</t>
        </is>
      </c>
      <c r="AF965" t="inlineStr">
        <is>
          <t>chio22011@hotmail.com</t>
        </is>
      </c>
      <c r="AG965" t="inlineStr">
        <is>
          <t>LIMA</t>
        </is>
      </c>
      <c r="AH965" t="inlineStr">
        <is>
          <t>LOS OLIVOS</t>
        </is>
      </c>
      <c r="AI965" s="116" t="n">
        <v>46417</v>
      </c>
      <c r="AJ965" s="116" t="n"/>
      <c r="AK965" t="inlineStr">
        <is>
          <t>SALDO FINANCIAR</t>
        </is>
      </c>
      <c r="AL965" t="n">
        <v>1</v>
      </c>
      <c r="AM965" t="n">
        <v>408000</v>
      </c>
      <c r="AN965" t="n">
        <v>0</v>
      </c>
      <c r="AO965" t="n">
        <v>0</v>
      </c>
      <c r="AP965" s="39" t="n">
        <v>408000</v>
      </c>
      <c r="AQ965" s="39" t="n">
        <v>0</v>
      </c>
      <c r="AR965" s="39" t="n">
        <v>408000</v>
      </c>
      <c r="AT965" t="inlineStr">
        <is>
          <t>Ahorro</t>
        </is>
      </c>
      <c r="AZ965" t="inlineStr">
        <is>
          <t>No</t>
        </is>
      </c>
      <c r="BC965" t="inlineStr">
        <is>
          <t>PENDIENTE</t>
        </is>
      </c>
      <c r="BN965" t="inlineStr">
        <is>
          <t>No</t>
        </is>
      </c>
      <c r="BO965" s="117" t="n">
        <v>46174.33611111111</v>
      </c>
      <c r="BP965" t="inlineStr">
        <is>
          <t>Carla Michue M</t>
        </is>
      </c>
      <c r="BR965" t="n">
        <v>43</v>
      </c>
      <c r="BT965" t="n">
        <v>0</v>
      </c>
      <c r="BX965" t="inlineStr">
        <is>
          <t>Cobranzas_2027.csv</t>
        </is>
      </c>
      <c r="BY965" t="n">
        <v>2027</v>
      </c>
      <c r="BZ965" t="inlineStr">
        <is>
          <t>01/01/2024</t>
        </is>
      </c>
      <c r="CA965" t="inlineStr">
        <is>
          <t>30/09/2031</t>
        </is>
      </c>
    </row>
    <row r="966">
      <c r="A966" t="inlineStr">
        <is>
          <t>RESIDENCIAL BEYOND</t>
        </is>
      </c>
      <c r="B966" t="inlineStr">
        <is>
          <t>Etapa 1</t>
        </is>
      </c>
      <c r="C966" t="inlineStr">
        <is>
          <t>Edificio</t>
        </is>
      </c>
      <c r="D966" t="inlineStr">
        <is>
          <t>A</t>
        </is>
      </c>
      <c r="E966" t="inlineStr">
        <is>
          <t>Estacionamiento</t>
        </is>
      </c>
      <c r="F966" t="inlineStr">
        <is>
          <t>E 33 - D 22</t>
        </is>
      </c>
      <c r="G966" s="39" t="n">
        <v>51000</v>
      </c>
      <c r="H966" s="39" t="n">
        <v>51000</v>
      </c>
      <c r="M966" s="39" t="n"/>
      <c r="N966" s="39" t="n"/>
      <c r="S966" s="39" t="n"/>
      <c r="T966" s="39" t="n"/>
      <c r="Y966" s="39" t="n"/>
      <c r="Z966" s="39" t="n"/>
      <c r="AA966" t="inlineStr">
        <is>
          <t>Rocio del Pilar Quispe Vivanco</t>
        </is>
      </c>
      <c r="AB966" t="inlineStr">
        <is>
          <t>46571077</t>
        </is>
      </c>
      <c r="AC966" t="inlineStr">
        <is>
          <t>Calle 49 MZ UU2 Lt.14 Urb. La Floresta</t>
        </is>
      </c>
      <c r="AD966" t="n">
        <v>0</v>
      </c>
      <c r="AE966" t="inlineStr">
        <is>
          <t>942198649</t>
        </is>
      </c>
      <c r="AF966" t="inlineStr">
        <is>
          <t>chio22011@hotmail.com</t>
        </is>
      </c>
      <c r="AG966" t="inlineStr">
        <is>
          <t>LIMA</t>
        </is>
      </c>
      <c r="AH966" t="inlineStr">
        <is>
          <t>LOS OLIVOS</t>
        </is>
      </c>
      <c r="AI966" s="116" t="n">
        <v>46400</v>
      </c>
      <c r="AJ966" s="116" t="n"/>
      <c r="AK966" t="inlineStr">
        <is>
          <t>SALDO FINANCIAR</t>
        </is>
      </c>
      <c r="AL966" t="n">
        <v>7</v>
      </c>
      <c r="AM966" t="n">
        <v>2000</v>
      </c>
      <c r="AN966" t="n">
        <v>0</v>
      </c>
      <c r="AO966" t="n">
        <v>0</v>
      </c>
      <c r="AP966" s="39" t="n">
        <v>2000</v>
      </c>
      <c r="AQ966" s="39" t="n">
        <v>0</v>
      </c>
      <c r="AR966" s="39" t="n">
        <v>2000</v>
      </c>
      <c r="AT966" t="inlineStr">
        <is>
          <t>Crédito Directo</t>
        </is>
      </c>
      <c r="AZ966" t="inlineStr">
        <is>
          <t>No</t>
        </is>
      </c>
      <c r="BC966" t="inlineStr">
        <is>
          <t>PENDIENTE</t>
        </is>
      </c>
      <c r="BN966" t="inlineStr">
        <is>
          <t>No</t>
        </is>
      </c>
      <c r="BO966" s="117" t="n">
        <v>46171.55763888889</v>
      </c>
      <c r="BP966" t="inlineStr">
        <is>
          <t>Carla Michue M</t>
        </is>
      </c>
      <c r="BR966" t="n">
        <v>49</v>
      </c>
      <c r="BT966" t="n">
        <v>0</v>
      </c>
      <c r="BX966" t="inlineStr">
        <is>
          <t>Cobranzas_2027.csv</t>
        </is>
      </c>
      <c r="BY966" t="n">
        <v>2027</v>
      </c>
      <c r="BZ966" t="inlineStr">
        <is>
          <t>01/01/2024</t>
        </is>
      </c>
      <c r="CA966" t="inlineStr">
        <is>
          <t>30/09/2031</t>
        </is>
      </c>
    </row>
    <row r="967">
      <c r="A967" t="inlineStr">
        <is>
          <t>RESIDENCIAL BEYOND</t>
        </is>
      </c>
      <c r="B967" t="inlineStr">
        <is>
          <t>Etapa 1</t>
        </is>
      </c>
      <c r="C967" t="inlineStr">
        <is>
          <t>Edificio</t>
        </is>
      </c>
      <c r="D967" t="inlineStr">
        <is>
          <t>A</t>
        </is>
      </c>
      <c r="E967" t="inlineStr">
        <is>
          <t>Estacionamiento</t>
        </is>
      </c>
      <c r="F967" t="inlineStr">
        <is>
          <t>E 33 - D 22</t>
        </is>
      </c>
      <c r="G967" s="39" t="n">
        <v>51000</v>
      </c>
      <c r="H967" s="39" t="n">
        <v>51000</v>
      </c>
      <c r="M967" s="39" t="n"/>
      <c r="N967" s="39" t="n"/>
      <c r="S967" s="39" t="n"/>
      <c r="T967" s="39" t="n"/>
      <c r="Y967" s="39" t="n"/>
      <c r="Z967" s="39" t="n"/>
      <c r="AA967" t="inlineStr">
        <is>
          <t>Rocio del Pilar Quispe Vivanco</t>
        </is>
      </c>
      <c r="AB967" t="inlineStr">
        <is>
          <t>46571077</t>
        </is>
      </c>
      <c r="AC967" t="inlineStr">
        <is>
          <t>Calle 49 MZ UU2 Lt.14 Urb. La Floresta</t>
        </is>
      </c>
      <c r="AD967" t="n">
        <v>0</v>
      </c>
      <c r="AE967" t="inlineStr">
        <is>
          <t>942198649</t>
        </is>
      </c>
      <c r="AF967" t="inlineStr">
        <is>
          <t>chio22011@hotmail.com</t>
        </is>
      </c>
      <c r="AG967" t="inlineStr">
        <is>
          <t>LIMA</t>
        </is>
      </c>
      <c r="AH967" t="inlineStr">
        <is>
          <t>LOS OLIVOS</t>
        </is>
      </c>
      <c r="AI967" s="116" t="n">
        <v>46431</v>
      </c>
      <c r="AJ967" s="116" t="n"/>
      <c r="AK967" t="inlineStr">
        <is>
          <t>SALDO FINANCIAR</t>
        </is>
      </c>
      <c r="AL967" t="n">
        <v>8</v>
      </c>
      <c r="AM967" t="n">
        <v>2000</v>
      </c>
      <c r="AN967" t="n">
        <v>0</v>
      </c>
      <c r="AO967" t="n">
        <v>0</v>
      </c>
      <c r="AP967" s="39" t="n">
        <v>2000</v>
      </c>
      <c r="AQ967" s="39" t="n">
        <v>0</v>
      </c>
      <c r="AR967" s="39" t="n">
        <v>2000</v>
      </c>
      <c r="AT967" t="inlineStr">
        <is>
          <t>Crédito Directo</t>
        </is>
      </c>
      <c r="AZ967" t="inlineStr">
        <is>
          <t>No</t>
        </is>
      </c>
      <c r="BC967" t="inlineStr">
        <is>
          <t>PENDIENTE</t>
        </is>
      </c>
      <c r="BN967" t="inlineStr">
        <is>
          <t>No</t>
        </is>
      </c>
      <c r="BO967" s="117" t="n">
        <v>46171.55763888889</v>
      </c>
      <c r="BP967" t="inlineStr">
        <is>
          <t>Carla Michue M</t>
        </is>
      </c>
      <c r="BR967" t="n">
        <v>49</v>
      </c>
      <c r="BT967" t="n">
        <v>0</v>
      </c>
      <c r="BX967" t="inlineStr">
        <is>
          <t>Cobranzas_2027.csv</t>
        </is>
      </c>
      <c r="BY967" t="n">
        <v>2027</v>
      </c>
      <c r="BZ967" t="inlineStr">
        <is>
          <t>01/01/2024</t>
        </is>
      </c>
      <c r="CA967" t="inlineStr">
        <is>
          <t>30/09/2031</t>
        </is>
      </c>
    </row>
    <row r="968">
      <c r="A968" t="inlineStr">
        <is>
          <t>RESIDENCIAL BEYOND</t>
        </is>
      </c>
      <c r="B968" t="inlineStr">
        <is>
          <t>Etapa 1</t>
        </is>
      </c>
      <c r="C968" t="inlineStr">
        <is>
          <t>Edificio</t>
        </is>
      </c>
      <c r="D968" t="inlineStr">
        <is>
          <t>A</t>
        </is>
      </c>
      <c r="E968" t="inlineStr">
        <is>
          <t>Estacionamiento</t>
        </is>
      </c>
      <c r="F968" t="inlineStr">
        <is>
          <t>E 33 - D 22</t>
        </is>
      </c>
      <c r="G968" s="39" t="n">
        <v>51000</v>
      </c>
      <c r="H968" s="39" t="n">
        <v>51000</v>
      </c>
      <c r="M968" s="39" t="n"/>
      <c r="N968" s="39" t="n"/>
      <c r="S968" s="39" t="n"/>
      <c r="T968" s="39" t="n"/>
      <c r="Y968" s="39" t="n"/>
      <c r="Z968" s="39" t="n"/>
      <c r="AA968" t="inlineStr">
        <is>
          <t>Rocio del Pilar Quispe Vivanco</t>
        </is>
      </c>
      <c r="AB968" t="inlineStr">
        <is>
          <t>46571077</t>
        </is>
      </c>
      <c r="AC968" t="inlineStr">
        <is>
          <t>Calle 49 MZ UU2 Lt.14 Urb. La Floresta</t>
        </is>
      </c>
      <c r="AD968" t="n">
        <v>0</v>
      </c>
      <c r="AE968" t="inlineStr">
        <is>
          <t>942198649</t>
        </is>
      </c>
      <c r="AF968" t="inlineStr">
        <is>
          <t>chio22011@hotmail.com</t>
        </is>
      </c>
      <c r="AG968" t="inlineStr">
        <is>
          <t>LIMA</t>
        </is>
      </c>
      <c r="AH968" t="inlineStr">
        <is>
          <t>LOS OLIVOS</t>
        </is>
      </c>
      <c r="AI968" s="116" t="n">
        <v>46459</v>
      </c>
      <c r="AJ968" s="116" t="n"/>
      <c r="AK968" t="inlineStr">
        <is>
          <t>SALDO FINANCIAR</t>
        </is>
      </c>
      <c r="AL968" t="n">
        <v>9</v>
      </c>
      <c r="AM968" t="n">
        <v>2000</v>
      </c>
      <c r="AN968" t="n">
        <v>0</v>
      </c>
      <c r="AO968" t="n">
        <v>0</v>
      </c>
      <c r="AP968" s="39" t="n">
        <v>2000</v>
      </c>
      <c r="AQ968" s="39" t="n">
        <v>0</v>
      </c>
      <c r="AR968" s="39" t="n">
        <v>2000</v>
      </c>
      <c r="AT968" t="inlineStr">
        <is>
          <t>Crédito Directo</t>
        </is>
      </c>
      <c r="AZ968" t="inlineStr">
        <is>
          <t>No</t>
        </is>
      </c>
      <c r="BC968" t="inlineStr">
        <is>
          <t>PENDIENTE</t>
        </is>
      </c>
      <c r="BN968" t="inlineStr">
        <is>
          <t>No</t>
        </is>
      </c>
      <c r="BO968" s="117" t="n">
        <v>46171.55763888889</v>
      </c>
      <c r="BP968" t="inlineStr">
        <is>
          <t>Carla Michue M</t>
        </is>
      </c>
      <c r="BR968" t="n">
        <v>49</v>
      </c>
      <c r="BT968" t="n">
        <v>0</v>
      </c>
      <c r="BX968" t="inlineStr">
        <is>
          <t>Cobranzas_2027.csv</t>
        </is>
      </c>
      <c r="BY968" t="n">
        <v>2027</v>
      </c>
      <c r="BZ968" t="inlineStr">
        <is>
          <t>01/01/2024</t>
        </is>
      </c>
      <c r="CA968" t="inlineStr">
        <is>
          <t>30/09/2031</t>
        </is>
      </c>
    </row>
    <row r="969">
      <c r="A969" t="inlineStr">
        <is>
          <t>RESIDENCIAL BEYOND</t>
        </is>
      </c>
      <c r="B969" t="inlineStr">
        <is>
          <t>Etapa 1</t>
        </is>
      </c>
      <c r="C969" t="inlineStr">
        <is>
          <t>Edificio</t>
        </is>
      </c>
      <c r="D969" t="inlineStr">
        <is>
          <t>A</t>
        </is>
      </c>
      <c r="E969" t="inlineStr">
        <is>
          <t>Estacionamiento</t>
        </is>
      </c>
      <c r="F969" t="inlineStr">
        <is>
          <t>E 33 - D 22</t>
        </is>
      </c>
      <c r="G969" s="39" t="n">
        <v>51000</v>
      </c>
      <c r="H969" s="39" t="n">
        <v>51000</v>
      </c>
      <c r="M969" s="39" t="n"/>
      <c r="N969" s="39" t="n"/>
      <c r="S969" s="39" t="n"/>
      <c r="T969" s="39" t="n"/>
      <c r="Y969" s="39" t="n"/>
      <c r="Z969" s="39" t="n"/>
      <c r="AA969" t="inlineStr">
        <is>
          <t>Rocio del Pilar Quispe Vivanco</t>
        </is>
      </c>
      <c r="AB969" t="inlineStr">
        <is>
          <t>46571077</t>
        </is>
      </c>
      <c r="AC969" t="inlineStr">
        <is>
          <t>Calle 49 MZ UU2 Lt.14 Urb. La Floresta</t>
        </is>
      </c>
      <c r="AD969" t="n">
        <v>0</v>
      </c>
      <c r="AE969" t="inlineStr">
        <is>
          <t>942198649</t>
        </is>
      </c>
      <c r="AF969" t="inlineStr">
        <is>
          <t>chio22011@hotmail.com</t>
        </is>
      </c>
      <c r="AG969" t="inlineStr">
        <is>
          <t>LIMA</t>
        </is>
      </c>
      <c r="AH969" t="inlineStr">
        <is>
          <t>LOS OLIVOS</t>
        </is>
      </c>
      <c r="AI969" s="116" t="n">
        <v>46490</v>
      </c>
      <c r="AJ969" s="116" t="n"/>
      <c r="AK969" t="inlineStr">
        <is>
          <t>SALDO FINANCIAR</t>
        </is>
      </c>
      <c r="AL969" t="n">
        <v>10</v>
      </c>
      <c r="AM969" t="n">
        <v>2000</v>
      </c>
      <c r="AN969" t="n">
        <v>0</v>
      </c>
      <c r="AO969" t="n">
        <v>0</v>
      </c>
      <c r="AP969" s="39" t="n">
        <v>2000</v>
      </c>
      <c r="AQ969" s="39" t="n">
        <v>0</v>
      </c>
      <c r="AR969" s="39" t="n">
        <v>2000</v>
      </c>
      <c r="AT969" t="inlineStr">
        <is>
          <t>Crédito Directo</t>
        </is>
      </c>
      <c r="AZ969" t="inlineStr">
        <is>
          <t>No</t>
        </is>
      </c>
      <c r="BC969" t="inlineStr">
        <is>
          <t>PENDIENTE</t>
        </is>
      </c>
      <c r="BN969" t="inlineStr">
        <is>
          <t>No</t>
        </is>
      </c>
      <c r="BO969" s="117" t="n">
        <v>46171.55763888889</v>
      </c>
      <c r="BP969" t="inlineStr">
        <is>
          <t>Carla Michue M</t>
        </is>
      </c>
      <c r="BR969" t="n">
        <v>49</v>
      </c>
      <c r="BT969" t="n">
        <v>0</v>
      </c>
      <c r="BX969" t="inlineStr">
        <is>
          <t>Cobranzas_2027.csv</t>
        </is>
      </c>
      <c r="BY969" t="n">
        <v>2027</v>
      </c>
      <c r="BZ969" t="inlineStr">
        <is>
          <t>01/01/2024</t>
        </is>
      </c>
      <c r="CA969" t="inlineStr">
        <is>
          <t>30/09/2031</t>
        </is>
      </c>
    </row>
    <row r="970">
      <c r="A970" t="inlineStr">
        <is>
          <t>RESIDENCIAL BEYOND</t>
        </is>
      </c>
      <c r="B970" t="inlineStr">
        <is>
          <t>Etapa 1</t>
        </is>
      </c>
      <c r="C970" t="inlineStr">
        <is>
          <t>Edificio</t>
        </is>
      </c>
      <c r="D970" t="inlineStr">
        <is>
          <t>A</t>
        </is>
      </c>
      <c r="E970" t="inlineStr">
        <is>
          <t>Estacionamiento</t>
        </is>
      </c>
      <c r="F970" t="inlineStr">
        <is>
          <t>E 33 - D 22</t>
        </is>
      </c>
      <c r="G970" s="39" t="n">
        <v>51000</v>
      </c>
      <c r="H970" s="39" t="n">
        <v>51000</v>
      </c>
      <c r="M970" s="39" t="n"/>
      <c r="N970" s="39" t="n"/>
      <c r="S970" s="39" t="n"/>
      <c r="T970" s="39" t="n"/>
      <c r="Y970" s="39" t="n"/>
      <c r="Z970" s="39" t="n"/>
      <c r="AA970" t="inlineStr">
        <is>
          <t>Rocio del Pilar Quispe Vivanco</t>
        </is>
      </c>
      <c r="AB970" t="inlineStr">
        <is>
          <t>46571077</t>
        </is>
      </c>
      <c r="AC970" t="inlineStr">
        <is>
          <t>Calle 49 MZ UU2 Lt.14 Urb. La Floresta</t>
        </is>
      </c>
      <c r="AD970" t="n">
        <v>0</v>
      </c>
      <c r="AE970" t="inlineStr">
        <is>
          <t>942198649</t>
        </is>
      </c>
      <c r="AF970" t="inlineStr">
        <is>
          <t>chio22011@hotmail.com</t>
        </is>
      </c>
      <c r="AG970" t="inlineStr">
        <is>
          <t>LIMA</t>
        </is>
      </c>
      <c r="AH970" t="inlineStr">
        <is>
          <t>LOS OLIVOS</t>
        </is>
      </c>
      <c r="AI970" s="116" t="n">
        <v>46520</v>
      </c>
      <c r="AJ970" s="116" t="n"/>
      <c r="AK970" t="inlineStr">
        <is>
          <t>SALDO FINANCIAR</t>
        </is>
      </c>
      <c r="AL970" t="n">
        <v>11</v>
      </c>
      <c r="AM970" t="n">
        <v>2000</v>
      </c>
      <c r="AN970" t="n">
        <v>0</v>
      </c>
      <c r="AO970" t="n">
        <v>0</v>
      </c>
      <c r="AP970" s="39" t="n">
        <v>2000</v>
      </c>
      <c r="AQ970" s="39" t="n">
        <v>0</v>
      </c>
      <c r="AR970" s="39" t="n">
        <v>2000</v>
      </c>
      <c r="AT970" t="inlineStr">
        <is>
          <t>Crédito Directo</t>
        </is>
      </c>
      <c r="AZ970" t="inlineStr">
        <is>
          <t>No</t>
        </is>
      </c>
      <c r="BC970" t="inlineStr">
        <is>
          <t>PENDIENTE</t>
        </is>
      </c>
      <c r="BN970" t="inlineStr">
        <is>
          <t>No</t>
        </is>
      </c>
      <c r="BO970" s="117" t="n">
        <v>46171.55763888889</v>
      </c>
      <c r="BP970" t="inlineStr">
        <is>
          <t>Carla Michue M</t>
        </is>
      </c>
      <c r="BR970" t="n">
        <v>49</v>
      </c>
      <c r="BT970" t="n">
        <v>0</v>
      </c>
      <c r="BX970" t="inlineStr">
        <is>
          <t>Cobranzas_2027.csv</t>
        </is>
      </c>
      <c r="BY970" t="n">
        <v>2027</v>
      </c>
      <c r="BZ970" t="inlineStr">
        <is>
          <t>01/01/2024</t>
        </is>
      </c>
      <c r="CA970" t="inlineStr">
        <is>
          <t>30/09/2031</t>
        </is>
      </c>
    </row>
    <row r="971">
      <c r="A971" t="inlineStr">
        <is>
          <t>RESIDENCIAL BEYOND</t>
        </is>
      </c>
      <c r="B971" t="inlineStr">
        <is>
          <t>Etapa 1</t>
        </is>
      </c>
      <c r="C971" t="inlineStr">
        <is>
          <t>Edificio</t>
        </is>
      </c>
      <c r="D971" t="inlineStr">
        <is>
          <t>A</t>
        </is>
      </c>
      <c r="E971" t="inlineStr">
        <is>
          <t>Estacionamiento</t>
        </is>
      </c>
      <c r="F971" t="inlineStr">
        <is>
          <t>E 33 - D 22</t>
        </is>
      </c>
      <c r="G971" s="39" t="n">
        <v>51000</v>
      </c>
      <c r="H971" s="39" t="n">
        <v>51000</v>
      </c>
      <c r="M971" s="39" t="n"/>
      <c r="N971" s="39" t="n"/>
      <c r="S971" s="39" t="n"/>
      <c r="T971" s="39" t="n"/>
      <c r="Y971" s="39" t="n"/>
      <c r="Z971" s="39" t="n"/>
      <c r="AA971" t="inlineStr">
        <is>
          <t>Rocio del Pilar Quispe Vivanco</t>
        </is>
      </c>
      <c r="AB971" t="inlineStr">
        <is>
          <t>46571077</t>
        </is>
      </c>
      <c r="AC971" t="inlineStr">
        <is>
          <t>Calle 49 MZ UU2 Lt.14 Urb. La Floresta</t>
        </is>
      </c>
      <c r="AD971" t="n">
        <v>0</v>
      </c>
      <c r="AE971" t="inlineStr">
        <is>
          <t>942198649</t>
        </is>
      </c>
      <c r="AF971" t="inlineStr">
        <is>
          <t>chio22011@hotmail.com</t>
        </is>
      </c>
      <c r="AG971" t="inlineStr">
        <is>
          <t>LIMA</t>
        </is>
      </c>
      <c r="AH971" t="inlineStr">
        <is>
          <t>LOS OLIVOS</t>
        </is>
      </c>
      <c r="AI971" s="116" t="n">
        <v>46551</v>
      </c>
      <c r="AJ971" s="116" t="n"/>
      <c r="AK971" t="inlineStr">
        <is>
          <t>SALDO FINANCIAR</t>
        </is>
      </c>
      <c r="AL971" t="n">
        <v>12</v>
      </c>
      <c r="AM971" t="n">
        <v>24000</v>
      </c>
      <c r="AN971" t="n">
        <v>0</v>
      </c>
      <c r="AO971" t="n">
        <v>0</v>
      </c>
      <c r="AP971" s="39" t="n">
        <v>24000</v>
      </c>
      <c r="AQ971" s="39" t="n">
        <v>0</v>
      </c>
      <c r="AR971" s="39" t="n">
        <v>24000</v>
      </c>
      <c r="AT971" t="inlineStr">
        <is>
          <t>Crédito Directo</t>
        </is>
      </c>
      <c r="AZ971" t="inlineStr">
        <is>
          <t>No</t>
        </is>
      </c>
      <c r="BC971" t="inlineStr">
        <is>
          <t>PENDIENTE</t>
        </is>
      </c>
      <c r="BN971" t="inlineStr">
        <is>
          <t>No</t>
        </is>
      </c>
      <c r="BO971" s="117" t="n">
        <v>46171.55763888889</v>
      </c>
      <c r="BP971" t="inlineStr">
        <is>
          <t>Carla Michue M</t>
        </is>
      </c>
      <c r="BR971" t="n">
        <v>49</v>
      </c>
      <c r="BT971" t="n">
        <v>0</v>
      </c>
      <c r="BX971" t="inlineStr">
        <is>
          <t>Cobranzas_2027.csv</t>
        </is>
      </c>
      <c r="BY971" t="n">
        <v>2027</v>
      </c>
      <c r="BZ971" t="inlineStr">
        <is>
          <t>01/01/2024</t>
        </is>
      </c>
      <c r="CA971" t="inlineStr">
        <is>
          <t>30/09/2031</t>
        </is>
      </c>
    </row>
    <row r="972">
      <c r="A972" t="inlineStr">
        <is>
          <t>RESIDENCIAL BEYOND</t>
        </is>
      </c>
      <c r="B972" t="inlineStr">
        <is>
          <t>Etapa 1</t>
        </is>
      </c>
      <c r="C972" t="inlineStr">
        <is>
          <t>Edificio</t>
        </is>
      </c>
      <c r="D972" t="inlineStr">
        <is>
          <t>A</t>
        </is>
      </c>
      <c r="E972" t="inlineStr">
        <is>
          <t>Estacionamiento</t>
        </is>
      </c>
      <c r="F972" t="inlineStr">
        <is>
          <t>E 31 - D 20</t>
        </is>
      </c>
      <c r="G972" s="39" t="n">
        <v>50000</v>
      </c>
      <c r="H972" s="39" t="n">
        <v>50000</v>
      </c>
      <c r="I972" t="inlineStr">
        <is>
          <t>Edificio</t>
        </is>
      </c>
      <c r="J972" t="inlineStr">
        <is>
          <t>A</t>
        </is>
      </c>
      <c r="K972" t="inlineStr">
        <is>
          <t>Estacionamiento</t>
        </is>
      </c>
      <c r="L972" t="inlineStr">
        <is>
          <t>E 32 - D 21</t>
        </is>
      </c>
      <c r="M972" s="39" t="n">
        <v>52500</v>
      </c>
      <c r="N972" s="39" t="n">
        <v>52500</v>
      </c>
      <c r="S972" s="39" t="n"/>
      <c r="T972" s="39" t="n"/>
      <c r="Y972" s="39" t="n"/>
      <c r="Z972" s="39" t="n"/>
      <c r="AA972" t="inlineStr">
        <is>
          <t>RONALD ANTONIO TICONA ARONES</t>
        </is>
      </c>
      <c r="AB972" t="inlineStr">
        <is>
          <t>41639626</t>
        </is>
      </c>
      <c r="AC972" t="inlineStr">
        <is>
          <t>Av. Gregorio Escobedo 426 Dpto. N°402 - Jesus Maria.</t>
        </is>
      </c>
      <c r="AD972" t="n">
        <v>0</v>
      </c>
      <c r="AE972" t="inlineStr">
        <is>
          <t>959833373</t>
        </is>
      </c>
      <c r="AF972" t="inlineStr">
        <is>
          <t>gr103@gmail.com</t>
        </is>
      </c>
      <c r="AG972" t="inlineStr">
        <is>
          <t>LIMA</t>
        </is>
      </c>
      <c r="AH972" t="inlineStr">
        <is>
          <t>JESUS MARIA</t>
        </is>
      </c>
      <c r="AI972" s="116" t="n">
        <v>46417</v>
      </c>
      <c r="AJ972" s="116" t="n"/>
      <c r="AK972" t="inlineStr">
        <is>
          <t>SALDO FINANCIAR</t>
        </is>
      </c>
      <c r="AL972" t="n">
        <v>9</v>
      </c>
      <c r="AM972" t="n">
        <v>4480</v>
      </c>
      <c r="AN972" t="n">
        <v>0</v>
      </c>
      <c r="AO972" t="n">
        <v>0</v>
      </c>
      <c r="AP972" s="39" t="n">
        <v>4480</v>
      </c>
      <c r="AQ972" s="39" t="n">
        <v>0</v>
      </c>
      <c r="AR972" s="39" t="n">
        <v>4480</v>
      </c>
      <c r="AT972" t="inlineStr">
        <is>
          <t>Crédito Directo</t>
        </is>
      </c>
      <c r="AZ972" t="inlineStr">
        <is>
          <t>No</t>
        </is>
      </c>
      <c r="BC972" t="inlineStr">
        <is>
          <t>PENDIENTE</t>
        </is>
      </c>
      <c r="BN972" t="inlineStr">
        <is>
          <t>No</t>
        </is>
      </c>
      <c r="BO972" s="117" t="n">
        <v>46121.37569444445</v>
      </c>
      <c r="BP972" t="inlineStr">
        <is>
          <t>Kenny Salazar S</t>
        </is>
      </c>
      <c r="BR972" t="n">
        <v>48</v>
      </c>
      <c r="BT972" t="n">
        <v>0</v>
      </c>
      <c r="BX972" t="inlineStr">
        <is>
          <t>Cobranzas_2027.csv</t>
        </is>
      </c>
      <c r="BY972" t="n">
        <v>2027</v>
      </c>
      <c r="BZ972" t="inlineStr">
        <is>
          <t>01/01/2024</t>
        </is>
      </c>
      <c r="CA972" t="inlineStr">
        <is>
          <t>30/09/2031</t>
        </is>
      </c>
    </row>
    <row r="973">
      <c r="A973" t="inlineStr">
        <is>
          <t>RESIDENCIAL BEYOND</t>
        </is>
      </c>
      <c r="B973" t="inlineStr">
        <is>
          <t>Etapa 1</t>
        </is>
      </c>
      <c r="C973" t="inlineStr">
        <is>
          <t>Edificio</t>
        </is>
      </c>
      <c r="D973" t="inlineStr">
        <is>
          <t>A</t>
        </is>
      </c>
      <c r="E973" t="inlineStr">
        <is>
          <t>Estacionamiento</t>
        </is>
      </c>
      <c r="F973" t="inlineStr">
        <is>
          <t>E 31 - D 20</t>
        </is>
      </c>
      <c r="G973" s="39" t="n">
        <v>50000</v>
      </c>
      <c r="H973" s="39" t="n">
        <v>50000</v>
      </c>
      <c r="I973" t="inlineStr">
        <is>
          <t>Edificio</t>
        </is>
      </c>
      <c r="J973" t="inlineStr">
        <is>
          <t>A</t>
        </is>
      </c>
      <c r="K973" t="inlineStr">
        <is>
          <t>Estacionamiento</t>
        </is>
      </c>
      <c r="L973" t="inlineStr">
        <is>
          <t>E 32 - D 21</t>
        </is>
      </c>
      <c r="M973" s="39" t="n">
        <v>52500</v>
      </c>
      <c r="N973" s="39" t="n">
        <v>52500</v>
      </c>
      <c r="S973" s="39" t="n"/>
      <c r="T973" s="39" t="n"/>
      <c r="Y973" s="39" t="n"/>
      <c r="Z973" s="39" t="n"/>
      <c r="AA973" t="inlineStr">
        <is>
          <t>RONALD ANTONIO TICONA ARONES</t>
        </is>
      </c>
      <c r="AB973" t="inlineStr">
        <is>
          <t>41639626</t>
        </is>
      </c>
      <c r="AC973" t="inlineStr">
        <is>
          <t>Av. Gregorio Escobedo 426 Dpto. N°402 - Jesus Maria.</t>
        </is>
      </c>
      <c r="AD973" t="n">
        <v>0</v>
      </c>
      <c r="AE973" t="inlineStr">
        <is>
          <t>959833373</t>
        </is>
      </c>
      <c r="AF973" t="inlineStr">
        <is>
          <t>gr103@gmail.com</t>
        </is>
      </c>
      <c r="AG973" t="inlineStr">
        <is>
          <t>LIMA</t>
        </is>
      </c>
      <c r="AH973" t="inlineStr">
        <is>
          <t>JESUS MARIA</t>
        </is>
      </c>
      <c r="AI973" s="116" t="n">
        <v>46446</v>
      </c>
      <c r="AJ973" s="116" t="n"/>
      <c r="AK973" t="inlineStr">
        <is>
          <t>SALDO FINANCIAR</t>
        </is>
      </c>
      <c r="AL973" t="n">
        <v>10</v>
      </c>
      <c r="AM973" t="n">
        <v>4480</v>
      </c>
      <c r="AN973" t="n">
        <v>0</v>
      </c>
      <c r="AO973" t="n">
        <v>0</v>
      </c>
      <c r="AP973" s="39" t="n">
        <v>4480</v>
      </c>
      <c r="AQ973" s="39" t="n">
        <v>0</v>
      </c>
      <c r="AR973" s="39" t="n">
        <v>4480</v>
      </c>
      <c r="AT973" t="inlineStr">
        <is>
          <t>Crédito Directo</t>
        </is>
      </c>
      <c r="AZ973" t="inlineStr">
        <is>
          <t>No</t>
        </is>
      </c>
      <c r="BC973" t="inlineStr">
        <is>
          <t>PENDIENTE</t>
        </is>
      </c>
      <c r="BN973" t="inlineStr">
        <is>
          <t>No</t>
        </is>
      </c>
      <c r="BO973" s="117" t="n">
        <v>46121.37569444445</v>
      </c>
      <c r="BP973" t="inlineStr">
        <is>
          <t>Kenny Salazar S</t>
        </is>
      </c>
      <c r="BR973" t="n">
        <v>48</v>
      </c>
      <c r="BT973" t="n">
        <v>0</v>
      </c>
      <c r="BX973" t="inlineStr">
        <is>
          <t>Cobranzas_2027.csv</t>
        </is>
      </c>
      <c r="BY973" t="n">
        <v>2027</v>
      </c>
      <c r="BZ973" t="inlineStr">
        <is>
          <t>01/01/2024</t>
        </is>
      </c>
      <c r="CA973" t="inlineStr">
        <is>
          <t>30/09/2031</t>
        </is>
      </c>
    </row>
    <row r="974">
      <c r="A974" t="inlineStr">
        <is>
          <t>RESIDENCIAL BEYOND</t>
        </is>
      </c>
      <c r="B974" t="inlineStr">
        <is>
          <t>Etapa 1</t>
        </is>
      </c>
      <c r="C974" t="inlineStr">
        <is>
          <t>Edificio</t>
        </is>
      </c>
      <c r="D974" t="inlineStr">
        <is>
          <t>A</t>
        </is>
      </c>
      <c r="E974" t="inlineStr">
        <is>
          <t>Estacionamiento</t>
        </is>
      </c>
      <c r="F974" t="inlineStr">
        <is>
          <t>E 31 - D 20</t>
        </is>
      </c>
      <c r="G974" s="39" t="n">
        <v>50000</v>
      </c>
      <c r="H974" s="39" t="n">
        <v>50000</v>
      </c>
      <c r="I974" t="inlineStr">
        <is>
          <t>Edificio</t>
        </is>
      </c>
      <c r="J974" t="inlineStr">
        <is>
          <t>A</t>
        </is>
      </c>
      <c r="K974" t="inlineStr">
        <is>
          <t>Estacionamiento</t>
        </is>
      </c>
      <c r="L974" t="inlineStr">
        <is>
          <t>E 32 - D 21</t>
        </is>
      </c>
      <c r="M974" s="39" t="n">
        <v>52500</v>
      </c>
      <c r="N974" s="39" t="n">
        <v>52500</v>
      </c>
      <c r="S974" s="39" t="n"/>
      <c r="T974" s="39" t="n"/>
      <c r="Y974" s="39" t="n"/>
      <c r="Z974" s="39" t="n"/>
      <c r="AA974" t="inlineStr">
        <is>
          <t>RONALD ANTONIO TICONA ARONES</t>
        </is>
      </c>
      <c r="AB974" t="inlineStr">
        <is>
          <t>41639626</t>
        </is>
      </c>
      <c r="AC974" t="inlineStr">
        <is>
          <t>Av. Gregorio Escobedo 426 Dpto. N°402 - Jesus Maria.</t>
        </is>
      </c>
      <c r="AD974" t="n">
        <v>0</v>
      </c>
      <c r="AE974" t="inlineStr">
        <is>
          <t>959833373</t>
        </is>
      </c>
      <c r="AF974" t="inlineStr">
        <is>
          <t>gr103@gmail.com</t>
        </is>
      </c>
      <c r="AG974" t="inlineStr">
        <is>
          <t>LIMA</t>
        </is>
      </c>
      <c r="AH974" t="inlineStr">
        <is>
          <t>JESUS MARIA</t>
        </is>
      </c>
      <c r="AI974" s="116" t="n">
        <v>46476</v>
      </c>
      <c r="AJ974" s="116" t="n"/>
      <c r="AK974" t="inlineStr">
        <is>
          <t>SALDO FINANCIAR</t>
        </is>
      </c>
      <c r="AL974" t="n">
        <v>11</v>
      </c>
      <c r="AM974" t="n">
        <v>4480</v>
      </c>
      <c r="AN974" t="n">
        <v>0</v>
      </c>
      <c r="AO974" t="n">
        <v>0</v>
      </c>
      <c r="AP974" s="39" t="n">
        <v>4480</v>
      </c>
      <c r="AQ974" s="39" t="n">
        <v>0</v>
      </c>
      <c r="AR974" s="39" t="n">
        <v>4480</v>
      </c>
      <c r="AT974" t="inlineStr">
        <is>
          <t>Crédito Directo</t>
        </is>
      </c>
      <c r="AZ974" t="inlineStr">
        <is>
          <t>No</t>
        </is>
      </c>
      <c r="BC974" t="inlineStr">
        <is>
          <t>PENDIENTE</t>
        </is>
      </c>
      <c r="BN974" t="inlineStr">
        <is>
          <t>No</t>
        </is>
      </c>
      <c r="BO974" s="117" t="n">
        <v>46121.37569444445</v>
      </c>
      <c r="BP974" t="inlineStr">
        <is>
          <t>Kenny Salazar S</t>
        </is>
      </c>
      <c r="BR974" t="n">
        <v>48</v>
      </c>
      <c r="BT974" t="n">
        <v>0</v>
      </c>
      <c r="BX974" t="inlineStr">
        <is>
          <t>Cobranzas_2027.csv</t>
        </is>
      </c>
      <c r="BY974" t="n">
        <v>2027</v>
      </c>
      <c r="BZ974" t="inlineStr">
        <is>
          <t>01/01/2024</t>
        </is>
      </c>
      <c r="CA974" t="inlineStr">
        <is>
          <t>30/09/2031</t>
        </is>
      </c>
    </row>
    <row r="975">
      <c r="A975" t="inlineStr">
        <is>
          <t>RESIDENCIAL BEYOND</t>
        </is>
      </c>
      <c r="B975" t="inlineStr">
        <is>
          <t>Etapa 1</t>
        </is>
      </c>
      <c r="C975" t="inlineStr">
        <is>
          <t>Edificio</t>
        </is>
      </c>
      <c r="D975" t="inlineStr">
        <is>
          <t>A</t>
        </is>
      </c>
      <c r="E975" t="inlineStr">
        <is>
          <t>Estacionamiento</t>
        </is>
      </c>
      <c r="F975" t="inlineStr">
        <is>
          <t>E 31 - D 20</t>
        </is>
      </c>
      <c r="G975" s="39" t="n">
        <v>50000</v>
      </c>
      <c r="H975" s="39" t="n">
        <v>50000</v>
      </c>
      <c r="I975" t="inlineStr">
        <is>
          <t>Edificio</t>
        </is>
      </c>
      <c r="J975" t="inlineStr">
        <is>
          <t>A</t>
        </is>
      </c>
      <c r="K975" t="inlineStr">
        <is>
          <t>Estacionamiento</t>
        </is>
      </c>
      <c r="L975" t="inlineStr">
        <is>
          <t>E 32 - D 21</t>
        </is>
      </c>
      <c r="M975" s="39" t="n">
        <v>52500</v>
      </c>
      <c r="N975" s="39" t="n">
        <v>52500</v>
      </c>
      <c r="S975" s="39" t="n"/>
      <c r="T975" s="39" t="n"/>
      <c r="Y975" s="39" t="n"/>
      <c r="Z975" s="39" t="n"/>
      <c r="AA975" t="inlineStr">
        <is>
          <t>RONALD ANTONIO TICONA ARONES</t>
        </is>
      </c>
      <c r="AB975" t="inlineStr">
        <is>
          <t>41639626</t>
        </is>
      </c>
      <c r="AC975" t="inlineStr">
        <is>
          <t>Av. Gregorio Escobedo 426 Dpto. N°402 - Jesus Maria.</t>
        </is>
      </c>
      <c r="AD975" t="n">
        <v>0</v>
      </c>
      <c r="AE975" t="inlineStr">
        <is>
          <t>959833373</t>
        </is>
      </c>
      <c r="AF975" t="inlineStr">
        <is>
          <t>gr103@gmail.com</t>
        </is>
      </c>
      <c r="AG975" t="inlineStr">
        <is>
          <t>LIMA</t>
        </is>
      </c>
      <c r="AH975" t="inlineStr">
        <is>
          <t>JESUS MARIA</t>
        </is>
      </c>
      <c r="AI975" s="116" t="n">
        <v>46507</v>
      </c>
      <c r="AJ975" s="116" t="n"/>
      <c r="AK975" t="inlineStr">
        <is>
          <t>SALDO FINANCIAR</t>
        </is>
      </c>
      <c r="AL975" t="n">
        <v>12</v>
      </c>
      <c r="AM975" t="n">
        <v>4480</v>
      </c>
      <c r="AN975" t="n">
        <v>0</v>
      </c>
      <c r="AO975" t="n">
        <v>0</v>
      </c>
      <c r="AP975" s="39" t="n">
        <v>4480</v>
      </c>
      <c r="AQ975" s="39" t="n">
        <v>0</v>
      </c>
      <c r="AR975" s="39" t="n">
        <v>4480</v>
      </c>
      <c r="AT975" t="inlineStr">
        <is>
          <t>Crédito Directo</t>
        </is>
      </c>
      <c r="AZ975" t="inlineStr">
        <is>
          <t>No</t>
        </is>
      </c>
      <c r="BC975" t="inlineStr">
        <is>
          <t>PENDIENTE</t>
        </is>
      </c>
      <c r="BN975" t="inlineStr">
        <is>
          <t>No</t>
        </is>
      </c>
      <c r="BO975" s="117" t="n">
        <v>46121.37569444445</v>
      </c>
      <c r="BP975" t="inlineStr">
        <is>
          <t>Kenny Salazar S</t>
        </is>
      </c>
      <c r="BR975" t="n">
        <v>48</v>
      </c>
      <c r="BT975" t="n">
        <v>0</v>
      </c>
      <c r="BX975" t="inlineStr">
        <is>
          <t>Cobranzas_2027.csv</t>
        </is>
      </c>
      <c r="BY975" t="n">
        <v>2027</v>
      </c>
      <c r="BZ975" t="inlineStr">
        <is>
          <t>01/01/2024</t>
        </is>
      </c>
      <c r="CA975" t="inlineStr">
        <is>
          <t>30/09/2031</t>
        </is>
      </c>
    </row>
    <row r="976">
      <c r="A976" t="inlineStr">
        <is>
          <t>RESIDENCIAL BEYOND</t>
        </is>
      </c>
      <c r="B976" t="inlineStr">
        <is>
          <t>Etapa 1</t>
        </is>
      </c>
      <c r="C976" t="inlineStr">
        <is>
          <t>Edificio</t>
        </is>
      </c>
      <c r="D976" t="inlineStr">
        <is>
          <t>A</t>
        </is>
      </c>
      <c r="E976" t="inlineStr">
        <is>
          <t>Estacionamiento</t>
        </is>
      </c>
      <c r="F976" t="inlineStr">
        <is>
          <t>E 31 - D 20</t>
        </is>
      </c>
      <c r="G976" s="39" t="n">
        <v>50000</v>
      </c>
      <c r="H976" s="39" t="n">
        <v>50000</v>
      </c>
      <c r="I976" t="inlineStr">
        <is>
          <t>Edificio</t>
        </is>
      </c>
      <c r="J976" t="inlineStr">
        <is>
          <t>A</t>
        </is>
      </c>
      <c r="K976" t="inlineStr">
        <is>
          <t>Estacionamiento</t>
        </is>
      </c>
      <c r="L976" t="inlineStr">
        <is>
          <t>E 32 - D 21</t>
        </is>
      </c>
      <c r="M976" s="39" t="n">
        <v>52500</v>
      </c>
      <c r="N976" s="39" t="n">
        <v>52500</v>
      </c>
      <c r="S976" s="39" t="n"/>
      <c r="T976" s="39" t="n"/>
      <c r="Y976" s="39" t="n"/>
      <c r="Z976" s="39" t="n"/>
      <c r="AA976" t="inlineStr">
        <is>
          <t>RONALD ANTONIO TICONA ARONES</t>
        </is>
      </c>
      <c r="AB976" t="inlineStr">
        <is>
          <t>41639626</t>
        </is>
      </c>
      <c r="AC976" t="inlineStr">
        <is>
          <t>Av. Gregorio Escobedo 426 Dpto. N°402 - Jesus Maria.</t>
        </is>
      </c>
      <c r="AD976" t="n">
        <v>0</v>
      </c>
      <c r="AE976" t="inlineStr">
        <is>
          <t>959833373</t>
        </is>
      </c>
      <c r="AF976" t="inlineStr">
        <is>
          <t>gr103@gmail.com</t>
        </is>
      </c>
      <c r="AG976" t="inlineStr">
        <is>
          <t>LIMA</t>
        </is>
      </c>
      <c r="AH976" t="inlineStr">
        <is>
          <t>JESUS MARIA</t>
        </is>
      </c>
      <c r="AI976" s="116" t="n">
        <v>46537</v>
      </c>
      <c r="AJ976" s="116" t="n"/>
      <c r="AK976" t="inlineStr">
        <is>
          <t>SALDO FINANCIAR</t>
        </is>
      </c>
      <c r="AL976" t="n">
        <v>13</v>
      </c>
      <c r="AM976" t="n">
        <v>4480</v>
      </c>
      <c r="AN976" t="n">
        <v>0</v>
      </c>
      <c r="AO976" t="n">
        <v>0</v>
      </c>
      <c r="AP976" s="39" t="n">
        <v>4480</v>
      </c>
      <c r="AQ976" s="39" t="n">
        <v>0</v>
      </c>
      <c r="AR976" s="39" t="n">
        <v>4480</v>
      </c>
      <c r="AT976" t="inlineStr">
        <is>
          <t>Crédito Directo</t>
        </is>
      </c>
      <c r="AZ976" t="inlineStr">
        <is>
          <t>No</t>
        </is>
      </c>
      <c r="BC976" t="inlineStr">
        <is>
          <t>PENDIENTE</t>
        </is>
      </c>
      <c r="BN976" t="inlineStr">
        <is>
          <t>No</t>
        </is>
      </c>
      <c r="BO976" s="117" t="n">
        <v>46121.37569444445</v>
      </c>
      <c r="BP976" t="inlineStr">
        <is>
          <t>Kenny Salazar S</t>
        </is>
      </c>
      <c r="BR976" t="n">
        <v>48</v>
      </c>
      <c r="BT976" t="n">
        <v>0</v>
      </c>
      <c r="BX976" t="inlineStr">
        <is>
          <t>Cobranzas_2027.csv</t>
        </is>
      </c>
      <c r="BY976" t="n">
        <v>2027</v>
      </c>
      <c r="BZ976" t="inlineStr">
        <is>
          <t>01/01/2024</t>
        </is>
      </c>
      <c r="CA976" t="inlineStr">
        <is>
          <t>30/09/2031</t>
        </is>
      </c>
    </row>
    <row r="977">
      <c r="A977" t="inlineStr">
        <is>
          <t>RESIDENCIAL BEYOND</t>
        </is>
      </c>
      <c r="B977" t="inlineStr">
        <is>
          <t>Etapa 1</t>
        </is>
      </c>
      <c r="C977" t="inlineStr">
        <is>
          <t>Edificio</t>
        </is>
      </c>
      <c r="D977" t="inlineStr">
        <is>
          <t>A</t>
        </is>
      </c>
      <c r="E977" t="inlineStr">
        <is>
          <t>Estacionamiento</t>
        </is>
      </c>
      <c r="F977" t="inlineStr">
        <is>
          <t>E 31 - D 20</t>
        </is>
      </c>
      <c r="G977" s="39" t="n">
        <v>50000</v>
      </c>
      <c r="H977" s="39" t="n">
        <v>50000</v>
      </c>
      <c r="I977" t="inlineStr">
        <is>
          <t>Edificio</t>
        </is>
      </c>
      <c r="J977" t="inlineStr">
        <is>
          <t>A</t>
        </is>
      </c>
      <c r="K977" t="inlineStr">
        <is>
          <t>Estacionamiento</t>
        </is>
      </c>
      <c r="L977" t="inlineStr">
        <is>
          <t>E 32 - D 21</t>
        </is>
      </c>
      <c r="M977" s="39" t="n">
        <v>52500</v>
      </c>
      <c r="N977" s="39" t="n">
        <v>52500</v>
      </c>
      <c r="S977" s="39" t="n"/>
      <c r="T977" s="39" t="n"/>
      <c r="Y977" s="39" t="n"/>
      <c r="Z977" s="39" t="n"/>
      <c r="AA977" t="inlineStr">
        <is>
          <t>RONALD ANTONIO TICONA ARONES</t>
        </is>
      </c>
      <c r="AB977" t="inlineStr">
        <is>
          <t>41639626</t>
        </is>
      </c>
      <c r="AC977" t="inlineStr">
        <is>
          <t>Av. Gregorio Escobedo 426 Dpto. N°402 - Jesus Maria.</t>
        </is>
      </c>
      <c r="AD977" t="n">
        <v>0</v>
      </c>
      <c r="AE977" t="inlineStr">
        <is>
          <t>959833373</t>
        </is>
      </c>
      <c r="AF977" t="inlineStr">
        <is>
          <t>gr103@gmail.com</t>
        </is>
      </c>
      <c r="AG977" t="inlineStr">
        <is>
          <t>LIMA</t>
        </is>
      </c>
      <c r="AH977" t="inlineStr">
        <is>
          <t>JESUS MARIA</t>
        </is>
      </c>
      <c r="AI977" s="116" t="n">
        <v>46568</v>
      </c>
      <c r="AJ977" s="116" t="n"/>
      <c r="AK977" t="inlineStr">
        <is>
          <t>SALDO FINANCIAR</t>
        </is>
      </c>
      <c r="AL977" t="n">
        <v>14</v>
      </c>
      <c r="AM977" t="n">
        <v>4480</v>
      </c>
      <c r="AN977" t="n">
        <v>0</v>
      </c>
      <c r="AO977" t="n">
        <v>0</v>
      </c>
      <c r="AP977" s="39" t="n">
        <v>4480</v>
      </c>
      <c r="AQ977" s="39" t="n">
        <v>0</v>
      </c>
      <c r="AR977" s="39" t="n">
        <v>4480</v>
      </c>
      <c r="AT977" t="inlineStr">
        <is>
          <t>Crédito Directo</t>
        </is>
      </c>
      <c r="AZ977" t="inlineStr">
        <is>
          <t>No</t>
        </is>
      </c>
      <c r="BC977" t="inlineStr">
        <is>
          <t>PENDIENTE</t>
        </is>
      </c>
      <c r="BN977" t="inlineStr">
        <is>
          <t>No</t>
        </is>
      </c>
      <c r="BO977" s="117" t="n">
        <v>46121.37569444445</v>
      </c>
      <c r="BP977" t="inlineStr">
        <is>
          <t>Kenny Salazar S</t>
        </is>
      </c>
      <c r="BR977" t="n">
        <v>48</v>
      </c>
      <c r="BT977" t="n">
        <v>0</v>
      </c>
      <c r="BX977" t="inlineStr">
        <is>
          <t>Cobranzas_2027.csv</t>
        </is>
      </c>
      <c r="BY977" t="n">
        <v>2027</v>
      </c>
      <c r="BZ977" t="inlineStr">
        <is>
          <t>01/01/2024</t>
        </is>
      </c>
      <c r="CA977" t="inlineStr">
        <is>
          <t>30/09/2031</t>
        </is>
      </c>
    </row>
    <row r="978">
      <c r="A978" t="inlineStr">
        <is>
          <t>RESIDENCIAL BEYOND</t>
        </is>
      </c>
      <c r="B978" t="inlineStr">
        <is>
          <t>Etapa 1</t>
        </is>
      </c>
      <c r="C978" t="inlineStr">
        <is>
          <t>Edificio</t>
        </is>
      </c>
      <c r="D978" t="inlineStr">
        <is>
          <t>A</t>
        </is>
      </c>
      <c r="E978" t="inlineStr">
        <is>
          <t>Estacionamiento</t>
        </is>
      </c>
      <c r="F978" t="inlineStr">
        <is>
          <t>E 31 - D 20</t>
        </is>
      </c>
      <c r="G978" s="39" t="n">
        <v>50000</v>
      </c>
      <c r="H978" s="39" t="n">
        <v>50000</v>
      </c>
      <c r="I978" t="inlineStr">
        <is>
          <t>Edificio</t>
        </is>
      </c>
      <c r="J978" t="inlineStr">
        <is>
          <t>A</t>
        </is>
      </c>
      <c r="K978" t="inlineStr">
        <is>
          <t>Estacionamiento</t>
        </is>
      </c>
      <c r="L978" t="inlineStr">
        <is>
          <t>E 32 - D 21</t>
        </is>
      </c>
      <c r="M978" s="39" t="n">
        <v>52500</v>
      </c>
      <c r="N978" s="39" t="n">
        <v>52500</v>
      </c>
      <c r="S978" s="39" t="n"/>
      <c r="T978" s="39" t="n"/>
      <c r="Y978" s="39" t="n"/>
      <c r="Z978" s="39" t="n"/>
      <c r="AA978" t="inlineStr">
        <is>
          <t>RONALD ANTONIO TICONA ARONES</t>
        </is>
      </c>
      <c r="AB978" t="inlineStr">
        <is>
          <t>41639626</t>
        </is>
      </c>
      <c r="AC978" t="inlineStr">
        <is>
          <t>Av. Gregorio Escobedo 426 Dpto. N°402 - Jesus Maria.</t>
        </is>
      </c>
      <c r="AD978" t="n">
        <v>0</v>
      </c>
      <c r="AE978" t="inlineStr">
        <is>
          <t>959833373</t>
        </is>
      </c>
      <c r="AF978" t="inlineStr">
        <is>
          <t>gr103@gmail.com</t>
        </is>
      </c>
      <c r="AG978" t="inlineStr">
        <is>
          <t>LIMA</t>
        </is>
      </c>
      <c r="AH978" t="inlineStr">
        <is>
          <t>JESUS MARIA</t>
        </is>
      </c>
      <c r="AI978" s="116" t="n">
        <v>46598</v>
      </c>
      <c r="AJ978" s="116" t="n"/>
      <c r="AK978" t="inlineStr">
        <is>
          <t>SALDO FINANCIAR</t>
        </is>
      </c>
      <c r="AL978" t="n">
        <v>15</v>
      </c>
      <c r="AM978" t="n">
        <v>4480</v>
      </c>
      <c r="AN978" t="n">
        <v>0</v>
      </c>
      <c r="AO978" t="n">
        <v>0</v>
      </c>
      <c r="AP978" s="39" t="n">
        <v>4480</v>
      </c>
      <c r="AQ978" s="39" t="n">
        <v>0</v>
      </c>
      <c r="AR978" s="39" t="n">
        <v>4480</v>
      </c>
      <c r="AT978" t="inlineStr">
        <is>
          <t>Crédito Directo</t>
        </is>
      </c>
      <c r="AZ978" t="inlineStr">
        <is>
          <t>No</t>
        </is>
      </c>
      <c r="BC978" t="inlineStr">
        <is>
          <t>PENDIENTE</t>
        </is>
      </c>
      <c r="BN978" t="inlineStr">
        <is>
          <t>No</t>
        </is>
      </c>
      <c r="BO978" s="117" t="n">
        <v>46121.37569444445</v>
      </c>
      <c r="BP978" t="inlineStr">
        <is>
          <t>Kenny Salazar S</t>
        </is>
      </c>
      <c r="BR978" t="n">
        <v>48</v>
      </c>
      <c r="BT978" t="n">
        <v>0</v>
      </c>
      <c r="BX978" t="inlineStr">
        <is>
          <t>Cobranzas_2027.csv</t>
        </is>
      </c>
      <c r="BY978" t="n">
        <v>2027</v>
      </c>
      <c r="BZ978" t="inlineStr">
        <is>
          <t>01/01/2024</t>
        </is>
      </c>
      <c r="CA978" t="inlineStr">
        <is>
          <t>30/09/2031</t>
        </is>
      </c>
    </row>
    <row r="979">
      <c r="A979" t="inlineStr">
        <is>
          <t>RESIDENCIAL BEYOND</t>
        </is>
      </c>
      <c r="B979" t="inlineStr">
        <is>
          <t>Etapa 1</t>
        </is>
      </c>
      <c r="C979" t="inlineStr">
        <is>
          <t>Edificio</t>
        </is>
      </c>
      <c r="D979" t="inlineStr">
        <is>
          <t>A</t>
        </is>
      </c>
      <c r="E979" t="inlineStr">
        <is>
          <t>Departamento</t>
        </is>
      </c>
      <c r="F979" t="inlineStr">
        <is>
          <t>301</t>
        </is>
      </c>
      <c r="G979" s="39" t="n">
        <v>531100</v>
      </c>
      <c r="H979" s="39" t="n">
        <v>475000</v>
      </c>
      <c r="M979" s="39" t="n"/>
      <c r="N979" s="39" t="n"/>
      <c r="S979" s="39" t="n"/>
      <c r="T979" s="39" t="n"/>
      <c r="Y979" s="39" t="n"/>
      <c r="Z979" s="39" t="n"/>
      <c r="AA979" t="inlineStr">
        <is>
          <t>Victor Hugo Quispe Cupe</t>
        </is>
      </c>
      <c r="AB979" t="inlineStr">
        <is>
          <t>09848317</t>
        </is>
      </c>
      <c r="AC979" t="inlineStr">
        <is>
          <t>Jr. Jose Arnaldo Marquez 1152 urb. Fundo Oyaque</t>
        </is>
      </c>
      <c r="AD979" t="n">
        <v>0</v>
      </c>
      <c r="AE979" t="inlineStr">
        <is>
          <t>998980237</t>
        </is>
      </c>
      <c r="AF979" t="inlineStr">
        <is>
          <t>vitolosc58@gmail.com</t>
        </is>
      </c>
      <c r="AG979" t="inlineStr">
        <is>
          <t>LIMA</t>
        </is>
      </c>
      <c r="AH979" t="inlineStr">
        <is>
          <t>JESUS MARIA</t>
        </is>
      </c>
      <c r="AI979" s="116" t="n">
        <v>46418</v>
      </c>
      <c r="AJ979" s="116" t="n"/>
      <c r="AK979" t="inlineStr">
        <is>
          <t>SALDO FINANCIAR</t>
        </is>
      </c>
      <c r="AL979" t="n">
        <v>4</v>
      </c>
      <c r="AM979" t="n">
        <v>20000</v>
      </c>
      <c r="AN979" t="n">
        <v>0</v>
      </c>
      <c r="AO979" t="n">
        <v>0</v>
      </c>
      <c r="AP979" s="39" t="n">
        <v>20000</v>
      </c>
      <c r="AQ979" s="39" t="n">
        <v>0</v>
      </c>
      <c r="AR979" s="39" t="n">
        <v>20000</v>
      </c>
      <c r="AT979" t="inlineStr">
        <is>
          <t>Crédito Directo</t>
        </is>
      </c>
      <c r="AZ979" t="inlineStr">
        <is>
          <t>No</t>
        </is>
      </c>
      <c r="BC979" t="inlineStr">
        <is>
          <t>PENDIENTE</t>
        </is>
      </c>
      <c r="BN979" t="inlineStr">
        <is>
          <t>No</t>
        </is>
      </c>
      <c r="BO979" s="117" t="n">
        <v>46142.61944444444</v>
      </c>
      <c r="BP979" t="inlineStr">
        <is>
          <t>Magaly Guevara Perez</t>
        </is>
      </c>
      <c r="BR979" t="n">
        <v>50</v>
      </c>
      <c r="BT979" t="n">
        <v>0</v>
      </c>
      <c r="BX979" t="inlineStr">
        <is>
          <t>Cobranzas_2027.csv</t>
        </is>
      </c>
      <c r="BY979" t="n">
        <v>2027</v>
      </c>
      <c r="BZ979" t="inlineStr">
        <is>
          <t>01/01/2024</t>
        </is>
      </c>
      <c r="CA979" t="inlineStr">
        <is>
          <t>30/09/2031</t>
        </is>
      </c>
    </row>
    <row r="980">
      <c r="A980" t="inlineStr">
        <is>
          <t>RESIDENCIAL BEYOND</t>
        </is>
      </c>
      <c r="B980" t="inlineStr">
        <is>
          <t>Etapa 1</t>
        </is>
      </c>
      <c r="C980" t="inlineStr">
        <is>
          <t>Edificio</t>
        </is>
      </c>
      <c r="D980" t="inlineStr">
        <is>
          <t>A</t>
        </is>
      </c>
      <c r="E980" t="inlineStr">
        <is>
          <t>Departamento</t>
        </is>
      </c>
      <c r="F980" t="inlineStr">
        <is>
          <t>301</t>
        </is>
      </c>
      <c r="G980" s="39" t="n">
        <v>531100</v>
      </c>
      <c r="H980" s="39" t="n">
        <v>475000</v>
      </c>
      <c r="M980" s="39" t="n"/>
      <c r="N980" s="39" t="n"/>
      <c r="S980" s="39" t="n"/>
      <c r="T980" s="39" t="n"/>
      <c r="Y980" s="39" t="n"/>
      <c r="Z980" s="39" t="n"/>
      <c r="AA980" t="inlineStr">
        <is>
          <t>Victor Hugo Quispe Cupe</t>
        </is>
      </c>
      <c r="AB980" t="inlineStr">
        <is>
          <t>09848317</t>
        </is>
      </c>
      <c r="AC980" t="inlineStr">
        <is>
          <t>Jr. Jose Arnaldo Marquez 1152 urb. Fundo Oyaque</t>
        </is>
      </c>
      <c r="AD980" t="n">
        <v>0</v>
      </c>
      <c r="AE980" t="inlineStr">
        <is>
          <t>998980237</t>
        </is>
      </c>
      <c r="AF980" t="inlineStr">
        <is>
          <t>vitolosc58@gmail.com</t>
        </is>
      </c>
      <c r="AG980" t="inlineStr">
        <is>
          <t>LIMA</t>
        </is>
      </c>
      <c r="AH980" t="inlineStr">
        <is>
          <t>JESUS MARIA</t>
        </is>
      </c>
      <c r="AI980" s="116" t="n">
        <v>46446</v>
      </c>
      <c r="AJ980" s="116" t="n"/>
      <c r="AK980" t="inlineStr">
        <is>
          <t>SALDO FINANCIAR</t>
        </is>
      </c>
      <c r="AL980" t="n">
        <v>5</v>
      </c>
      <c r="AM980" t="n">
        <v>20000</v>
      </c>
      <c r="AN980" t="n">
        <v>0</v>
      </c>
      <c r="AO980" t="n">
        <v>0</v>
      </c>
      <c r="AP980" s="39" t="n">
        <v>20000</v>
      </c>
      <c r="AQ980" s="39" t="n">
        <v>0</v>
      </c>
      <c r="AR980" s="39" t="n">
        <v>20000</v>
      </c>
      <c r="AT980" t="inlineStr">
        <is>
          <t>Crédito Directo</t>
        </is>
      </c>
      <c r="AZ980" t="inlineStr">
        <is>
          <t>No</t>
        </is>
      </c>
      <c r="BC980" t="inlineStr">
        <is>
          <t>PENDIENTE</t>
        </is>
      </c>
      <c r="BN980" t="inlineStr">
        <is>
          <t>No</t>
        </is>
      </c>
      <c r="BO980" s="117" t="n">
        <v>46142.61944444444</v>
      </c>
      <c r="BP980" t="inlineStr">
        <is>
          <t>Magaly Guevara Perez</t>
        </is>
      </c>
      <c r="BR980" t="n">
        <v>50</v>
      </c>
      <c r="BT980" t="n">
        <v>0</v>
      </c>
      <c r="BX980" t="inlineStr">
        <is>
          <t>Cobranzas_2027.csv</t>
        </is>
      </c>
      <c r="BY980" t="n">
        <v>2027</v>
      </c>
      <c r="BZ980" t="inlineStr">
        <is>
          <t>01/01/2024</t>
        </is>
      </c>
      <c r="CA980" t="inlineStr">
        <is>
          <t>30/09/2031</t>
        </is>
      </c>
    </row>
    <row r="981">
      <c r="A981" t="inlineStr">
        <is>
          <t>RESIDENCIAL BEYOND</t>
        </is>
      </c>
      <c r="B981" t="inlineStr">
        <is>
          <t>Etapa 1</t>
        </is>
      </c>
      <c r="C981" t="inlineStr">
        <is>
          <t>Edificio</t>
        </is>
      </c>
      <c r="D981" t="inlineStr">
        <is>
          <t>A</t>
        </is>
      </c>
      <c r="E981" t="inlineStr">
        <is>
          <t>Departamento</t>
        </is>
      </c>
      <c r="F981" t="inlineStr">
        <is>
          <t>301</t>
        </is>
      </c>
      <c r="G981" s="39" t="n">
        <v>531100</v>
      </c>
      <c r="H981" s="39" t="n">
        <v>475000</v>
      </c>
      <c r="M981" s="39" t="n"/>
      <c r="N981" s="39" t="n"/>
      <c r="S981" s="39" t="n"/>
      <c r="T981" s="39" t="n"/>
      <c r="Y981" s="39" t="n"/>
      <c r="Z981" s="39" t="n"/>
      <c r="AA981" t="inlineStr">
        <is>
          <t>Victor Hugo Quispe Cupe</t>
        </is>
      </c>
      <c r="AB981" t="inlineStr">
        <is>
          <t>09848317</t>
        </is>
      </c>
      <c r="AC981" t="inlineStr">
        <is>
          <t>Jr. Jose Arnaldo Marquez 1152 urb. Fundo Oyaque</t>
        </is>
      </c>
      <c r="AD981" t="n">
        <v>0</v>
      </c>
      <c r="AE981" t="inlineStr">
        <is>
          <t>998980237</t>
        </is>
      </c>
      <c r="AF981" t="inlineStr">
        <is>
          <t>vitolosc58@gmail.com</t>
        </is>
      </c>
      <c r="AG981" t="inlineStr">
        <is>
          <t>LIMA</t>
        </is>
      </c>
      <c r="AH981" t="inlineStr">
        <is>
          <t>JESUS MARIA</t>
        </is>
      </c>
      <c r="AI981" s="116" t="n">
        <v>46477</v>
      </c>
      <c r="AJ981" s="116" t="n"/>
      <c r="AK981" t="inlineStr">
        <is>
          <t>SALDO FINANCIAR</t>
        </is>
      </c>
      <c r="AL981" t="n">
        <v>6</v>
      </c>
      <c r="AM981" t="n">
        <v>20000</v>
      </c>
      <c r="AN981" t="n">
        <v>0</v>
      </c>
      <c r="AO981" t="n">
        <v>0</v>
      </c>
      <c r="AP981" s="39" t="n">
        <v>20000</v>
      </c>
      <c r="AQ981" s="39" t="n">
        <v>0</v>
      </c>
      <c r="AR981" s="39" t="n">
        <v>20000</v>
      </c>
      <c r="AT981" t="inlineStr">
        <is>
          <t>Crédito Directo</t>
        </is>
      </c>
      <c r="AZ981" t="inlineStr">
        <is>
          <t>No</t>
        </is>
      </c>
      <c r="BC981" t="inlineStr">
        <is>
          <t>PENDIENTE</t>
        </is>
      </c>
      <c r="BN981" t="inlineStr">
        <is>
          <t>No</t>
        </is>
      </c>
      <c r="BO981" s="117" t="n">
        <v>46142.61944444444</v>
      </c>
      <c r="BP981" t="inlineStr">
        <is>
          <t>Magaly Guevara Perez</t>
        </is>
      </c>
      <c r="BR981" t="n">
        <v>50</v>
      </c>
      <c r="BT981" t="n">
        <v>0</v>
      </c>
      <c r="BX981" t="inlineStr">
        <is>
          <t>Cobranzas_2027.csv</t>
        </is>
      </c>
      <c r="BY981" t="n">
        <v>2027</v>
      </c>
      <c r="BZ981" t="inlineStr">
        <is>
          <t>01/01/2024</t>
        </is>
      </c>
      <c r="CA981" t="inlineStr">
        <is>
          <t>30/09/2031</t>
        </is>
      </c>
    </row>
    <row r="982">
      <c r="A982" t="inlineStr">
        <is>
          <t>RESIDENCIAL BEYOND</t>
        </is>
      </c>
      <c r="B982" t="inlineStr">
        <is>
          <t>Etapa 1</t>
        </is>
      </c>
      <c r="C982" t="inlineStr">
        <is>
          <t>Edificio</t>
        </is>
      </c>
      <c r="D982" t="inlineStr">
        <is>
          <t>A</t>
        </is>
      </c>
      <c r="E982" t="inlineStr">
        <is>
          <t>Departamento</t>
        </is>
      </c>
      <c r="F982" t="inlineStr">
        <is>
          <t>301</t>
        </is>
      </c>
      <c r="G982" s="39" t="n">
        <v>531100</v>
      </c>
      <c r="H982" s="39" t="n">
        <v>475000</v>
      </c>
      <c r="M982" s="39" t="n"/>
      <c r="N982" s="39" t="n"/>
      <c r="S982" s="39" t="n"/>
      <c r="T982" s="39" t="n"/>
      <c r="Y982" s="39" t="n"/>
      <c r="Z982" s="39" t="n"/>
      <c r="AA982" t="inlineStr">
        <is>
          <t>Victor Hugo Quispe Cupe</t>
        </is>
      </c>
      <c r="AB982" t="inlineStr">
        <is>
          <t>09848317</t>
        </is>
      </c>
      <c r="AC982" t="inlineStr">
        <is>
          <t>Jr. Jose Arnaldo Marquez 1152 urb. Fundo Oyaque</t>
        </is>
      </c>
      <c r="AD982" t="n">
        <v>0</v>
      </c>
      <c r="AE982" t="inlineStr">
        <is>
          <t>998980237</t>
        </is>
      </c>
      <c r="AF982" t="inlineStr">
        <is>
          <t>vitolosc58@gmail.com</t>
        </is>
      </c>
      <c r="AG982" t="inlineStr">
        <is>
          <t>LIMA</t>
        </is>
      </c>
      <c r="AH982" t="inlineStr">
        <is>
          <t>JESUS MARIA</t>
        </is>
      </c>
      <c r="AI982" s="116" t="n">
        <v>46507</v>
      </c>
      <c r="AJ982" s="116" t="n"/>
      <c r="AK982" t="inlineStr">
        <is>
          <t>SALDO FINANCIAR</t>
        </is>
      </c>
      <c r="AL982" t="n">
        <v>7</v>
      </c>
      <c r="AM982" t="n">
        <v>20000</v>
      </c>
      <c r="AN982" t="n">
        <v>0</v>
      </c>
      <c r="AO982" t="n">
        <v>0</v>
      </c>
      <c r="AP982" s="39" t="n">
        <v>20000</v>
      </c>
      <c r="AQ982" s="39" t="n">
        <v>0</v>
      </c>
      <c r="AR982" s="39" t="n">
        <v>20000</v>
      </c>
      <c r="AT982" t="inlineStr">
        <is>
          <t>Crédito Directo</t>
        </is>
      </c>
      <c r="AZ982" t="inlineStr">
        <is>
          <t>No</t>
        </is>
      </c>
      <c r="BC982" t="inlineStr">
        <is>
          <t>PENDIENTE</t>
        </is>
      </c>
      <c r="BN982" t="inlineStr">
        <is>
          <t>No</t>
        </is>
      </c>
      <c r="BO982" s="117" t="n">
        <v>46142.61944444444</v>
      </c>
      <c r="BP982" t="inlineStr">
        <is>
          <t>Magaly Guevara Perez</t>
        </is>
      </c>
      <c r="BR982" t="n">
        <v>50</v>
      </c>
      <c r="BT982" t="n">
        <v>0</v>
      </c>
      <c r="BX982" t="inlineStr">
        <is>
          <t>Cobranzas_2027.csv</t>
        </is>
      </c>
      <c r="BY982" t="n">
        <v>2027</v>
      </c>
      <c r="BZ982" t="inlineStr">
        <is>
          <t>01/01/2024</t>
        </is>
      </c>
      <c r="CA982" t="inlineStr">
        <is>
          <t>30/09/2031</t>
        </is>
      </c>
    </row>
    <row r="983">
      <c r="A983" t="inlineStr">
        <is>
          <t>RESIDENCIAL BEYOND</t>
        </is>
      </c>
      <c r="B983" t="inlineStr">
        <is>
          <t>Etapa 1</t>
        </is>
      </c>
      <c r="C983" t="inlineStr">
        <is>
          <t>Edificio</t>
        </is>
      </c>
      <c r="D983" t="inlineStr">
        <is>
          <t>A</t>
        </is>
      </c>
      <c r="E983" t="inlineStr">
        <is>
          <t>Departamento</t>
        </is>
      </c>
      <c r="F983" t="inlineStr">
        <is>
          <t>301</t>
        </is>
      </c>
      <c r="G983" s="39" t="n">
        <v>531100</v>
      </c>
      <c r="H983" s="39" t="n">
        <v>475000</v>
      </c>
      <c r="M983" s="39" t="n"/>
      <c r="N983" s="39" t="n"/>
      <c r="S983" s="39" t="n"/>
      <c r="T983" s="39" t="n"/>
      <c r="Y983" s="39" t="n"/>
      <c r="Z983" s="39" t="n"/>
      <c r="AA983" t="inlineStr">
        <is>
          <t>Victor Hugo Quispe Cupe</t>
        </is>
      </c>
      <c r="AB983" t="inlineStr">
        <is>
          <t>09848317</t>
        </is>
      </c>
      <c r="AC983" t="inlineStr">
        <is>
          <t>Jr. Jose Arnaldo Marquez 1152 urb. Fundo Oyaque</t>
        </is>
      </c>
      <c r="AD983" t="n">
        <v>0</v>
      </c>
      <c r="AE983" t="inlineStr">
        <is>
          <t>998980237</t>
        </is>
      </c>
      <c r="AF983" t="inlineStr">
        <is>
          <t>vitolosc58@gmail.com</t>
        </is>
      </c>
      <c r="AG983" t="inlineStr">
        <is>
          <t>LIMA</t>
        </is>
      </c>
      <c r="AH983" t="inlineStr">
        <is>
          <t>JESUS MARIA</t>
        </is>
      </c>
      <c r="AI983" s="116" t="n">
        <v>46538</v>
      </c>
      <c r="AJ983" s="116" t="n"/>
      <c r="AK983" t="inlineStr">
        <is>
          <t>SALDO FINANCIAR</t>
        </is>
      </c>
      <c r="AL983" t="n">
        <v>8</v>
      </c>
      <c r="AM983" t="n">
        <v>20000</v>
      </c>
      <c r="AN983" t="n">
        <v>0</v>
      </c>
      <c r="AO983" t="n">
        <v>0</v>
      </c>
      <c r="AP983" s="39" t="n">
        <v>20000</v>
      </c>
      <c r="AQ983" s="39" t="n">
        <v>0</v>
      </c>
      <c r="AR983" s="39" t="n">
        <v>20000</v>
      </c>
      <c r="AT983" t="inlineStr">
        <is>
          <t>Crédito Directo</t>
        </is>
      </c>
      <c r="AZ983" t="inlineStr">
        <is>
          <t>No</t>
        </is>
      </c>
      <c r="BC983" t="inlineStr">
        <is>
          <t>PENDIENTE</t>
        </is>
      </c>
      <c r="BN983" t="inlineStr">
        <is>
          <t>No</t>
        </is>
      </c>
      <c r="BO983" s="117" t="n">
        <v>46142.61944444444</v>
      </c>
      <c r="BP983" t="inlineStr">
        <is>
          <t>Magaly Guevara Perez</t>
        </is>
      </c>
      <c r="BR983" t="n">
        <v>50</v>
      </c>
      <c r="BT983" t="n">
        <v>0</v>
      </c>
      <c r="BX983" t="inlineStr">
        <is>
          <t>Cobranzas_2027.csv</t>
        </is>
      </c>
      <c r="BY983" t="n">
        <v>2027</v>
      </c>
      <c r="BZ983" t="inlineStr">
        <is>
          <t>01/01/2024</t>
        </is>
      </c>
      <c r="CA983" t="inlineStr">
        <is>
          <t>30/09/2031</t>
        </is>
      </c>
    </row>
    <row r="984">
      <c r="A984" t="inlineStr">
        <is>
          <t>RESIDENCIAL BEYOND</t>
        </is>
      </c>
      <c r="B984" t="inlineStr">
        <is>
          <t>Etapa 1</t>
        </is>
      </c>
      <c r="C984" t="inlineStr">
        <is>
          <t>Edificio</t>
        </is>
      </c>
      <c r="D984" t="inlineStr">
        <is>
          <t>A</t>
        </is>
      </c>
      <c r="E984" t="inlineStr">
        <is>
          <t>Departamento</t>
        </is>
      </c>
      <c r="F984" t="inlineStr">
        <is>
          <t>301</t>
        </is>
      </c>
      <c r="G984" s="39" t="n">
        <v>531100</v>
      </c>
      <c r="H984" s="39" t="n">
        <v>475000</v>
      </c>
      <c r="M984" s="39" t="n"/>
      <c r="N984" s="39" t="n"/>
      <c r="S984" s="39" t="n"/>
      <c r="T984" s="39" t="n"/>
      <c r="Y984" s="39" t="n"/>
      <c r="Z984" s="39" t="n"/>
      <c r="AA984" t="inlineStr">
        <is>
          <t>Victor Hugo Quispe Cupe</t>
        </is>
      </c>
      <c r="AB984" t="inlineStr">
        <is>
          <t>09848317</t>
        </is>
      </c>
      <c r="AC984" t="inlineStr">
        <is>
          <t>Jr. Jose Arnaldo Marquez 1152 urb. Fundo Oyaque</t>
        </is>
      </c>
      <c r="AD984" t="n">
        <v>0</v>
      </c>
      <c r="AE984" t="inlineStr">
        <is>
          <t>998980237</t>
        </is>
      </c>
      <c r="AF984" t="inlineStr">
        <is>
          <t>vitolosc58@gmail.com</t>
        </is>
      </c>
      <c r="AG984" t="inlineStr">
        <is>
          <t>LIMA</t>
        </is>
      </c>
      <c r="AH984" t="inlineStr">
        <is>
          <t>JESUS MARIA</t>
        </is>
      </c>
      <c r="AI984" s="116" t="n">
        <v>46568</v>
      </c>
      <c r="AJ984" s="116" t="n"/>
      <c r="AK984" t="inlineStr">
        <is>
          <t>SALDO FINANCIAR</t>
        </is>
      </c>
      <c r="AL984" t="n">
        <v>9</v>
      </c>
      <c r="AM984" t="n">
        <v>20000</v>
      </c>
      <c r="AN984" t="n">
        <v>0</v>
      </c>
      <c r="AO984" t="n">
        <v>0</v>
      </c>
      <c r="AP984" s="39" t="n">
        <v>20000</v>
      </c>
      <c r="AQ984" s="39" t="n">
        <v>0</v>
      </c>
      <c r="AR984" s="39" t="n">
        <v>20000</v>
      </c>
      <c r="AT984" t="inlineStr">
        <is>
          <t>Crédito Directo</t>
        </is>
      </c>
      <c r="AZ984" t="inlineStr">
        <is>
          <t>No</t>
        </is>
      </c>
      <c r="BC984" t="inlineStr">
        <is>
          <t>PENDIENTE</t>
        </is>
      </c>
      <c r="BN984" t="inlineStr">
        <is>
          <t>No</t>
        </is>
      </c>
      <c r="BO984" s="117" t="n">
        <v>46142.61944444444</v>
      </c>
      <c r="BP984" t="inlineStr">
        <is>
          <t>Magaly Guevara Perez</t>
        </is>
      </c>
      <c r="BR984" t="n">
        <v>50</v>
      </c>
      <c r="BT984" t="n">
        <v>0</v>
      </c>
      <c r="BX984" t="inlineStr">
        <is>
          <t>Cobranzas_2027.csv</t>
        </is>
      </c>
      <c r="BY984" t="n">
        <v>2027</v>
      </c>
      <c r="BZ984" t="inlineStr">
        <is>
          <t>01/01/2024</t>
        </is>
      </c>
      <c r="CA984" t="inlineStr">
        <is>
          <t>30/09/2031</t>
        </is>
      </c>
    </row>
    <row r="985">
      <c r="A985" t="inlineStr">
        <is>
          <t>RESIDENCIAL BEYOND</t>
        </is>
      </c>
      <c r="B985" t="inlineStr">
        <is>
          <t>Etapa 1</t>
        </is>
      </c>
      <c r="C985" t="inlineStr">
        <is>
          <t>Edificio</t>
        </is>
      </c>
      <c r="D985" t="inlineStr">
        <is>
          <t>A</t>
        </is>
      </c>
      <c r="E985" t="inlineStr">
        <is>
          <t>Departamento</t>
        </is>
      </c>
      <c r="F985" t="inlineStr">
        <is>
          <t>301</t>
        </is>
      </c>
      <c r="G985" s="39" t="n">
        <v>531100</v>
      </c>
      <c r="H985" s="39" t="n">
        <v>475000</v>
      </c>
      <c r="M985" s="39" t="n"/>
      <c r="N985" s="39" t="n"/>
      <c r="S985" s="39" t="n"/>
      <c r="T985" s="39" t="n"/>
      <c r="Y985" s="39" t="n"/>
      <c r="Z985" s="39" t="n"/>
      <c r="AA985" t="inlineStr">
        <is>
          <t>Victor Hugo Quispe Cupe</t>
        </is>
      </c>
      <c r="AB985" t="inlineStr">
        <is>
          <t>09848317</t>
        </is>
      </c>
      <c r="AC985" t="inlineStr">
        <is>
          <t>Jr. Jose Arnaldo Marquez 1152 urb. Fundo Oyaque</t>
        </is>
      </c>
      <c r="AD985" t="n">
        <v>0</v>
      </c>
      <c r="AE985" t="inlineStr">
        <is>
          <t>998980237</t>
        </is>
      </c>
      <c r="AF985" t="inlineStr">
        <is>
          <t>vitolosc58@gmail.com</t>
        </is>
      </c>
      <c r="AG985" t="inlineStr">
        <is>
          <t>LIMA</t>
        </is>
      </c>
      <c r="AH985" t="inlineStr">
        <is>
          <t>JESUS MARIA</t>
        </is>
      </c>
      <c r="AI985" s="116" t="n">
        <v>46599</v>
      </c>
      <c r="AJ985" s="116" t="n"/>
      <c r="AK985" t="inlineStr">
        <is>
          <t>SALDO FINANCIAR</t>
        </is>
      </c>
      <c r="AL985" t="n">
        <v>10</v>
      </c>
      <c r="AM985" t="n">
        <v>20000</v>
      </c>
      <c r="AN985" t="n">
        <v>0</v>
      </c>
      <c r="AO985" t="n">
        <v>0</v>
      </c>
      <c r="AP985" s="39" t="n">
        <v>20000</v>
      </c>
      <c r="AQ985" s="39" t="n">
        <v>0</v>
      </c>
      <c r="AR985" s="39" t="n">
        <v>20000</v>
      </c>
      <c r="AT985" t="inlineStr">
        <is>
          <t>Crédito Directo</t>
        </is>
      </c>
      <c r="AZ985" t="inlineStr">
        <is>
          <t>No</t>
        </is>
      </c>
      <c r="BC985" t="inlineStr">
        <is>
          <t>PENDIENTE</t>
        </is>
      </c>
      <c r="BN985" t="inlineStr">
        <is>
          <t>No</t>
        </is>
      </c>
      <c r="BO985" s="117" t="n">
        <v>46142.61944444444</v>
      </c>
      <c r="BP985" t="inlineStr">
        <is>
          <t>Magaly Guevara Perez</t>
        </is>
      </c>
      <c r="BR985" t="n">
        <v>50</v>
      </c>
      <c r="BT985" t="n">
        <v>0</v>
      </c>
      <c r="BX985" t="inlineStr">
        <is>
          <t>Cobranzas_2027.csv</t>
        </is>
      </c>
      <c r="BY985" t="n">
        <v>2027</v>
      </c>
      <c r="BZ985" t="inlineStr">
        <is>
          <t>01/01/2024</t>
        </is>
      </c>
      <c r="CA985" t="inlineStr">
        <is>
          <t>30/09/2031</t>
        </is>
      </c>
    </row>
    <row r="986">
      <c r="A986" t="inlineStr">
        <is>
          <t>RESIDENCIAL BEYOND</t>
        </is>
      </c>
      <c r="B986" t="inlineStr">
        <is>
          <t>Etapa 1</t>
        </is>
      </c>
      <c r="C986" t="inlineStr">
        <is>
          <t>Edificio</t>
        </is>
      </c>
      <c r="D986" t="inlineStr">
        <is>
          <t>A</t>
        </is>
      </c>
      <c r="E986" t="inlineStr">
        <is>
          <t>Departamento</t>
        </is>
      </c>
      <c r="F986" t="inlineStr">
        <is>
          <t>301</t>
        </is>
      </c>
      <c r="G986" s="39" t="n">
        <v>531100</v>
      </c>
      <c r="H986" s="39" t="n">
        <v>475000</v>
      </c>
      <c r="M986" s="39" t="n"/>
      <c r="N986" s="39" t="n"/>
      <c r="S986" s="39" t="n"/>
      <c r="T986" s="39" t="n"/>
      <c r="Y986" s="39" t="n"/>
      <c r="Z986" s="39" t="n"/>
      <c r="AA986" t="inlineStr">
        <is>
          <t>Victor Hugo Quispe Cupe</t>
        </is>
      </c>
      <c r="AB986" t="inlineStr">
        <is>
          <t>09848317</t>
        </is>
      </c>
      <c r="AC986" t="inlineStr">
        <is>
          <t>Jr. Jose Arnaldo Marquez 1152 urb. Fundo Oyaque</t>
        </is>
      </c>
      <c r="AD986" t="n">
        <v>0</v>
      </c>
      <c r="AE986" t="inlineStr">
        <is>
          <t>998980237</t>
        </is>
      </c>
      <c r="AF986" t="inlineStr">
        <is>
          <t>vitolosc58@gmail.com</t>
        </is>
      </c>
      <c r="AG986" t="inlineStr">
        <is>
          <t>LIMA</t>
        </is>
      </c>
      <c r="AH986" t="inlineStr">
        <is>
          <t>JESUS MARIA</t>
        </is>
      </c>
      <c r="AI986" s="116" t="n">
        <v>46630</v>
      </c>
      <c r="AJ986" s="116" t="n"/>
      <c r="AK986" t="inlineStr">
        <is>
          <t>SALDO FINANCIAR</t>
        </is>
      </c>
      <c r="AL986" t="n">
        <v>11</v>
      </c>
      <c r="AM986" t="n">
        <v>20000</v>
      </c>
      <c r="AN986" t="n">
        <v>0</v>
      </c>
      <c r="AO986" t="n">
        <v>0</v>
      </c>
      <c r="AP986" s="39" t="n">
        <v>20000</v>
      </c>
      <c r="AQ986" s="39" t="n">
        <v>0</v>
      </c>
      <c r="AR986" s="39" t="n">
        <v>20000</v>
      </c>
      <c r="AT986" t="inlineStr">
        <is>
          <t>Crédito Directo</t>
        </is>
      </c>
      <c r="AZ986" t="inlineStr">
        <is>
          <t>No</t>
        </is>
      </c>
      <c r="BC986" t="inlineStr">
        <is>
          <t>PENDIENTE</t>
        </is>
      </c>
      <c r="BN986" t="inlineStr">
        <is>
          <t>No</t>
        </is>
      </c>
      <c r="BO986" s="117" t="n">
        <v>46142.61944444444</v>
      </c>
      <c r="BP986" t="inlineStr">
        <is>
          <t>Magaly Guevara Perez</t>
        </is>
      </c>
      <c r="BR986" t="n">
        <v>50</v>
      </c>
      <c r="BT986" t="n">
        <v>0</v>
      </c>
      <c r="BX986" t="inlineStr">
        <is>
          <t>Cobranzas_2027.csv</t>
        </is>
      </c>
      <c r="BY986" t="n">
        <v>2027</v>
      </c>
      <c r="BZ986" t="inlineStr">
        <is>
          <t>01/01/2024</t>
        </is>
      </c>
      <c r="CA986" t="inlineStr">
        <is>
          <t>30/09/2031</t>
        </is>
      </c>
    </row>
    <row r="987">
      <c r="A987" t="inlineStr">
        <is>
          <t>RESIDENCIAL BEYOND</t>
        </is>
      </c>
      <c r="B987" t="inlineStr">
        <is>
          <t>Etapa 1</t>
        </is>
      </c>
      <c r="C987" t="inlineStr">
        <is>
          <t>Edificio</t>
        </is>
      </c>
      <c r="D987" t="inlineStr">
        <is>
          <t>A</t>
        </is>
      </c>
      <c r="E987" t="inlineStr">
        <is>
          <t>Departamento</t>
        </is>
      </c>
      <c r="F987" t="inlineStr">
        <is>
          <t>301</t>
        </is>
      </c>
      <c r="G987" s="39" t="n">
        <v>531100</v>
      </c>
      <c r="H987" s="39" t="n">
        <v>475000</v>
      </c>
      <c r="M987" s="39" t="n"/>
      <c r="N987" s="39" t="n"/>
      <c r="S987" s="39" t="n"/>
      <c r="T987" s="39" t="n"/>
      <c r="Y987" s="39" t="n"/>
      <c r="Z987" s="39" t="n"/>
      <c r="AA987" t="inlineStr">
        <is>
          <t>Victor Hugo Quispe Cupe</t>
        </is>
      </c>
      <c r="AB987" t="inlineStr">
        <is>
          <t>09848317</t>
        </is>
      </c>
      <c r="AC987" t="inlineStr">
        <is>
          <t>Jr. Jose Arnaldo Marquez 1152 urb. Fundo Oyaque</t>
        </is>
      </c>
      <c r="AD987" t="n">
        <v>0</v>
      </c>
      <c r="AE987" t="inlineStr">
        <is>
          <t>998980237</t>
        </is>
      </c>
      <c r="AF987" t="inlineStr">
        <is>
          <t>vitolosc58@gmail.com</t>
        </is>
      </c>
      <c r="AG987" t="inlineStr">
        <is>
          <t>LIMA</t>
        </is>
      </c>
      <c r="AH987" t="inlineStr">
        <is>
          <t>JESUS MARIA</t>
        </is>
      </c>
      <c r="AI987" s="116" t="n">
        <v>46660</v>
      </c>
      <c r="AJ987" s="116" t="n"/>
      <c r="AK987" t="inlineStr">
        <is>
          <t>SALDO FINANCIAR</t>
        </is>
      </c>
      <c r="AL987" t="n">
        <v>12</v>
      </c>
      <c r="AM987" t="n">
        <v>20000</v>
      </c>
      <c r="AN987" t="n">
        <v>0</v>
      </c>
      <c r="AO987" t="n">
        <v>0</v>
      </c>
      <c r="AP987" s="39" t="n">
        <v>20000</v>
      </c>
      <c r="AQ987" s="39" t="n">
        <v>0</v>
      </c>
      <c r="AR987" s="39" t="n">
        <v>20000</v>
      </c>
      <c r="AT987" t="inlineStr">
        <is>
          <t>Crédito Directo</t>
        </is>
      </c>
      <c r="AZ987" t="inlineStr">
        <is>
          <t>No</t>
        </is>
      </c>
      <c r="BC987" t="inlineStr">
        <is>
          <t>PENDIENTE</t>
        </is>
      </c>
      <c r="BN987" t="inlineStr">
        <is>
          <t>No</t>
        </is>
      </c>
      <c r="BO987" s="117" t="n">
        <v>46142.61944444444</v>
      </c>
      <c r="BP987" t="inlineStr">
        <is>
          <t>Magaly Guevara Perez</t>
        </is>
      </c>
      <c r="BR987" t="n">
        <v>50</v>
      </c>
      <c r="BT987" t="n">
        <v>0</v>
      </c>
      <c r="BX987" t="inlineStr">
        <is>
          <t>Cobranzas_2027.csv</t>
        </is>
      </c>
      <c r="BY987" t="n">
        <v>2027</v>
      </c>
      <c r="BZ987" t="inlineStr">
        <is>
          <t>01/01/2024</t>
        </is>
      </c>
      <c r="CA987" t="inlineStr">
        <is>
          <t>30/09/2031</t>
        </is>
      </c>
    </row>
    <row r="988">
      <c r="A988" t="inlineStr">
        <is>
          <t>RESIDENCIAL BEYOND</t>
        </is>
      </c>
      <c r="B988" t="inlineStr">
        <is>
          <t>Etapa 1</t>
        </is>
      </c>
      <c r="C988" t="inlineStr">
        <is>
          <t>Edificio</t>
        </is>
      </c>
      <c r="D988" t="inlineStr">
        <is>
          <t>A</t>
        </is>
      </c>
      <c r="E988" t="inlineStr">
        <is>
          <t>Departamento</t>
        </is>
      </c>
      <c r="F988" t="inlineStr">
        <is>
          <t>301</t>
        </is>
      </c>
      <c r="G988" s="39" t="n">
        <v>531100</v>
      </c>
      <c r="H988" s="39" t="n">
        <v>475000</v>
      </c>
      <c r="M988" s="39" t="n"/>
      <c r="N988" s="39" t="n"/>
      <c r="S988" s="39" t="n"/>
      <c r="T988" s="39" t="n"/>
      <c r="Y988" s="39" t="n"/>
      <c r="Z988" s="39" t="n"/>
      <c r="AA988" t="inlineStr">
        <is>
          <t>Victor Hugo Quispe Cupe</t>
        </is>
      </c>
      <c r="AB988" t="inlineStr">
        <is>
          <t>09848317</t>
        </is>
      </c>
      <c r="AC988" t="inlineStr">
        <is>
          <t>Jr. Jose Arnaldo Marquez 1152 urb. Fundo Oyaque</t>
        </is>
      </c>
      <c r="AD988" t="n">
        <v>0</v>
      </c>
      <c r="AE988" t="inlineStr">
        <is>
          <t>998980237</t>
        </is>
      </c>
      <c r="AF988" t="inlineStr">
        <is>
          <t>vitolosc58@gmail.com</t>
        </is>
      </c>
      <c r="AG988" t="inlineStr">
        <is>
          <t>LIMA</t>
        </is>
      </c>
      <c r="AH988" t="inlineStr">
        <is>
          <t>JESUS MARIA</t>
        </is>
      </c>
      <c r="AI988" s="116" t="n">
        <v>46691</v>
      </c>
      <c r="AJ988" s="116" t="n"/>
      <c r="AK988" t="inlineStr">
        <is>
          <t>SALDO FINANCIAR</t>
        </is>
      </c>
      <c r="AL988" t="n">
        <v>13</v>
      </c>
      <c r="AM988" t="n">
        <v>20000</v>
      </c>
      <c r="AN988" t="n">
        <v>0</v>
      </c>
      <c r="AO988" t="n">
        <v>0</v>
      </c>
      <c r="AP988" s="39" t="n">
        <v>20000</v>
      </c>
      <c r="AQ988" s="39" t="n">
        <v>0</v>
      </c>
      <c r="AR988" s="39" t="n">
        <v>20000</v>
      </c>
      <c r="AT988" t="inlineStr">
        <is>
          <t>Crédito Directo</t>
        </is>
      </c>
      <c r="AZ988" t="inlineStr">
        <is>
          <t>No</t>
        </is>
      </c>
      <c r="BC988" t="inlineStr">
        <is>
          <t>PENDIENTE</t>
        </is>
      </c>
      <c r="BN988" t="inlineStr">
        <is>
          <t>No</t>
        </is>
      </c>
      <c r="BO988" s="117" t="n">
        <v>46142.61944444444</v>
      </c>
      <c r="BP988" t="inlineStr">
        <is>
          <t>Magaly Guevara Perez</t>
        </is>
      </c>
      <c r="BR988" t="n">
        <v>50</v>
      </c>
      <c r="BT988" t="n">
        <v>0</v>
      </c>
      <c r="BX988" t="inlineStr">
        <is>
          <t>Cobranzas_2027.csv</t>
        </is>
      </c>
      <c r="BY988" t="n">
        <v>2027</v>
      </c>
      <c r="BZ988" t="inlineStr">
        <is>
          <t>01/01/2024</t>
        </is>
      </c>
      <c r="CA988" t="inlineStr">
        <is>
          <t>30/09/2031</t>
        </is>
      </c>
    </row>
    <row r="989">
      <c r="A989" t="inlineStr">
        <is>
          <t>RESIDENCIAL BEYOND</t>
        </is>
      </c>
      <c r="B989" t="inlineStr">
        <is>
          <t>Etapa 1</t>
        </is>
      </c>
      <c r="C989" t="inlineStr">
        <is>
          <t>Edificio</t>
        </is>
      </c>
      <c r="D989" t="inlineStr">
        <is>
          <t>A</t>
        </is>
      </c>
      <c r="E989" t="inlineStr">
        <is>
          <t>Departamento</t>
        </is>
      </c>
      <c r="F989" t="inlineStr">
        <is>
          <t>301</t>
        </is>
      </c>
      <c r="G989" s="39" t="n">
        <v>531100</v>
      </c>
      <c r="H989" s="39" t="n">
        <v>475000</v>
      </c>
      <c r="M989" s="39" t="n"/>
      <c r="N989" s="39" t="n"/>
      <c r="S989" s="39" t="n"/>
      <c r="T989" s="39" t="n"/>
      <c r="Y989" s="39" t="n"/>
      <c r="Z989" s="39" t="n"/>
      <c r="AA989" t="inlineStr">
        <is>
          <t>Victor Hugo Quispe Cupe</t>
        </is>
      </c>
      <c r="AB989" t="inlineStr">
        <is>
          <t>09848317</t>
        </is>
      </c>
      <c r="AC989" t="inlineStr">
        <is>
          <t>Jr. Jose Arnaldo Marquez 1152 urb. Fundo Oyaque</t>
        </is>
      </c>
      <c r="AD989" t="n">
        <v>0</v>
      </c>
      <c r="AE989" t="inlineStr">
        <is>
          <t>998980237</t>
        </is>
      </c>
      <c r="AF989" t="inlineStr">
        <is>
          <t>vitolosc58@gmail.com</t>
        </is>
      </c>
      <c r="AG989" t="inlineStr">
        <is>
          <t>LIMA</t>
        </is>
      </c>
      <c r="AH989" t="inlineStr">
        <is>
          <t>JESUS MARIA</t>
        </is>
      </c>
      <c r="AI989" s="116" t="n">
        <v>46721</v>
      </c>
      <c r="AJ989" s="116" t="n"/>
      <c r="AK989" t="inlineStr">
        <is>
          <t>SALDO FINANCIAR</t>
        </is>
      </c>
      <c r="AL989" t="n">
        <v>14</v>
      </c>
      <c r="AM989" t="n">
        <v>20000</v>
      </c>
      <c r="AN989" t="n">
        <v>0</v>
      </c>
      <c r="AO989" t="n">
        <v>0</v>
      </c>
      <c r="AP989" s="39" t="n">
        <v>20000</v>
      </c>
      <c r="AQ989" s="39" t="n">
        <v>0</v>
      </c>
      <c r="AR989" s="39" t="n">
        <v>20000</v>
      </c>
      <c r="AT989" t="inlineStr">
        <is>
          <t>Crédito Directo</t>
        </is>
      </c>
      <c r="AZ989" t="inlineStr">
        <is>
          <t>No</t>
        </is>
      </c>
      <c r="BC989" t="inlineStr">
        <is>
          <t>PENDIENTE</t>
        </is>
      </c>
      <c r="BN989" t="inlineStr">
        <is>
          <t>No</t>
        </is>
      </c>
      <c r="BO989" s="117" t="n">
        <v>46142.61944444444</v>
      </c>
      <c r="BP989" t="inlineStr">
        <is>
          <t>Magaly Guevara Perez</t>
        </is>
      </c>
      <c r="BR989" t="n">
        <v>50</v>
      </c>
      <c r="BT989" t="n">
        <v>0</v>
      </c>
      <c r="BX989" t="inlineStr">
        <is>
          <t>Cobranzas_2027.csv</t>
        </is>
      </c>
      <c r="BY989" t="n">
        <v>2027</v>
      </c>
      <c r="BZ989" t="inlineStr">
        <is>
          <t>01/01/2024</t>
        </is>
      </c>
      <c r="CA989" t="inlineStr">
        <is>
          <t>30/09/2031</t>
        </is>
      </c>
    </row>
    <row r="990">
      <c r="A990" t="inlineStr">
        <is>
          <t>RESIDENCIAL BEYOND</t>
        </is>
      </c>
      <c r="B990" t="inlineStr">
        <is>
          <t>Etapa 1</t>
        </is>
      </c>
      <c r="C990" t="inlineStr">
        <is>
          <t>Edificio</t>
        </is>
      </c>
      <c r="D990" t="inlineStr">
        <is>
          <t>A</t>
        </is>
      </c>
      <c r="E990" t="inlineStr">
        <is>
          <t>Departamento</t>
        </is>
      </c>
      <c r="F990" t="inlineStr">
        <is>
          <t>301</t>
        </is>
      </c>
      <c r="G990" s="39" t="n">
        <v>531100</v>
      </c>
      <c r="H990" s="39" t="n">
        <v>475000</v>
      </c>
      <c r="M990" s="39" t="n"/>
      <c r="N990" s="39" t="n"/>
      <c r="S990" s="39" t="n"/>
      <c r="T990" s="39" t="n"/>
      <c r="Y990" s="39" t="n"/>
      <c r="Z990" s="39" t="n"/>
      <c r="AA990" t="inlineStr">
        <is>
          <t>Victor Hugo Quispe Cupe</t>
        </is>
      </c>
      <c r="AB990" t="inlineStr">
        <is>
          <t>09848317</t>
        </is>
      </c>
      <c r="AC990" t="inlineStr">
        <is>
          <t>Jr. Jose Arnaldo Marquez 1152 urb. Fundo Oyaque</t>
        </is>
      </c>
      <c r="AD990" t="n">
        <v>0</v>
      </c>
      <c r="AE990" t="inlineStr">
        <is>
          <t>998980237</t>
        </is>
      </c>
      <c r="AF990" t="inlineStr">
        <is>
          <t>vitolosc58@gmail.com</t>
        </is>
      </c>
      <c r="AG990" t="inlineStr">
        <is>
          <t>LIMA</t>
        </is>
      </c>
      <c r="AH990" t="inlineStr">
        <is>
          <t>JESUS MARIA</t>
        </is>
      </c>
      <c r="AI990" s="116" t="n">
        <v>46752</v>
      </c>
      <c r="AJ990" s="116" t="n"/>
      <c r="AK990" t="inlineStr">
        <is>
          <t>SALDO FINANCIAR</t>
        </is>
      </c>
      <c r="AL990" t="n">
        <v>15</v>
      </c>
      <c r="AM990" t="n">
        <v>20000</v>
      </c>
      <c r="AN990" t="n">
        <v>0</v>
      </c>
      <c r="AO990" t="n">
        <v>0</v>
      </c>
      <c r="AP990" s="39" t="n">
        <v>20000</v>
      </c>
      <c r="AQ990" s="39" t="n">
        <v>0</v>
      </c>
      <c r="AR990" s="39" t="n">
        <v>20000</v>
      </c>
      <c r="AT990" t="inlineStr">
        <is>
          <t>Crédito Directo</t>
        </is>
      </c>
      <c r="AZ990" t="inlineStr">
        <is>
          <t>No</t>
        </is>
      </c>
      <c r="BC990" t="inlineStr">
        <is>
          <t>PENDIENTE</t>
        </is>
      </c>
      <c r="BN990" t="inlineStr">
        <is>
          <t>No</t>
        </is>
      </c>
      <c r="BO990" s="117" t="n">
        <v>46142.61944444444</v>
      </c>
      <c r="BP990" t="inlineStr">
        <is>
          <t>Magaly Guevara Perez</t>
        </is>
      </c>
      <c r="BR990" t="n">
        <v>50</v>
      </c>
      <c r="BT990" t="n">
        <v>0</v>
      </c>
      <c r="BX990" t="inlineStr">
        <is>
          <t>Cobranzas_2027.csv</t>
        </is>
      </c>
      <c r="BY990" t="n">
        <v>2027</v>
      </c>
      <c r="BZ990" t="inlineStr">
        <is>
          <t>01/01/2024</t>
        </is>
      </c>
      <c r="CA990" t="inlineStr">
        <is>
          <t>30/09/2031</t>
        </is>
      </c>
    </row>
    <row r="991">
      <c r="A991" t="inlineStr">
        <is>
          <t>RESIDENCIAL BEYOND</t>
        </is>
      </c>
      <c r="B991" t="inlineStr">
        <is>
          <t>Etapa 1</t>
        </is>
      </c>
      <c r="C991" t="inlineStr">
        <is>
          <t>Edificio</t>
        </is>
      </c>
      <c r="D991" t="inlineStr">
        <is>
          <t>A</t>
        </is>
      </c>
      <c r="E991" t="inlineStr">
        <is>
          <t>Estacionamiento</t>
        </is>
      </c>
      <c r="F991" t="inlineStr">
        <is>
          <t>E 04 - D 02</t>
        </is>
      </c>
      <c r="G991" s="39" t="n">
        <v>52500</v>
      </c>
      <c r="H991" s="39" t="n">
        <v>52500</v>
      </c>
      <c r="M991" s="39" t="n"/>
      <c r="N991" s="39" t="n"/>
      <c r="S991" s="39" t="n"/>
      <c r="T991" s="39" t="n"/>
      <c r="Y991" s="39" t="n"/>
      <c r="Z991" s="39" t="n"/>
      <c r="AA991" t="inlineStr">
        <is>
          <t>Victor Hugo Quispe Cupe</t>
        </is>
      </c>
      <c r="AB991" t="inlineStr">
        <is>
          <t>09848317</t>
        </is>
      </c>
      <c r="AC991" t="inlineStr">
        <is>
          <t>Jr. Jose Arnaldo Marquez 1152 urb. Fundo Oyaque</t>
        </is>
      </c>
      <c r="AD991" t="n">
        <v>0</v>
      </c>
      <c r="AE991" t="inlineStr">
        <is>
          <t>998980237</t>
        </is>
      </c>
      <c r="AF991" t="inlineStr">
        <is>
          <t>vitolosc58@gmail.com</t>
        </is>
      </c>
      <c r="AG991" t="inlineStr">
        <is>
          <t>LIMA</t>
        </is>
      </c>
      <c r="AH991" t="inlineStr">
        <is>
          <t>JESUS MARIA</t>
        </is>
      </c>
      <c r="AI991" s="116" t="n">
        <v>46418</v>
      </c>
      <c r="AJ991" s="116" t="n"/>
      <c r="AK991" t="inlineStr">
        <is>
          <t>SALDO FINANCIAR</t>
        </is>
      </c>
      <c r="AL991" t="n">
        <v>1</v>
      </c>
      <c r="AM991" t="n">
        <v>3000</v>
      </c>
      <c r="AN991" t="n">
        <v>0</v>
      </c>
      <c r="AO991" t="n">
        <v>0</v>
      </c>
      <c r="AP991" s="39" t="n">
        <v>3000</v>
      </c>
      <c r="AQ991" s="39" t="n">
        <v>0</v>
      </c>
      <c r="AR991" s="39" t="n">
        <v>3000</v>
      </c>
      <c r="AT991" t="inlineStr">
        <is>
          <t>Crédito Directo</t>
        </is>
      </c>
      <c r="AZ991" t="inlineStr">
        <is>
          <t>No</t>
        </is>
      </c>
      <c r="BC991" t="inlineStr">
        <is>
          <t>PENDIENTE</t>
        </is>
      </c>
      <c r="BN991" t="inlineStr">
        <is>
          <t>No</t>
        </is>
      </c>
      <c r="BO991" s="117" t="n">
        <v>45906.88125</v>
      </c>
      <c r="BP991" t="inlineStr">
        <is>
          <t>Magaly Guevara Perez</t>
        </is>
      </c>
      <c r="BR991" t="n">
        <v>56</v>
      </c>
      <c r="BT991" t="n">
        <v>0</v>
      </c>
      <c r="BX991" t="inlineStr">
        <is>
          <t>Cobranzas_2027.csv</t>
        </is>
      </c>
      <c r="BY991" t="n">
        <v>2027</v>
      </c>
      <c r="BZ991" t="inlineStr">
        <is>
          <t>01/01/2024</t>
        </is>
      </c>
      <c r="CA991" t="inlineStr">
        <is>
          <t>30/09/2031</t>
        </is>
      </c>
    </row>
    <row r="992">
      <c r="A992" t="inlineStr">
        <is>
          <t>RESIDENCIAL BEYOND</t>
        </is>
      </c>
      <c r="B992" t="inlineStr">
        <is>
          <t>Etapa 1</t>
        </is>
      </c>
      <c r="C992" t="inlineStr">
        <is>
          <t>Edificio</t>
        </is>
      </c>
      <c r="D992" t="inlineStr">
        <is>
          <t>A</t>
        </is>
      </c>
      <c r="E992" t="inlineStr">
        <is>
          <t>Estacionamiento</t>
        </is>
      </c>
      <c r="F992" t="inlineStr">
        <is>
          <t>E 04 - D 02</t>
        </is>
      </c>
      <c r="G992" s="39" t="n">
        <v>52500</v>
      </c>
      <c r="H992" s="39" t="n">
        <v>52500</v>
      </c>
      <c r="M992" s="39" t="n"/>
      <c r="N992" s="39" t="n"/>
      <c r="S992" s="39" t="n"/>
      <c r="T992" s="39" t="n"/>
      <c r="Y992" s="39" t="n"/>
      <c r="Z992" s="39" t="n"/>
      <c r="AA992" t="inlineStr">
        <is>
          <t>Victor Hugo Quispe Cupe</t>
        </is>
      </c>
      <c r="AB992" t="inlineStr">
        <is>
          <t>09848317</t>
        </is>
      </c>
      <c r="AC992" t="inlineStr">
        <is>
          <t>Jr. Jose Arnaldo Marquez 1152 urb. Fundo Oyaque</t>
        </is>
      </c>
      <c r="AD992" t="n">
        <v>0</v>
      </c>
      <c r="AE992" t="inlineStr">
        <is>
          <t>998980237</t>
        </is>
      </c>
      <c r="AF992" t="inlineStr">
        <is>
          <t>vitolosc58@gmail.com</t>
        </is>
      </c>
      <c r="AG992" t="inlineStr">
        <is>
          <t>LIMA</t>
        </is>
      </c>
      <c r="AH992" t="inlineStr">
        <is>
          <t>JESUS MARIA</t>
        </is>
      </c>
      <c r="AI992" s="116" t="n">
        <v>46446</v>
      </c>
      <c r="AJ992" s="116" t="n"/>
      <c r="AK992" t="inlineStr">
        <is>
          <t>SALDO FINANCIAR</t>
        </is>
      </c>
      <c r="AL992" t="n">
        <v>2</v>
      </c>
      <c r="AM992" t="n">
        <v>3000</v>
      </c>
      <c r="AN992" t="n">
        <v>0</v>
      </c>
      <c r="AO992" t="n">
        <v>0</v>
      </c>
      <c r="AP992" s="39" t="n">
        <v>3000</v>
      </c>
      <c r="AQ992" s="39" t="n">
        <v>0</v>
      </c>
      <c r="AR992" s="39" t="n">
        <v>3000</v>
      </c>
      <c r="AT992" t="inlineStr">
        <is>
          <t>Crédito Directo</t>
        </is>
      </c>
      <c r="AZ992" t="inlineStr">
        <is>
          <t>No</t>
        </is>
      </c>
      <c r="BC992" t="inlineStr">
        <is>
          <t>PENDIENTE</t>
        </is>
      </c>
      <c r="BN992" t="inlineStr">
        <is>
          <t>No</t>
        </is>
      </c>
      <c r="BO992" s="117" t="n">
        <v>45906.88125</v>
      </c>
      <c r="BP992" t="inlineStr">
        <is>
          <t>Magaly Guevara Perez</t>
        </is>
      </c>
      <c r="BR992" t="n">
        <v>56</v>
      </c>
      <c r="BT992" t="n">
        <v>0</v>
      </c>
      <c r="BX992" t="inlineStr">
        <is>
          <t>Cobranzas_2027.csv</t>
        </is>
      </c>
      <c r="BY992" t="n">
        <v>2027</v>
      </c>
      <c r="BZ992" t="inlineStr">
        <is>
          <t>01/01/2024</t>
        </is>
      </c>
      <c r="CA992" t="inlineStr">
        <is>
          <t>30/09/2031</t>
        </is>
      </c>
    </row>
    <row r="993">
      <c r="A993" t="inlineStr">
        <is>
          <t>RESIDENCIAL BEYOND</t>
        </is>
      </c>
      <c r="B993" t="inlineStr">
        <is>
          <t>Etapa 1</t>
        </is>
      </c>
      <c r="C993" t="inlineStr">
        <is>
          <t>Edificio</t>
        </is>
      </c>
      <c r="D993" t="inlineStr">
        <is>
          <t>A</t>
        </is>
      </c>
      <c r="E993" t="inlineStr">
        <is>
          <t>Estacionamiento</t>
        </is>
      </c>
      <c r="F993" t="inlineStr">
        <is>
          <t>E 04 - D 02</t>
        </is>
      </c>
      <c r="G993" s="39" t="n">
        <v>52500</v>
      </c>
      <c r="H993" s="39" t="n">
        <v>52500</v>
      </c>
      <c r="M993" s="39" t="n"/>
      <c r="N993" s="39" t="n"/>
      <c r="S993" s="39" t="n"/>
      <c r="T993" s="39" t="n"/>
      <c r="Y993" s="39" t="n"/>
      <c r="Z993" s="39" t="n"/>
      <c r="AA993" t="inlineStr">
        <is>
          <t>Victor Hugo Quispe Cupe</t>
        </is>
      </c>
      <c r="AB993" t="inlineStr">
        <is>
          <t>09848317</t>
        </is>
      </c>
      <c r="AC993" t="inlineStr">
        <is>
          <t>Jr. Jose Arnaldo Marquez 1152 urb. Fundo Oyaque</t>
        </is>
      </c>
      <c r="AD993" t="n">
        <v>0</v>
      </c>
      <c r="AE993" t="inlineStr">
        <is>
          <t>998980237</t>
        </is>
      </c>
      <c r="AF993" t="inlineStr">
        <is>
          <t>vitolosc58@gmail.com</t>
        </is>
      </c>
      <c r="AG993" t="inlineStr">
        <is>
          <t>LIMA</t>
        </is>
      </c>
      <c r="AH993" t="inlineStr">
        <is>
          <t>JESUS MARIA</t>
        </is>
      </c>
      <c r="AI993" s="116" t="n">
        <v>46477</v>
      </c>
      <c r="AJ993" s="116" t="n"/>
      <c r="AK993" t="inlineStr">
        <is>
          <t>SALDO FINANCIAR</t>
        </is>
      </c>
      <c r="AL993" t="n">
        <v>3</v>
      </c>
      <c r="AM993" t="n">
        <v>3000</v>
      </c>
      <c r="AN993" t="n">
        <v>0</v>
      </c>
      <c r="AO993" t="n">
        <v>0</v>
      </c>
      <c r="AP993" s="39" t="n">
        <v>3000</v>
      </c>
      <c r="AQ993" s="39" t="n">
        <v>0</v>
      </c>
      <c r="AR993" s="39" t="n">
        <v>3000</v>
      </c>
      <c r="AT993" t="inlineStr">
        <is>
          <t>Crédito Directo</t>
        </is>
      </c>
      <c r="AZ993" t="inlineStr">
        <is>
          <t>No</t>
        </is>
      </c>
      <c r="BC993" t="inlineStr">
        <is>
          <t>PENDIENTE</t>
        </is>
      </c>
      <c r="BN993" t="inlineStr">
        <is>
          <t>No</t>
        </is>
      </c>
      <c r="BO993" s="117" t="n">
        <v>45906.88125</v>
      </c>
      <c r="BP993" t="inlineStr">
        <is>
          <t>Magaly Guevara Perez</t>
        </is>
      </c>
      <c r="BR993" t="n">
        <v>56</v>
      </c>
      <c r="BT993" t="n">
        <v>0</v>
      </c>
      <c r="BX993" t="inlineStr">
        <is>
          <t>Cobranzas_2027.csv</t>
        </is>
      </c>
      <c r="BY993" t="n">
        <v>2027</v>
      </c>
      <c r="BZ993" t="inlineStr">
        <is>
          <t>01/01/2024</t>
        </is>
      </c>
      <c r="CA993" t="inlineStr">
        <is>
          <t>30/09/2031</t>
        </is>
      </c>
    </row>
    <row r="994">
      <c r="A994" t="inlineStr">
        <is>
          <t>RESIDENCIAL BEYOND</t>
        </is>
      </c>
      <c r="B994" t="inlineStr">
        <is>
          <t>Etapa 1</t>
        </is>
      </c>
      <c r="C994" t="inlineStr">
        <is>
          <t>Edificio</t>
        </is>
      </c>
      <c r="D994" t="inlineStr">
        <is>
          <t>A</t>
        </is>
      </c>
      <c r="E994" t="inlineStr">
        <is>
          <t>Estacionamiento</t>
        </is>
      </c>
      <c r="F994" t="inlineStr">
        <is>
          <t>E 04 - D 02</t>
        </is>
      </c>
      <c r="G994" s="39" t="n">
        <v>52500</v>
      </c>
      <c r="H994" s="39" t="n">
        <v>52500</v>
      </c>
      <c r="M994" s="39" t="n"/>
      <c r="N994" s="39" t="n"/>
      <c r="S994" s="39" t="n"/>
      <c r="T994" s="39" t="n"/>
      <c r="Y994" s="39" t="n"/>
      <c r="Z994" s="39" t="n"/>
      <c r="AA994" t="inlineStr">
        <is>
          <t>Victor Hugo Quispe Cupe</t>
        </is>
      </c>
      <c r="AB994" t="inlineStr">
        <is>
          <t>09848317</t>
        </is>
      </c>
      <c r="AC994" t="inlineStr">
        <is>
          <t>Jr. Jose Arnaldo Marquez 1152 urb. Fundo Oyaque</t>
        </is>
      </c>
      <c r="AD994" t="n">
        <v>0</v>
      </c>
      <c r="AE994" t="inlineStr">
        <is>
          <t>998980237</t>
        </is>
      </c>
      <c r="AF994" t="inlineStr">
        <is>
          <t>vitolosc58@gmail.com</t>
        </is>
      </c>
      <c r="AG994" t="inlineStr">
        <is>
          <t>LIMA</t>
        </is>
      </c>
      <c r="AH994" t="inlineStr">
        <is>
          <t>JESUS MARIA</t>
        </is>
      </c>
      <c r="AI994" s="116" t="n">
        <v>46507</v>
      </c>
      <c r="AJ994" s="116" t="n"/>
      <c r="AK994" t="inlineStr">
        <is>
          <t>SALDO FINANCIAR</t>
        </is>
      </c>
      <c r="AL994" t="n">
        <v>4</v>
      </c>
      <c r="AM994" t="n">
        <v>3000</v>
      </c>
      <c r="AN994" t="n">
        <v>0</v>
      </c>
      <c r="AO994" t="n">
        <v>0</v>
      </c>
      <c r="AP994" s="39" t="n">
        <v>3000</v>
      </c>
      <c r="AQ994" s="39" t="n">
        <v>0</v>
      </c>
      <c r="AR994" s="39" t="n">
        <v>3000</v>
      </c>
      <c r="AT994" t="inlineStr">
        <is>
          <t>Crédito Directo</t>
        </is>
      </c>
      <c r="AZ994" t="inlineStr">
        <is>
          <t>No</t>
        </is>
      </c>
      <c r="BC994" t="inlineStr">
        <is>
          <t>PENDIENTE</t>
        </is>
      </c>
      <c r="BN994" t="inlineStr">
        <is>
          <t>No</t>
        </is>
      </c>
      <c r="BO994" s="117" t="n">
        <v>45906.88125</v>
      </c>
      <c r="BP994" t="inlineStr">
        <is>
          <t>Magaly Guevara Perez</t>
        </is>
      </c>
      <c r="BR994" t="n">
        <v>56</v>
      </c>
      <c r="BT994" t="n">
        <v>0</v>
      </c>
      <c r="BX994" t="inlineStr">
        <is>
          <t>Cobranzas_2027.csv</t>
        </is>
      </c>
      <c r="BY994" t="n">
        <v>2027</v>
      </c>
      <c r="BZ994" t="inlineStr">
        <is>
          <t>01/01/2024</t>
        </is>
      </c>
      <c r="CA994" t="inlineStr">
        <is>
          <t>30/09/2031</t>
        </is>
      </c>
    </row>
    <row r="995">
      <c r="A995" t="inlineStr">
        <is>
          <t>RESIDENCIAL BEYOND</t>
        </is>
      </c>
      <c r="B995" t="inlineStr">
        <is>
          <t>Etapa 1</t>
        </is>
      </c>
      <c r="C995" t="inlineStr">
        <is>
          <t>Edificio</t>
        </is>
      </c>
      <c r="D995" t="inlineStr">
        <is>
          <t>A</t>
        </is>
      </c>
      <c r="E995" t="inlineStr">
        <is>
          <t>Estacionamiento</t>
        </is>
      </c>
      <c r="F995" t="inlineStr">
        <is>
          <t>E 04 - D 02</t>
        </is>
      </c>
      <c r="G995" s="39" t="n">
        <v>52500</v>
      </c>
      <c r="H995" s="39" t="n">
        <v>52500</v>
      </c>
      <c r="M995" s="39" t="n"/>
      <c r="N995" s="39" t="n"/>
      <c r="S995" s="39" t="n"/>
      <c r="T995" s="39" t="n"/>
      <c r="Y995" s="39" t="n"/>
      <c r="Z995" s="39" t="n"/>
      <c r="AA995" t="inlineStr">
        <is>
          <t>Victor Hugo Quispe Cupe</t>
        </is>
      </c>
      <c r="AB995" t="inlineStr">
        <is>
          <t>09848317</t>
        </is>
      </c>
      <c r="AC995" t="inlineStr">
        <is>
          <t>Jr. Jose Arnaldo Marquez 1152 urb. Fundo Oyaque</t>
        </is>
      </c>
      <c r="AD995" t="n">
        <v>0</v>
      </c>
      <c r="AE995" t="inlineStr">
        <is>
          <t>998980237</t>
        </is>
      </c>
      <c r="AF995" t="inlineStr">
        <is>
          <t>vitolosc58@gmail.com</t>
        </is>
      </c>
      <c r="AG995" t="inlineStr">
        <is>
          <t>LIMA</t>
        </is>
      </c>
      <c r="AH995" t="inlineStr">
        <is>
          <t>JESUS MARIA</t>
        </is>
      </c>
      <c r="AI995" s="116" t="n">
        <v>46538</v>
      </c>
      <c r="AJ995" s="116" t="n"/>
      <c r="AK995" t="inlineStr">
        <is>
          <t>SALDO FINANCIAR</t>
        </is>
      </c>
      <c r="AL995" t="n">
        <v>5</v>
      </c>
      <c r="AM995" t="n">
        <v>3000</v>
      </c>
      <c r="AN995" t="n">
        <v>0</v>
      </c>
      <c r="AO995" t="n">
        <v>0</v>
      </c>
      <c r="AP995" s="39" t="n">
        <v>3000</v>
      </c>
      <c r="AQ995" s="39" t="n">
        <v>0</v>
      </c>
      <c r="AR995" s="39" t="n">
        <v>3000</v>
      </c>
      <c r="AT995" t="inlineStr">
        <is>
          <t>Crédito Directo</t>
        </is>
      </c>
      <c r="AZ995" t="inlineStr">
        <is>
          <t>No</t>
        </is>
      </c>
      <c r="BC995" t="inlineStr">
        <is>
          <t>PENDIENTE</t>
        </is>
      </c>
      <c r="BN995" t="inlineStr">
        <is>
          <t>No</t>
        </is>
      </c>
      <c r="BO995" s="117" t="n">
        <v>45906.88125</v>
      </c>
      <c r="BP995" t="inlineStr">
        <is>
          <t>Magaly Guevara Perez</t>
        </is>
      </c>
      <c r="BR995" t="n">
        <v>56</v>
      </c>
      <c r="BT995" t="n">
        <v>0</v>
      </c>
      <c r="BX995" t="inlineStr">
        <is>
          <t>Cobranzas_2027.csv</t>
        </is>
      </c>
      <c r="BY995" t="n">
        <v>2027</v>
      </c>
      <c r="BZ995" t="inlineStr">
        <is>
          <t>01/01/2024</t>
        </is>
      </c>
      <c r="CA995" t="inlineStr">
        <is>
          <t>30/09/2031</t>
        </is>
      </c>
    </row>
    <row r="996">
      <c r="A996" t="inlineStr">
        <is>
          <t>RESIDENCIAL BEYOND</t>
        </is>
      </c>
      <c r="B996" t="inlineStr">
        <is>
          <t>Etapa 1</t>
        </is>
      </c>
      <c r="C996" t="inlineStr">
        <is>
          <t>Edificio</t>
        </is>
      </c>
      <c r="D996" t="inlineStr">
        <is>
          <t>A</t>
        </is>
      </c>
      <c r="E996" t="inlineStr">
        <is>
          <t>Estacionamiento</t>
        </is>
      </c>
      <c r="F996" t="inlineStr">
        <is>
          <t>E 04 - D 02</t>
        </is>
      </c>
      <c r="G996" s="39" t="n">
        <v>52500</v>
      </c>
      <c r="H996" s="39" t="n">
        <v>52500</v>
      </c>
      <c r="M996" s="39" t="n"/>
      <c r="N996" s="39" t="n"/>
      <c r="S996" s="39" t="n"/>
      <c r="T996" s="39" t="n"/>
      <c r="Y996" s="39" t="n"/>
      <c r="Z996" s="39" t="n"/>
      <c r="AA996" t="inlineStr">
        <is>
          <t>Victor Hugo Quispe Cupe</t>
        </is>
      </c>
      <c r="AB996" t="inlineStr">
        <is>
          <t>09848317</t>
        </is>
      </c>
      <c r="AC996" t="inlineStr">
        <is>
          <t>Jr. Jose Arnaldo Marquez 1152 urb. Fundo Oyaque</t>
        </is>
      </c>
      <c r="AD996" t="n">
        <v>0</v>
      </c>
      <c r="AE996" t="inlineStr">
        <is>
          <t>998980237</t>
        </is>
      </c>
      <c r="AF996" t="inlineStr">
        <is>
          <t>vitolosc58@gmail.com</t>
        </is>
      </c>
      <c r="AG996" t="inlineStr">
        <is>
          <t>LIMA</t>
        </is>
      </c>
      <c r="AH996" t="inlineStr">
        <is>
          <t>JESUS MARIA</t>
        </is>
      </c>
      <c r="AI996" s="116" t="n">
        <v>46568</v>
      </c>
      <c r="AJ996" s="116" t="n"/>
      <c r="AK996" t="inlineStr">
        <is>
          <t>SALDO FINANCIAR</t>
        </is>
      </c>
      <c r="AL996" t="n">
        <v>6</v>
      </c>
      <c r="AM996" t="n">
        <v>3000</v>
      </c>
      <c r="AN996" t="n">
        <v>0</v>
      </c>
      <c r="AO996" t="n">
        <v>0</v>
      </c>
      <c r="AP996" s="39" t="n">
        <v>3000</v>
      </c>
      <c r="AQ996" s="39" t="n">
        <v>0</v>
      </c>
      <c r="AR996" s="39" t="n">
        <v>3000</v>
      </c>
      <c r="AT996" t="inlineStr">
        <is>
          <t>Crédito Directo</t>
        </is>
      </c>
      <c r="AZ996" t="inlineStr">
        <is>
          <t>No</t>
        </is>
      </c>
      <c r="BC996" t="inlineStr">
        <is>
          <t>PENDIENTE</t>
        </is>
      </c>
      <c r="BN996" t="inlineStr">
        <is>
          <t>No</t>
        </is>
      </c>
      <c r="BO996" s="117" t="n">
        <v>45906.88125</v>
      </c>
      <c r="BP996" t="inlineStr">
        <is>
          <t>Magaly Guevara Perez</t>
        </is>
      </c>
      <c r="BR996" t="n">
        <v>56</v>
      </c>
      <c r="BT996" t="n">
        <v>0</v>
      </c>
      <c r="BX996" t="inlineStr">
        <is>
          <t>Cobranzas_2027.csv</t>
        </is>
      </c>
      <c r="BY996" t="n">
        <v>2027</v>
      </c>
      <c r="BZ996" t="inlineStr">
        <is>
          <t>01/01/2024</t>
        </is>
      </c>
      <c r="CA996" t="inlineStr">
        <is>
          <t>30/09/2031</t>
        </is>
      </c>
    </row>
    <row r="997">
      <c r="A997" t="inlineStr">
        <is>
          <t>RESIDENCIAL BEYOND</t>
        </is>
      </c>
      <c r="B997" t="inlineStr">
        <is>
          <t>Etapa 1</t>
        </is>
      </c>
      <c r="C997" t="inlineStr">
        <is>
          <t>Edificio</t>
        </is>
      </c>
      <c r="D997" t="inlineStr">
        <is>
          <t>A</t>
        </is>
      </c>
      <c r="E997" t="inlineStr">
        <is>
          <t>Estacionamiento</t>
        </is>
      </c>
      <c r="F997" t="inlineStr">
        <is>
          <t>E 04 - D 02</t>
        </is>
      </c>
      <c r="G997" s="39" t="n">
        <v>52500</v>
      </c>
      <c r="H997" s="39" t="n">
        <v>52500</v>
      </c>
      <c r="M997" s="39" t="n"/>
      <c r="N997" s="39" t="n"/>
      <c r="S997" s="39" t="n"/>
      <c r="T997" s="39" t="n"/>
      <c r="Y997" s="39" t="n"/>
      <c r="Z997" s="39" t="n"/>
      <c r="AA997" t="inlineStr">
        <is>
          <t>Victor Hugo Quispe Cupe</t>
        </is>
      </c>
      <c r="AB997" t="inlineStr">
        <is>
          <t>09848317</t>
        </is>
      </c>
      <c r="AC997" t="inlineStr">
        <is>
          <t>Jr. Jose Arnaldo Marquez 1152 urb. Fundo Oyaque</t>
        </is>
      </c>
      <c r="AD997" t="n">
        <v>0</v>
      </c>
      <c r="AE997" t="inlineStr">
        <is>
          <t>998980237</t>
        </is>
      </c>
      <c r="AF997" t="inlineStr">
        <is>
          <t>vitolosc58@gmail.com</t>
        </is>
      </c>
      <c r="AG997" t="inlineStr">
        <is>
          <t>LIMA</t>
        </is>
      </c>
      <c r="AH997" t="inlineStr">
        <is>
          <t>JESUS MARIA</t>
        </is>
      </c>
      <c r="AI997" s="116" t="n">
        <v>46599</v>
      </c>
      <c r="AJ997" s="116" t="n"/>
      <c r="AK997" t="inlineStr">
        <is>
          <t>SALDO FINANCIAR</t>
        </is>
      </c>
      <c r="AL997" t="n">
        <v>7</v>
      </c>
      <c r="AM997" t="n">
        <v>3000</v>
      </c>
      <c r="AN997" t="n">
        <v>0</v>
      </c>
      <c r="AO997" t="n">
        <v>0</v>
      </c>
      <c r="AP997" s="39" t="n">
        <v>3000</v>
      </c>
      <c r="AQ997" s="39" t="n">
        <v>0</v>
      </c>
      <c r="AR997" s="39" t="n">
        <v>3000</v>
      </c>
      <c r="AT997" t="inlineStr">
        <is>
          <t>Crédito Directo</t>
        </is>
      </c>
      <c r="AZ997" t="inlineStr">
        <is>
          <t>No</t>
        </is>
      </c>
      <c r="BC997" t="inlineStr">
        <is>
          <t>PENDIENTE</t>
        </is>
      </c>
      <c r="BN997" t="inlineStr">
        <is>
          <t>No</t>
        </is>
      </c>
      <c r="BO997" s="117" t="n">
        <v>45906.88125</v>
      </c>
      <c r="BP997" t="inlineStr">
        <is>
          <t>Magaly Guevara Perez</t>
        </is>
      </c>
      <c r="BR997" t="n">
        <v>56</v>
      </c>
      <c r="BT997" t="n">
        <v>0</v>
      </c>
      <c r="BX997" t="inlineStr">
        <is>
          <t>Cobranzas_2027.csv</t>
        </is>
      </c>
      <c r="BY997" t="n">
        <v>2027</v>
      </c>
      <c r="BZ997" t="inlineStr">
        <is>
          <t>01/01/2024</t>
        </is>
      </c>
      <c r="CA997" t="inlineStr">
        <is>
          <t>30/09/2031</t>
        </is>
      </c>
    </row>
    <row r="998">
      <c r="A998" t="inlineStr">
        <is>
          <t>RESIDENCIAL BEYOND</t>
        </is>
      </c>
      <c r="B998" t="inlineStr">
        <is>
          <t>Etapa 1</t>
        </is>
      </c>
      <c r="C998" t="inlineStr">
        <is>
          <t>Edificio</t>
        </is>
      </c>
      <c r="D998" t="inlineStr">
        <is>
          <t>A</t>
        </is>
      </c>
      <c r="E998" t="inlineStr">
        <is>
          <t>Estacionamiento</t>
        </is>
      </c>
      <c r="F998" t="inlineStr">
        <is>
          <t>E 04 - D 02</t>
        </is>
      </c>
      <c r="G998" s="39" t="n">
        <v>52500</v>
      </c>
      <c r="H998" s="39" t="n">
        <v>52500</v>
      </c>
      <c r="M998" s="39" t="n"/>
      <c r="N998" s="39" t="n"/>
      <c r="S998" s="39" t="n"/>
      <c r="T998" s="39" t="n"/>
      <c r="Y998" s="39" t="n"/>
      <c r="Z998" s="39" t="n"/>
      <c r="AA998" t="inlineStr">
        <is>
          <t>Victor Hugo Quispe Cupe</t>
        </is>
      </c>
      <c r="AB998" t="inlineStr">
        <is>
          <t>09848317</t>
        </is>
      </c>
      <c r="AC998" t="inlineStr">
        <is>
          <t>Jr. Jose Arnaldo Marquez 1152 urb. Fundo Oyaque</t>
        </is>
      </c>
      <c r="AD998" t="n">
        <v>0</v>
      </c>
      <c r="AE998" t="inlineStr">
        <is>
          <t>998980237</t>
        </is>
      </c>
      <c r="AF998" t="inlineStr">
        <is>
          <t>vitolosc58@gmail.com</t>
        </is>
      </c>
      <c r="AG998" t="inlineStr">
        <is>
          <t>LIMA</t>
        </is>
      </c>
      <c r="AH998" t="inlineStr">
        <is>
          <t>JESUS MARIA</t>
        </is>
      </c>
      <c r="AI998" s="116" t="n">
        <v>46630</v>
      </c>
      <c r="AJ998" s="116" t="n"/>
      <c r="AK998" t="inlineStr">
        <is>
          <t>SALDO FINANCIAR</t>
        </is>
      </c>
      <c r="AL998" t="n">
        <v>8</v>
      </c>
      <c r="AM998" t="n">
        <v>3000</v>
      </c>
      <c r="AN998" t="n">
        <v>0</v>
      </c>
      <c r="AO998" t="n">
        <v>0</v>
      </c>
      <c r="AP998" s="39" t="n">
        <v>3000</v>
      </c>
      <c r="AQ998" s="39" t="n">
        <v>0</v>
      </c>
      <c r="AR998" s="39" t="n">
        <v>3000</v>
      </c>
      <c r="AT998" t="inlineStr">
        <is>
          <t>Crédito Directo</t>
        </is>
      </c>
      <c r="AZ998" t="inlineStr">
        <is>
          <t>No</t>
        </is>
      </c>
      <c r="BC998" t="inlineStr">
        <is>
          <t>PENDIENTE</t>
        </is>
      </c>
      <c r="BN998" t="inlineStr">
        <is>
          <t>No</t>
        </is>
      </c>
      <c r="BO998" s="117" t="n">
        <v>45906.88125</v>
      </c>
      <c r="BP998" t="inlineStr">
        <is>
          <t>Magaly Guevara Perez</t>
        </is>
      </c>
      <c r="BR998" t="n">
        <v>56</v>
      </c>
      <c r="BT998" t="n">
        <v>0</v>
      </c>
      <c r="BX998" t="inlineStr">
        <is>
          <t>Cobranzas_2027.csv</t>
        </is>
      </c>
      <c r="BY998" t="n">
        <v>2027</v>
      </c>
      <c r="BZ998" t="inlineStr">
        <is>
          <t>01/01/2024</t>
        </is>
      </c>
      <c r="CA998" t="inlineStr">
        <is>
          <t>30/09/2031</t>
        </is>
      </c>
    </row>
    <row r="999">
      <c r="A999" t="inlineStr">
        <is>
          <t>RESIDENCIAL BEYOND</t>
        </is>
      </c>
      <c r="B999" t="inlineStr">
        <is>
          <t>Etapa 1</t>
        </is>
      </c>
      <c r="C999" t="inlineStr">
        <is>
          <t>Edificio</t>
        </is>
      </c>
      <c r="D999" t="inlineStr">
        <is>
          <t>A</t>
        </is>
      </c>
      <c r="E999" t="inlineStr">
        <is>
          <t>Estacionamiento</t>
        </is>
      </c>
      <c r="F999" t="inlineStr">
        <is>
          <t>E 04 - D 02</t>
        </is>
      </c>
      <c r="G999" s="39" t="n">
        <v>52500</v>
      </c>
      <c r="H999" s="39" t="n">
        <v>52500</v>
      </c>
      <c r="M999" s="39" t="n"/>
      <c r="N999" s="39" t="n"/>
      <c r="S999" s="39" t="n"/>
      <c r="T999" s="39" t="n"/>
      <c r="Y999" s="39" t="n"/>
      <c r="Z999" s="39" t="n"/>
      <c r="AA999" t="inlineStr">
        <is>
          <t>Victor Hugo Quispe Cupe</t>
        </is>
      </c>
      <c r="AB999" t="inlineStr">
        <is>
          <t>09848317</t>
        </is>
      </c>
      <c r="AC999" t="inlineStr">
        <is>
          <t>Jr. Jose Arnaldo Marquez 1152 urb. Fundo Oyaque</t>
        </is>
      </c>
      <c r="AD999" t="n">
        <v>0</v>
      </c>
      <c r="AE999" t="inlineStr">
        <is>
          <t>998980237</t>
        </is>
      </c>
      <c r="AF999" t="inlineStr">
        <is>
          <t>vitolosc58@gmail.com</t>
        </is>
      </c>
      <c r="AG999" t="inlineStr">
        <is>
          <t>LIMA</t>
        </is>
      </c>
      <c r="AH999" t="inlineStr">
        <is>
          <t>JESUS MARIA</t>
        </is>
      </c>
      <c r="AI999" s="116" t="n">
        <v>46660</v>
      </c>
      <c r="AJ999" s="116" t="n"/>
      <c r="AK999" t="inlineStr">
        <is>
          <t>SALDO FINANCIAR</t>
        </is>
      </c>
      <c r="AL999" t="n">
        <v>9</v>
      </c>
      <c r="AM999" t="n">
        <v>3000</v>
      </c>
      <c r="AN999" t="n">
        <v>0</v>
      </c>
      <c r="AO999" t="n">
        <v>0</v>
      </c>
      <c r="AP999" s="39" t="n">
        <v>3000</v>
      </c>
      <c r="AQ999" s="39" t="n">
        <v>0</v>
      </c>
      <c r="AR999" s="39" t="n">
        <v>3000</v>
      </c>
      <c r="AT999" t="inlineStr">
        <is>
          <t>Crédito Directo</t>
        </is>
      </c>
      <c r="AZ999" t="inlineStr">
        <is>
          <t>No</t>
        </is>
      </c>
      <c r="BC999" t="inlineStr">
        <is>
          <t>PENDIENTE</t>
        </is>
      </c>
      <c r="BN999" t="inlineStr">
        <is>
          <t>No</t>
        </is>
      </c>
      <c r="BO999" s="117" t="n">
        <v>45906.88125</v>
      </c>
      <c r="BP999" t="inlineStr">
        <is>
          <t>Magaly Guevara Perez</t>
        </is>
      </c>
      <c r="BR999" t="n">
        <v>56</v>
      </c>
      <c r="BT999" t="n">
        <v>0</v>
      </c>
      <c r="BX999" t="inlineStr">
        <is>
          <t>Cobranzas_2027.csv</t>
        </is>
      </c>
      <c r="BY999" t="n">
        <v>2027</v>
      </c>
      <c r="BZ999" t="inlineStr">
        <is>
          <t>01/01/2024</t>
        </is>
      </c>
      <c r="CA999" t="inlineStr">
        <is>
          <t>30/09/2031</t>
        </is>
      </c>
    </row>
    <row r="1000">
      <c r="A1000" t="inlineStr">
        <is>
          <t>RESIDENCIAL BEYOND</t>
        </is>
      </c>
      <c r="B1000" t="inlineStr">
        <is>
          <t>Etapa 1</t>
        </is>
      </c>
      <c r="C1000" t="inlineStr">
        <is>
          <t>Edificio</t>
        </is>
      </c>
      <c r="D1000" t="inlineStr">
        <is>
          <t>A</t>
        </is>
      </c>
      <c r="E1000" t="inlineStr">
        <is>
          <t>Estacionamiento</t>
        </is>
      </c>
      <c r="F1000" t="inlineStr">
        <is>
          <t>E 04 - D 02</t>
        </is>
      </c>
      <c r="G1000" s="39" t="n">
        <v>52500</v>
      </c>
      <c r="H1000" s="39" t="n">
        <v>52500</v>
      </c>
      <c r="M1000" s="39" t="n"/>
      <c r="N1000" s="39" t="n"/>
      <c r="S1000" s="39" t="n"/>
      <c r="T1000" s="39" t="n"/>
      <c r="Y1000" s="39" t="n"/>
      <c r="Z1000" s="39" t="n"/>
      <c r="AA1000" t="inlineStr">
        <is>
          <t>Victor Hugo Quispe Cupe</t>
        </is>
      </c>
      <c r="AB1000" t="inlineStr">
        <is>
          <t>09848317</t>
        </is>
      </c>
      <c r="AC1000" t="inlineStr">
        <is>
          <t>Jr. Jose Arnaldo Marquez 1152 urb. Fundo Oyaque</t>
        </is>
      </c>
      <c r="AD1000" t="n">
        <v>0</v>
      </c>
      <c r="AE1000" t="inlineStr">
        <is>
          <t>998980237</t>
        </is>
      </c>
      <c r="AF1000" t="inlineStr">
        <is>
          <t>vitolosc58@gmail.com</t>
        </is>
      </c>
      <c r="AG1000" t="inlineStr">
        <is>
          <t>LIMA</t>
        </is>
      </c>
      <c r="AH1000" t="inlineStr">
        <is>
          <t>JESUS MARIA</t>
        </is>
      </c>
      <c r="AI1000" s="116" t="n">
        <v>46691</v>
      </c>
      <c r="AJ1000" s="116" t="n"/>
      <c r="AK1000" t="inlineStr">
        <is>
          <t>SALDO FINANCIAR</t>
        </is>
      </c>
      <c r="AL1000" t="n">
        <v>10</v>
      </c>
      <c r="AM1000" t="n">
        <v>3000</v>
      </c>
      <c r="AN1000" t="n">
        <v>0</v>
      </c>
      <c r="AO1000" t="n">
        <v>0</v>
      </c>
      <c r="AP1000" s="39" t="n">
        <v>3000</v>
      </c>
      <c r="AQ1000" s="39" t="n">
        <v>0</v>
      </c>
      <c r="AR1000" s="39" t="n">
        <v>3000</v>
      </c>
      <c r="AT1000" t="inlineStr">
        <is>
          <t>Crédito Directo</t>
        </is>
      </c>
      <c r="AZ1000" t="inlineStr">
        <is>
          <t>No</t>
        </is>
      </c>
      <c r="BC1000" t="inlineStr">
        <is>
          <t>PENDIENTE</t>
        </is>
      </c>
      <c r="BN1000" t="inlineStr">
        <is>
          <t>No</t>
        </is>
      </c>
      <c r="BO1000" s="117" t="n">
        <v>45906.88125</v>
      </c>
      <c r="BP1000" t="inlineStr">
        <is>
          <t>Magaly Guevara Perez</t>
        </is>
      </c>
      <c r="BR1000" t="n">
        <v>56</v>
      </c>
      <c r="BT1000" t="n">
        <v>0</v>
      </c>
      <c r="BX1000" t="inlineStr">
        <is>
          <t>Cobranzas_2027.csv</t>
        </is>
      </c>
      <c r="BY1000" t="n">
        <v>2027</v>
      </c>
      <c r="BZ1000" t="inlineStr">
        <is>
          <t>01/01/2024</t>
        </is>
      </c>
      <c r="CA1000" t="inlineStr">
        <is>
          <t>30/09/2031</t>
        </is>
      </c>
    </row>
    <row r="1001">
      <c r="A1001" t="inlineStr">
        <is>
          <t>RESIDENCIAL BEYOND</t>
        </is>
      </c>
      <c r="B1001" t="inlineStr">
        <is>
          <t>Etapa 1</t>
        </is>
      </c>
      <c r="C1001" t="inlineStr">
        <is>
          <t>Edificio</t>
        </is>
      </c>
      <c r="D1001" t="inlineStr">
        <is>
          <t>A</t>
        </is>
      </c>
      <c r="E1001" t="inlineStr">
        <is>
          <t>Estacionamiento</t>
        </is>
      </c>
      <c r="F1001" t="inlineStr">
        <is>
          <t>E 04 - D 02</t>
        </is>
      </c>
      <c r="G1001" s="39" t="n">
        <v>52500</v>
      </c>
      <c r="H1001" s="39" t="n">
        <v>52500</v>
      </c>
      <c r="M1001" s="39" t="n"/>
      <c r="N1001" s="39" t="n"/>
      <c r="S1001" s="39" t="n"/>
      <c r="T1001" s="39" t="n"/>
      <c r="Y1001" s="39" t="n"/>
      <c r="Z1001" s="39" t="n"/>
      <c r="AA1001" t="inlineStr">
        <is>
          <t>Victor Hugo Quispe Cupe</t>
        </is>
      </c>
      <c r="AB1001" t="inlineStr">
        <is>
          <t>09848317</t>
        </is>
      </c>
      <c r="AC1001" t="inlineStr">
        <is>
          <t>Jr. Jose Arnaldo Marquez 1152 urb. Fundo Oyaque</t>
        </is>
      </c>
      <c r="AD1001" t="n">
        <v>0</v>
      </c>
      <c r="AE1001" t="inlineStr">
        <is>
          <t>998980237</t>
        </is>
      </c>
      <c r="AF1001" t="inlineStr">
        <is>
          <t>vitolosc58@gmail.com</t>
        </is>
      </c>
      <c r="AG1001" t="inlineStr">
        <is>
          <t>LIMA</t>
        </is>
      </c>
      <c r="AH1001" t="inlineStr">
        <is>
          <t>JESUS MARIA</t>
        </is>
      </c>
      <c r="AI1001" s="116" t="n">
        <v>46721</v>
      </c>
      <c r="AJ1001" s="116" t="n"/>
      <c r="AK1001" t="inlineStr">
        <is>
          <t>SALDO FINANCIAR</t>
        </is>
      </c>
      <c r="AL1001" t="n">
        <v>11</v>
      </c>
      <c r="AM1001" t="n">
        <v>3000</v>
      </c>
      <c r="AN1001" t="n">
        <v>0</v>
      </c>
      <c r="AO1001" t="n">
        <v>0</v>
      </c>
      <c r="AP1001" s="39" t="n">
        <v>3000</v>
      </c>
      <c r="AQ1001" s="39" t="n">
        <v>0</v>
      </c>
      <c r="AR1001" s="39" t="n">
        <v>3000</v>
      </c>
      <c r="AT1001" t="inlineStr">
        <is>
          <t>Crédito Directo</t>
        </is>
      </c>
      <c r="AZ1001" t="inlineStr">
        <is>
          <t>No</t>
        </is>
      </c>
      <c r="BC1001" t="inlineStr">
        <is>
          <t>PENDIENTE</t>
        </is>
      </c>
      <c r="BN1001" t="inlineStr">
        <is>
          <t>No</t>
        </is>
      </c>
      <c r="BO1001" s="117" t="n">
        <v>45906.88125</v>
      </c>
      <c r="BP1001" t="inlineStr">
        <is>
          <t>Magaly Guevara Perez</t>
        </is>
      </c>
      <c r="BR1001" t="n">
        <v>56</v>
      </c>
      <c r="BT1001" t="n">
        <v>0</v>
      </c>
      <c r="BX1001" t="inlineStr">
        <is>
          <t>Cobranzas_2027.csv</t>
        </is>
      </c>
      <c r="BY1001" t="n">
        <v>2027</v>
      </c>
      <c r="BZ1001" t="inlineStr">
        <is>
          <t>01/01/2024</t>
        </is>
      </c>
      <c r="CA1001" t="inlineStr">
        <is>
          <t>30/09/2031</t>
        </is>
      </c>
    </row>
    <row r="1002">
      <c r="A1002" t="inlineStr">
        <is>
          <t>RESIDENCIAL BEYOND</t>
        </is>
      </c>
      <c r="B1002" t="inlineStr">
        <is>
          <t>Etapa 1</t>
        </is>
      </c>
      <c r="C1002" t="inlineStr">
        <is>
          <t>Edificio</t>
        </is>
      </c>
      <c r="D1002" t="inlineStr">
        <is>
          <t>A</t>
        </is>
      </c>
      <c r="E1002" t="inlineStr">
        <is>
          <t>Estacionamiento</t>
        </is>
      </c>
      <c r="F1002" t="inlineStr">
        <is>
          <t>E 04 - D 02</t>
        </is>
      </c>
      <c r="G1002" s="39" t="n">
        <v>52500</v>
      </c>
      <c r="H1002" s="39" t="n">
        <v>52500</v>
      </c>
      <c r="M1002" s="39" t="n"/>
      <c r="N1002" s="39" t="n"/>
      <c r="S1002" s="39" t="n"/>
      <c r="T1002" s="39" t="n"/>
      <c r="Y1002" s="39" t="n"/>
      <c r="Z1002" s="39" t="n"/>
      <c r="AA1002" t="inlineStr">
        <is>
          <t>Victor Hugo Quispe Cupe</t>
        </is>
      </c>
      <c r="AB1002" t="inlineStr">
        <is>
          <t>09848317</t>
        </is>
      </c>
      <c r="AC1002" t="inlineStr">
        <is>
          <t>Jr. Jose Arnaldo Marquez 1152 urb. Fundo Oyaque</t>
        </is>
      </c>
      <c r="AD1002" t="n">
        <v>0</v>
      </c>
      <c r="AE1002" t="inlineStr">
        <is>
          <t>998980237</t>
        </is>
      </c>
      <c r="AF1002" t="inlineStr">
        <is>
          <t>vitolosc58@gmail.com</t>
        </is>
      </c>
      <c r="AG1002" t="inlineStr">
        <is>
          <t>LIMA</t>
        </is>
      </c>
      <c r="AH1002" t="inlineStr">
        <is>
          <t>JESUS MARIA</t>
        </is>
      </c>
      <c r="AI1002" s="116" t="n">
        <v>46752</v>
      </c>
      <c r="AJ1002" s="116" t="n"/>
      <c r="AK1002" t="inlineStr">
        <is>
          <t>SALDO FINANCIAR</t>
        </is>
      </c>
      <c r="AL1002" t="n">
        <v>12</v>
      </c>
      <c r="AM1002" t="n">
        <v>9500</v>
      </c>
      <c r="AN1002" t="n">
        <v>0</v>
      </c>
      <c r="AO1002" t="n">
        <v>0</v>
      </c>
      <c r="AP1002" s="39" t="n">
        <v>9500</v>
      </c>
      <c r="AQ1002" s="39" t="n">
        <v>0</v>
      </c>
      <c r="AR1002" s="39" t="n">
        <v>9500</v>
      </c>
      <c r="AT1002" t="inlineStr">
        <is>
          <t>Crédito Directo</t>
        </is>
      </c>
      <c r="AZ1002" t="inlineStr">
        <is>
          <t>No</t>
        </is>
      </c>
      <c r="BC1002" t="inlineStr">
        <is>
          <t>PENDIENTE</t>
        </is>
      </c>
      <c r="BN1002" t="inlineStr">
        <is>
          <t>No</t>
        </is>
      </c>
      <c r="BO1002" s="117" t="n">
        <v>45906.88125</v>
      </c>
      <c r="BP1002" t="inlineStr">
        <is>
          <t>Magaly Guevara Perez</t>
        </is>
      </c>
      <c r="BR1002" t="n">
        <v>56</v>
      </c>
      <c r="BT1002" t="n">
        <v>0</v>
      </c>
      <c r="BX1002" t="inlineStr">
        <is>
          <t>Cobranzas_2027.csv</t>
        </is>
      </c>
      <c r="BY1002" t="n">
        <v>2027</v>
      </c>
      <c r="BZ1002" t="inlineStr">
        <is>
          <t>01/01/2024</t>
        </is>
      </c>
      <c r="CA1002" t="inlineStr">
        <is>
          <t>30/09/2031</t>
        </is>
      </c>
    </row>
    <row r="1003">
      <c r="A1003" t="inlineStr">
        <is>
          <t>RESIDENCIAL BEYOND</t>
        </is>
      </c>
      <c r="B1003" t="inlineStr">
        <is>
          <t>Etapa 1</t>
        </is>
      </c>
      <c r="C1003" t="inlineStr">
        <is>
          <t>Edificio</t>
        </is>
      </c>
      <c r="D1003" t="inlineStr">
        <is>
          <t>A</t>
        </is>
      </c>
      <c r="E1003" t="inlineStr">
        <is>
          <t>Departamento</t>
        </is>
      </c>
      <c r="F1003" t="inlineStr">
        <is>
          <t>603</t>
        </is>
      </c>
      <c r="G1003" s="39" t="n">
        <v>504700</v>
      </c>
      <c r="H1003" s="39" t="n">
        <v>478000</v>
      </c>
      <c r="I1003" t="inlineStr">
        <is>
          <t>Edificio</t>
        </is>
      </c>
      <c r="J1003" t="inlineStr">
        <is>
          <t>A</t>
        </is>
      </c>
      <c r="K1003" t="inlineStr">
        <is>
          <t>Estacionamiento</t>
        </is>
      </c>
      <c r="L1003" t="inlineStr">
        <is>
          <t>E 37 - D 23</t>
        </is>
      </c>
      <c r="M1003" s="39" t="n">
        <v>50000</v>
      </c>
      <c r="N1003" s="39" t="n">
        <v>50000</v>
      </c>
      <c r="S1003" s="39" t="n"/>
      <c r="T1003" s="39" t="n"/>
      <c r="Y1003" s="39" t="n"/>
      <c r="Z1003" s="39" t="n"/>
      <c r="AA1003" t="inlineStr">
        <is>
          <t>Vivina Pasco Blas Vda. De Saenz</t>
        </is>
      </c>
      <c r="AB1003" t="inlineStr">
        <is>
          <t>08494885</t>
        </is>
      </c>
      <c r="AC1003" t="inlineStr">
        <is>
          <t>Av. Cordialidad 8079 Urb. Floresta De Pro</t>
        </is>
      </c>
      <c r="AD1003" t="n">
        <v>0</v>
      </c>
      <c r="AE1003" t="inlineStr">
        <is>
          <t>992686657</t>
        </is>
      </c>
      <c r="AF1003" t="inlineStr">
        <is>
          <t>g.saenz22@gmail.com</t>
        </is>
      </c>
      <c r="AG1003" t="inlineStr">
        <is>
          <t>LIMA</t>
        </is>
      </c>
      <c r="AH1003" t="inlineStr">
        <is>
          <t>LOS OLIVOS</t>
        </is>
      </c>
      <c r="AI1003" s="116" t="n">
        <v>46537</v>
      </c>
      <c r="AJ1003" s="116" t="n"/>
      <c r="AK1003" t="inlineStr">
        <is>
          <t>SALDO FINANCIAR</t>
        </is>
      </c>
      <c r="AL1003" t="n">
        <v>2</v>
      </c>
      <c r="AM1003" t="n">
        <v>66000</v>
      </c>
      <c r="AN1003" t="n">
        <v>0</v>
      </c>
      <c r="AO1003" t="n">
        <v>0</v>
      </c>
      <c r="AP1003" s="39" t="n">
        <v>66000</v>
      </c>
      <c r="AQ1003" s="39" t="n">
        <v>0</v>
      </c>
      <c r="AR1003" s="39" t="n">
        <v>66000</v>
      </c>
      <c r="AT1003" t="inlineStr">
        <is>
          <t>Ahorro</t>
        </is>
      </c>
      <c r="AZ1003" t="inlineStr">
        <is>
          <t>No</t>
        </is>
      </c>
      <c r="BC1003" t="inlineStr">
        <is>
          <t>PENDIENTE</t>
        </is>
      </c>
      <c r="BN1003" t="inlineStr">
        <is>
          <t>No</t>
        </is>
      </c>
      <c r="BO1003" s="117" t="n">
        <v>46112.40555555555</v>
      </c>
      <c r="BP1003" t="inlineStr">
        <is>
          <t>Magaly Guevara Perez</t>
        </is>
      </c>
      <c r="BR1003" t="n">
        <v>23</v>
      </c>
      <c r="BT1003" t="n">
        <v>0</v>
      </c>
      <c r="BX1003" t="inlineStr">
        <is>
          <t>Cobranzas_2027.csv</t>
        </is>
      </c>
      <c r="BY1003" t="n">
        <v>2027</v>
      </c>
      <c r="BZ1003" t="inlineStr">
        <is>
          <t>01/01/2024</t>
        </is>
      </c>
      <c r="CA1003" t="inlineStr">
        <is>
          <t>30/09/2031</t>
        </is>
      </c>
    </row>
    <row r="1004">
      <c r="A1004" t="inlineStr">
        <is>
          <t>RESIDENCIAL BEYOND</t>
        </is>
      </c>
      <c r="B1004" t="inlineStr">
        <is>
          <t>Etapa 1</t>
        </is>
      </c>
      <c r="C1004" t="inlineStr">
        <is>
          <t>Edificio</t>
        </is>
      </c>
      <c r="D1004" t="inlineStr">
        <is>
          <t>A</t>
        </is>
      </c>
      <c r="E1004" t="inlineStr">
        <is>
          <t>Departamento</t>
        </is>
      </c>
      <c r="F1004" t="inlineStr">
        <is>
          <t>603</t>
        </is>
      </c>
      <c r="G1004" s="39" t="n">
        <v>504700</v>
      </c>
      <c r="H1004" s="39" t="n">
        <v>478000</v>
      </c>
      <c r="I1004" t="inlineStr">
        <is>
          <t>Edificio</t>
        </is>
      </c>
      <c r="J1004" t="inlineStr">
        <is>
          <t>A</t>
        </is>
      </c>
      <c r="K1004" t="inlineStr">
        <is>
          <t>Estacionamiento</t>
        </is>
      </c>
      <c r="L1004" t="inlineStr">
        <is>
          <t>E 37 - D 23</t>
        </is>
      </c>
      <c r="M1004" s="39" t="n">
        <v>50000</v>
      </c>
      <c r="N1004" s="39" t="n">
        <v>50000</v>
      </c>
      <c r="S1004" s="39" t="n"/>
      <c r="T1004" s="39" t="n"/>
      <c r="Y1004" s="39" t="n"/>
      <c r="Z1004" s="39" t="n"/>
      <c r="AA1004" t="inlineStr">
        <is>
          <t>Vivina Pasco Blas Vda. De Saenz</t>
        </is>
      </c>
      <c r="AB1004" t="inlineStr">
        <is>
          <t>08494885</t>
        </is>
      </c>
      <c r="AC1004" t="inlineStr">
        <is>
          <t>Av. Cordialidad 8079 Urb. Floresta De Pro</t>
        </is>
      </c>
      <c r="AD1004" t="n">
        <v>0</v>
      </c>
      <c r="AE1004" t="inlineStr">
        <is>
          <t>992686657</t>
        </is>
      </c>
      <c r="AF1004" t="inlineStr">
        <is>
          <t>g.saenz22@gmail.com</t>
        </is>
      </c>
      <c r="AG1004" t="inlineStr">
        <is>
          <t>LIMA</t>
        </is>
      </c>
      <c r="AH1004" t="inlineStr">
        <is>
          <t>LOS OLIVOS</t>
        </is>
      </c>
      <c r="AI1004" s="116" t="n">
        <v>46568</v>
      </c>
      <c r="AJ1004" s="116" t="n"/>
      <c r="AK1004" t="inlineStr">
        <is>
          <t>SALDO FINANCIAR</t>
        </is>
      </c>
      <c r="AL1004" t="n">
        <v>3</v>
      </c>
      <c r="AM1004" t="n">
        <v>132000</v>
      </c>
      <c r="AN1004" t="n">
        <v>0</v>
      </c>
      <c r="AO1004" t="n">
        <v>0</v>
      </c>
      <c r="AP1004" s="39" t="n">
        <v>132000</v>
      </c>
      <c r="AQ1004" s="39" t="n">
        <v>0</v>
      </c>
      <c r="AR1004" s="39" t="n">
        <v>132000</v>
      </c>
      <c r="AT1004" t="inlineStr">
        <is>
          <t>Ahorro</t>
        </is>
      </c>
      <c r="AZ1004" t="inlineStr">
        <is>
          <t>No</t>
        </is>
      </c>
      <c r="BC1004" t="inlineStr">
        <is>
          <t>PENDIENTE</t>
        </is>
      </c>
      <c r="BN1004" t="inlineStr">
        <is>
          <t>No</t>
        </is>
      </c>
      <c r="BO1004" s="117" t="n">
        <v>46112.40555555555</v>
      </c>
      <c r="BP1004" t="inlineStr">
        <is>
          <t>Magaly Guevara Perez</t>
        </is>
      </c>
      <c r="BR1004" t="n">
        <v>23</v>
      </c>
      <c r="BT1004" t="n">
        <v>0</v>
      </c>
      <c r="BX1004" t="inlineStr">
        <is>
          <t>Cobranzas_2027.csv</t>
        </is>
      </c>
      <c r="BY1004" t="n">
        <v>2027</v>
      </c>
      <c r="BZ1004" t="inlineStr">
        <is>
          <t>01/01/2024</t>
        </is>
      </c>
      <c r="CA1004" t="inlineStr">
        <is>
          <t>30/09/2031</t>
        </is>
      </c>
    </row>
    <row r="1005">
      <c r="A1005" t="inlineStr">
        <is>
          <t>RESIDENCIAL BEYOND</t>
        </is>
      </c>
      <c r="B1005" t="inlineStr">
        <is>
          <t>Etapa 1</t>
        </is>
      </c>
      <c r="C1005" t="inlineStr">
        <is>
          <t>Edificio</t>
        </is>
      </c>
      <c r="D1005" t="inlineStr">
        <is>
          <t>A</t>
        </is>
      </c>
      <c r="E1005" t="inlineStr">
        <is>
          <t>Departamento</t>
        </is>
      </c>
      <c r="F1005" t="inlineStr">
        <is>
          <t>301</t>
        </is>
      </c>
      <c r="G1005" s="39" t="n">
        <v>531100</v>
      </c>
      <c r="H1005" s="39" t="n">
        <v>475000</v>
      </c>
      <c r="M1005" s="39" t="n"/>
      <c r="N1005" s="39" t="n"/>
      <c r="S1005" s="39" t="n"/>
      <c r="T1005" s="39" t="n"/>
      <c r="Y1005" s="39" t="n"/>
      <c r="Z1005" s="39" t="n"/>
      <c r="AA1005" t="inlineStr">
        <is>
          <t>Victor Hugo Quispe Cupe</t>
        </is>
      </c>
      <c r="AB1005" t="inlineStr">
        <is>
          <t>09848317</t>
        </is>
      </c>
      <c r="AC1005" t="inlineStr">
        <is>
          <t>Jr. Jose Arnaldo Marquez 1152 urb. Fundo Oyaque</t>
        </is>
      </c>
      <c r="AD1005" t="n">
        <v>0</v>
      </c>
      <c r="AE1005" t="inlineStr">
        <is>
          <t>998980237</t>
        </is>
      </c>
      <c r="AF1005" t="inlineStr">
        <is>
          <t>vitolosc58@gmail.com</t>
        </is>
      </c>
      <c r="AG1005" t="inlineStr">
        <is>
          <t>LIMA</t>
        </is>
      </c>
      <c r="AH1005" t="inlineStr">
        <is>
          <t>JESUS MARIA</t>
        </is>
      </c>
      <c r="AI1005" s="116" t="n">
        <v>46783</v>
      </c>
      <c r="AJ1005" s="116" t="n"/>
      <c r="AK1005" t="inlineStr">
        <is>
          <t>SALDO FINANCIAR</t>
        </is>
      </c>
      <c r="AL1005" t="n">
        <v>16</v>
      </c>
      <c r="AM1005" t="n">
        <v>32500</v>
      </c>
      <c r="AN1005" t="n">
        <v>0</v>
      </c>
      <c r="AO1005" t="n">
        <v>0</v>
      </c>
      <c r="AP1005" s="39" t="n">
        <v>32500</v>
      </c>
      <c r="AQ1005" s="39" t="n">
        <v>0</v>
      </c>
      <c r="AR1005" s="39" t="n">
        <v>32500</v>
      </c>
      <c r="AT1005" t="inlineStr">
        <is>
          <t>Crédito Directo</t>
        </is>
      </c>
      <c r="AZ1005" t="inlineStr">
        <is>
          <t>No</t>
        </is>
      </c>
      <c r="BC1005" t="inlineStr">
        <is>
          <t>PENDIENTE</t>
        </is>
      </c>
      <c r="BN1005" t="inlineStr">
        <is>
          <t>No</t>
        </is>
      </c>
      <c r="BO1005" s="117" t="n">
        <v>46142.61944444444</v>
      </c>
      <c r="BP1005" t="inlineStr">
        <is>
          <t>Magaly Guevara Perez</t>
        </is>
      </c>
      <c r="BR1005" t="n">
        <v>50</v>
      </c>
      <c r="BT1005" t="n">
        <v>0</v>
      </c>
      <c r="BX1005" t="inlineStr">
        <is>
          <t>Cobranzas_2028.csv</t>
        </is>
      </c>
      <c r="BY1005" t="n">
        <v>2028</v>
      </c>
      <c r="BZ1005" t="inlineStr">
        <is>
          <t>01/01/2024</t>
        </is>
      </c>
      <c r="CA1005" t="inlineStr">
        <is>
          <t>30/09/2031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10" defaultRowHeight="14.4"/>
  <cols>
    <col width="33" bestFit="1" customWidth="1" min="2" max="2"/>
    <col width="16.33203125" customWidth="1" min="3" max="3"/>
    <col width="13" customWidth="1" min="4" max="4"/>
    <col width="11.6640625" bestFit="1" customWidth="1" min="5" max="5"/>
    <col width="14.21875" customWidth="1" min="6" max="10"/>
    <col width="14.21875" customWidth="1" min="7" max="7"/>
    <col width="14.21875" customWidth="1" min="8" max="8"/>
    <col width="14.21875" customWidth="1" min="9" max="9"/>
    <col width="14.21875" customWidth="1" min="10" max="10"/>
    <col width="14.21875" customWidth="1" min="11" max="11"/>
    <col width="14.21875" customWidth="1" min="12" max="12"/>
    <col width="14.21875" bestFit="1" customWidth="1" min="13" max="13"/>
    <col width="14.21875" customWidth="1" min="14" max="14"/>
    <col width="14.21875" bestFit="1" customWidth="1" min="15" max="15"/>
    <col width="14.21875" customWidth="1" min="16" max="16"/>
  </cols>
  <sheetData>
    <row r="1">
      <c r="C1" s="42" t="n"/>
      <c r="D1" s="42" t="n"/>
      <c r="F1" s="43" t="n"/>
      <c r="G1" s="42" t="n"/>
      <c r="H1" s="42" t="n"/>
      <c r="I1" s="42" t="n"/>
      <c r="J1" s="43" t="n"/>
      <c r="K1" s="42" t="n"/>
      <c r="L1" s="42" t="n"/>
    </row>
    <row r="2">
      <c r="C2" s="42" t="n"/>
      <c r="D2" s="42" t="n"/>
      <c r="F2" s="43" t="n"/>
      <c r="G2" s="42" t="n"/>
      <c r="H2" s="42" t="n"/>
      <c r="I2" s="42" t="n"/>
      <c r="J2" s="43" t="n"/>
      <c r="K2" s="42" t="n"/>
      <c r="L2" s="42" t="n"/>
    </row>
    <row r="3">
      <c r="C3" s="42" t="n"/>
      <c r="D3" s="42" t="n"/>
      <c r="F3" s="43" t="n"/>
      <c r="G3" s="42" t="n"/>
      <c r="H3" s="42" t="n"/>
      <c r="I3" s="42" t="n"/>
      <c r="J3" s="43" t="n"/>
      <c r="K3" s="42" t="n"/>
      <c r="L3" s="42" t="n"/>
    </row>
    <row r="4" ht="13.2" customHeight="1">
      <c r="C4" s="42" t="n"/>
      <c r="D4" s="42" t="n"/>
      <c r="F4" s="43" t="n"/>
      <c r="G4" s="42" t="n"/>
      <c r="H4" s="42" t="n"/>
      <c r="I4" s="42" t="n"/>
      <c r="J4" s="43" t="n"/>
      <c r="K4" s="42" t="n"/>
      <c r="L4" s="42" t="n"/>
    </row>
    <row r="5" ht="23.4" customHeight="1">
      <c r="C5" s="44" t="inlineStr">
        <is>
          <t>REPORTE DE COBRANZAS</t>
        </is>
      </c>
      <c r="I5" s="42" t="n"/>
      <c r="J5" s="43" t="n"/>
      <c r="K5" s="42" t="n"/>
      <c r="L5" s="42" t="n"/>
    </row>
    <row r="6">
      <c r="B6" s="24" t="inlineStr">
        <is>
          <t>Prada</t>
        </is>
      </c>
      <c r="C6" s="42" t="n"/>
      <c r="D6" s="42" t="n"/>
      <c r="F6" s="43" t="n"/>
      <c r="G6" s="42" t="n"/>
      <c r="H6" s="42" t="n"/>
      <c r="I6" s="42" t="n"/>
      <c r="J6" s="43" t="n"/>
      <c r="K6" s="42" t="n"/>
      <c r="L6" s="42" t="n"/>
    </row>
    <row r="7">
      <c r="C7" s="42" t="n"/>
      <c r="D7" s="42" t="n"/>
      <c r="F7" s="43" t="n"/>
      <c r="G7" s="42" t="n"/>
      <c r="H7" s="42" t="n"/>
      <c r="I7" s="42" t="n"/>
      <c r="J7" s="43" t="n"/>
      <c r="K7" s="42" t="n"/>
      <c r="L7" s="42" t="n"/>
    </row>
    <row r="8">
      <c r="C8" s="45" t="inlineStr">
        <is>
          <t>Vendido</t>
        </is>
      </c>
      <c r="D8" s="118" t="n"/>
      <c r="F8" s="47" t="inlineStr">
        <is>
          <t>Cobranzas</t>
        </is>
      </c>
      <c r="G8" s="119" t="n"/>
      <c r="H8" s="119" t="n"/>
      <c r="I8" s="118" t="n"/>
      <c r="J8" s="43" t="n"/>
      <c r="K8" s="42" t="n"/>
      <c r="L8" s="42" t="n"/>
    </row>
    <row r="9" ht="26.4" customHeight="1">
      <c r="C9" s="45" t="inlineStr">
        <is>
          <t>Monto</t>
        </is>
      </c>
      <c r="D9" s="45" t="inlineStr">
        <is>
          <t>Unidades</t>
        </is>
      </c>
      <c r="F9" s="49" t="inlineStr">
        <is>
          <t>Avance</t>
        </is>
      </c>
      <c r="G9" s="50" t="inlineStr">
        <is>
          <t>Cobrado</t>
        </is>
      </c>
      <c r="H9" s="50" t="inlineStr">
        <is>
          <t>Por Cobrar</t>
        </is>
      </c>
      <c r="I9" s="50" t="inlineStr">
        <is>
          <t>Vencido</t>
        </is>
      </c>
      <c r="J9" s="51" t="inlineStr">
        <is>
          <t>Tasa de Morosidad</t>
        </is>
      </c>
      <c r="K9" s="52" t="inlineStr">
        <is>
          <t>Clientes Morosos (unidades)</t>
        </is>
      </c>
      <c r="L9" s="52" t="inlineStr">
        <is>
          <t>Dias de Atraso (Promedio)</t>
        </is>
      </c>
    </row>
    <row r="10" ht="6.6" customHeight="1">
      <c r="C10" s="42" t="n"/>
      <c r="D10" s="42" t="n"/>
      <c r="F10" s="43" t="n"/>
      <c r="G10" s="42" t="n"/>
      <c r="H10" s="42" t="n"/>
      <c r="I10" s="42" t="n"/>
      <c r="J10" s="43" t="n"/>
      <c r="K10" s="42" t="n"/>
      <c r="L10" s="42" t="n"/>
    </row>
    <row r="11">
      <c r="B11" s="10" t="inlineStr">
        <is>
          <t>Departamentos</t>
        </is>
      </c>
      <c r="C11" s="53" t="n">
        <v>25253600</v>
      </c>
      <c r="D11" s="53" t="n">
        <v>62</v>
      </c>
      <c r="F11" s="54">
        <f>IF(C11=0,0,G11/C11)</f>
        <v/>
      </c>
      <c r="G11" s="55">
        <f>SUM(G12:G13)</f>
        <v/>
      </c>
      <c r="H11" s="55">
        <f>SUM(H12:H13)</f>
        <v/>
      </c>
      <c r="I11" s="55">
        <f>SUM(I12:I13)</f>
        <v/>
      </c>
      <c r="J11" s="54">
        <f>IF(C11=0,0,I11/C11)</f>
        <v/>
      </c>
      <c r="K11" s="55" t="n">
        <v>7</v>
      </c>
      <c r="L11" s="55" t="n">
        <v>90</v>
      </c>
    </row>
    <row r="12">
      <c r="B12" s="4" t="inlineStr">
        <is>
          <t>Departamento</t>
        </is>
      </c>
      <c r="C12" s="56" t="n">
        <v>16401100</v>
      </c>
      <c r="D12" s="56" t="n">
        <v>31</v>
      </c>
      <c r="F12" s="57">
        <f>IF(C12=0,0,G12/C12)</f>
        <v/>
      </c>
      <c r="G12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'Base_Cobranzas'!$AQ$2:$AQ$1005&gt;0),'Base_Cobranzas'!$AQ$2:$AQ$1005),0)</f>
        <v/>
      </c>
      <c r="H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PENDIENTE",UPPER(TRIM('Base_Cobranzas'!$BC$2:$BC$1005)))),'Base_Cobranzas'!$AR$2:$AR$1005),0)</f>
        <v/>
      </c>
      <c r="I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VENCIDO",UPPER(TRIM('Base_Cobranzas'!$BC$2:$BC$1005)))),'Base_Cobranzas'!$AR$2:$AR$1005),0)</f>
        <v/>
      </c>
      <c r="J12" s="57">
        <f>IF(C12=0,0,I12/C12)</f>
        <v/>
      </c>
      <c r="K12" s="59" t="n">
        <v>4</v>
      </c>
      <c r="L12" s="59" t="n">
        <v>122</v>
      </c>
    </row>
    <row r="13">
      <c r="B13" s="4" t="inlineStr">
        <is>
          <t>Departamento + Estacionamiento</t>
        </is>
      </c>
      <c r="C13" s="56" t="n">
        <v>8852500</v>
      </c>
      <c r="D13" s="56" t="n">
        <v>31</v>
      </c>
      <c r="F13" s="57">
        <f>IF(C13=0,0,G13/C13)</f>
        <v/>
      </c>
      <c r="G13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3" s="57">
        <f>IF(C13=0,0,I13/C13)</f>
        <v/>
      </c>
      <c r="K13" s="59" t="n">
        <v>3</v>
      </c>
      <c r="L13" s="59" t="n">
        <v>58</v>
      </c>
    </row>
    <row r="14" ht="6.6" customHeight="1">
      <c r="C14" s="42" t="n"/>
      <c r="D14" s="42" t="n"/>
      <c r="F14" s="43" t="n"/>
      <c r="G14" s="42" t="n"/>
      <c r="H14" s="42" t="n"/>
      <c r="I14" s="42" t="n"/>
      <c r="J14" s="43" t="n"/>
      <c r="K14" s="42" t="n"/>
      <c r="L14" s="42" t="n"/>
    </row>
    <row r="15">
      <c r="B15" s="10" t="inlineStr">
        <is>
          <t>Estacionamientos</t>
        </is>
      </c>
      <c r="C15" s="53" t="n">
        <v>966400</v>
      </c>
      <c r="D15" s="53" t="n">
        <v>18</v>
      </c>
      <c r="F15" s="54">
        <f>IF(C15=0,0,G15/C15)</f>
        <v/>
      </c>
      <c r="G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5" s="60">
        <f>IF(C15=0,0,I15/C15)</f>
        <v/>
      </c>
      <c r="K15" s="61" t="n">
        <v>6</v>
      </c>
      <c r="L15" s="61" t="n">
        <v>50</v>
      </c>
    </row>
    <row r="16" ht="6.6" customHeight="1">
      <c r="C16" s="42" t="n"/>
      <c r="D16" s="42" t="n"/>
      <c r="F16" s="43" t="n"/>
      <c r="G16" s="42" t="n"/>
      <c r="H16" s="42" t="n"/>
      <c r="I16" s="42" t="n"/>
      <c r="J16" s="43" t="n"/>
      <c r="K16" s="62" t="n"/>
      <c r="L16" s="62" t="n"/>
    </row>
    <row r="17">
      <c r="B17" s="10" t="inlineStr">
        <is>
          <t>Depositos</t>
        </is>
      </c>
      <c r="C17" s="53" t="n">
        <v>0</v>
      </c>
      <c r="D17" s="53" t="n">
        <v>0</v>
      </c>
      <c r="F17" s="54">
        <f>IF(C17=0,0,G17/C17)</f>
        <v/>
      </c>
      <c r="G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('Base_Cobranzas'!$AQ$2:$AQ$1005&gt;0),'Base_Cobranzas'!$AQ$2:$AQ$1005),0)</f>
        <v/>
      </c>
      <c r="H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PENDIENTE",UPPER(TRIM('Base_Cobranzas'!$BC$2:$BC$1005)))),'Base_Cobranzas'!$AR$2:$AR$1005),0)</f>
        <v/>
      </c>
      <c r="I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VENCIDO",UPPER(TRIM('Base_Cobranzas'!$BC$2:$BC$1005)))),'Base_Cobranzas'!$AR$2:$AR$1005),0)</f>
        <v/>
      </c>
      <c r="J17" s="60">
        <f>IF(C17=0,0,I17/C17)</f>
        <v/>
      </c>
      <c r="K17" s="61" t="n">
        <v>0</v>
      </c>
      <c r="L17" s="61" t="n">
        <v>0</v>
      </c>
    </row>
    <row r="18" ht="6.6" customHeight="1">
      <c r="C18" s="42" t="n"/>
      <c r="D18" s="42" t="n"/>
      <c r="F18" s="43" t="n"/>
      <c r="G18" s="42" t="n"/>
      <c r="H18" s="42" t="n"/>
      <c r="I18" s="42" t="n"/>
      <c r="J18" s="43" t="n"/>
      <c r="K18" s="62" t="n"/>
      <c r="L18" s="62" t="n"/>
    </row>
    <row r="19">
      <c r="B19" s="10" t="inlineStr">
        <is>
          <t>Local Comercial</t>
        </is>
      </c>
      <c r="C19" s="53" t="n">
        <v>0</v>
      </c>
      <c r="D19" s="53" t="n">
        <v>0</v>
      </c>
      <c r="F19" s="54">
        <f>IF(C19=0,0,G19/C19)</f>
        <v/>
      </c>
      <c r="G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('Base_Cobranzas'!$AQ$2:$AQ$1005&gt;0),'Base_Cobranzas'!$AQ$2:$AQ$1005),0)</f>
        <v/>
      </c>
      <c r="H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PENDIENTE",UPPER(TRIM('Base_Cobranzas'!$BC$2:$BC$1005)))),'Base_Cobranzas'!$AR$2:$AR$1005),0)</f>
        <v/>
      </c>
      <c r="I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VENCIDO",UPPER(TRIM('Base_Cobranzas'!$BC$2:$BC$1005)))),'Base_Cobranzas'!$AR$2:$AR$1005),0)</f>
        <v/>
      </c>
      <c r="J19" s="60">
        <f>IF(C19=0,0,I19/C19)</f>
        <v/>
      </c>
      <c r="K19" s="61" t="n">
        <v>0</v>
      </c>
      <c r="L19" s="61" t="n">
        <v>0</v>
      </c>
    </row>
    <row r="20" ht="6.6" customHeight="1">
      <c r="C20" s="42" t="n"/>
      <c r="D20" s="42" t="n"/>
      <c r="F20" s="43" t="n"/>
      <c r="G20" s="42" t="n"/>
      <c r="H20" s="42" t="n"/>
      <c r="I20" s="42" t="n"/>
      <c r="J20" s="43" t="n"/>
      <c r="K20" s="62" t="n"/>
      <c r="L20" s="62" t="n"/>
    </row>
    <row r="21">
      <c r="A21" s="35">
        <f>+IF(ROUND(C21,0)=ROUND(G21+H21+I21,0),"OK","REVISAR")</f>
        <v/>
      </c>
      <c r="B21" s="36" t="inlineStr">
        <is>
          <t>Total</t>
        </is>
      </c>
      <c r="C21" s="63" t="n">
        <v>26220000</v>
      </c>
      <c r="D21" s="63" t="n">
        <v>80</v>
      </c>
      <c r="F21" s="64">
        <f>IF(C21=0,0,G21/C21)</f>
        <v/>
      </c>
      <c r="G21" s="65">
        <f>G11+G15+G17+G19</f>
        <v/>
      </c>
      <c r="H21" s="65">
        <f>H11+H15+H17+H19</f>
        <v/>
      </c>
      <c r="I21" s="65">
        <f>I11+I15+I17+I19</f>
        <v/>
      </c>
      <c r="J21" s="66">
        <f>IF(C21=0,0,I21/C21)</f>
        <v/>
      </c>
      <c r="K21" s="67" t="n">
        <v>12</v>
      </c>
      <c r="L21" s="67" t="n">
        <v>74</v>
      </c>
    </row>
    <row r="22">
      <c r="C22" s="42" t="n"/>
      <c r="D22" s="42" t="n"/>
      <c r="F22" s="43" t="n"/>
      <c r="G22" s="42" t="n"/>
      <c r="H22" s="42" t="n"/>
      <c r="I22" s="42" t="n"/>
      <c r="J22" s="43" t="n"/>
      <c r="K22" s="42" t="n"/>
      <c r="L22" s="42" t="n"/>
    </row>
    <row r="23">
      <c r="C23" s="42" t="n"/>
      <c r="D23" s="42" t="n"/>
      <c r="F23" s="43" t="n"/>
      <c r="G23" s="42" t="n"/>
      <c r="H23" s="42" t="n"/>
      <c r="I23" s="42" t="n"/>
      <c r="J23" s="43" t="n"/>
      <c r="K23" s="42" t="n"/>
      <c r="L23" s="42" t="n"/>
    </row>
    <row r="24">
      <c r="C24" s="42" t="n"/>
      <c r="D24" s="42" t="n"/>
      <c r="F24" s="43" t="n"/>
      <c r="G24" s="42" t="n"/>
      <c r="H24" s="42" t="n"/>
      <c r="I24" s="42" t="n"/>
      <c r="J24" s="43" t="n"/>
      <c r="K24" s="42" t="n"/>
      <c r="L24" s="42" t="n"/>
    </row>
    <row r="25">
      <c r="C25" s="42" t="n"/>
      <c r="D25" s="42" t="n"/>
      <c r="F25" s="43" t="n"/>
      <c r="G25" s="42" t="n"/>
      <c r="H25" s="42" t="n"/>
      <c r="I25" s="42" t="n"/>
      <c r="J25" s="43" t="n"/>
      <c r="K25" s="42" t="n"/>
      <c r="L25" s="42" t="n"/>
    </row>
    <row r="31" ht="21" customHeight="1">
      <c r="B31" s="1" t="inlineStr">
        <is>
          <t>COBRANZA REAL</t>
        </is>
      </c>
    </row>
    <row r="33">
      <c r="B33" s="25" t="inlineStr">
        <is>
          <t>Tipo de Credito</t>
        </is>
      </c>
      <c r="C33" s="68" t="n">
        <v>2024</v>
      </c>
      <c r="D33" s="68" t="n">
        <v>2025</v>
      </c>
      <c r="E33" s="26" t="n">
        <v>46023</v>
      </c>
      <c r="F33" s="26" t="n">
        <v>46054</v>
      </c>
      <c r="G33" s="26" t="n">
        <v>46082</v>
      </c>
      <c r="H33" s="26" t="n">
        <v>46113</v>
      </c>
      <c r="I33" s="26" t="n">
        <v>46143</v>
      </c>
      <c r="J33" s="26" t="n">
        <v>46174</v>
      </c>
      <c r="K33" s="26" t="n">
        <v>46204</v>
      </c>
      <c r="L33" s="26" t="n">
        <v>46235</v>
      </c>
      <c r="M33" s="26" t="n">
        <v>46266</v>
      </c>
      <c r="N33" s="26" t="inlineStr">
        <is>
          <t>Total</t>
        </is>
      </c>
    </row>
    <row r="34">
      <c r="B34" s="8" t="inlineStr">
        <is>
          <t>Crédito Directo</t>
        </is>
      </c>
      <c r="C34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D34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E34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F34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G34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H34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I34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J34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K34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L34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M34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N34" s="70">
        <f>SUM(C34:M34)</f>
        <v/>
      </c>
    </row>
    <row r="35">
      <c r="B35" s="8" t="inlineStr">
        <is>
          <t>Crédito Hipotecario</t>
        </is>
      </c>
      <c r="C35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D35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E35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F35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G35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H35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I35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J35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K35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L35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M35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N35" s="70">
        <f>SUM(C35:M35)</f>
        <v/>
      </c>
    </row>
    <row r="36">
      <c r="B36" s="8" t="inlineStr">
        <is>
          <t>Ahorro</t>
        </is>
      </c>
      <c r="C36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D36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E36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F36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G36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H36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I36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J36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K36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L36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M36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N36" s="70">
        <f>SUM(C36:M36)</f>
        <v/>
      </c>
    </row>
    <row r="37">
      <c r="B37" s="7" t="inlineStr">
        <is>
          <t>Total</t>
        </is>
      </c>
      <c r="C37" s="71">
        <f>SUM(C34:C36)</f>
        <v/>
      </c>
      <c r="D37" s="71">
        <f>SUM(D34:D36)</f>
        <v/>
      </c>
      <c r="E37" s="71">
        <f>SUM(E34:E36)</f>
        <v/>
      </c>
      <c r="F37" s="71">
        <f>SUM(F34:F36)</f>
        <v/>
      </c>
      <c r="G37" s="71">
        <f>SUM(G34:G36)</f>
        <v/>
      </c>
      <c r="H37" s="71">
        <f>SUM(H34:H36)</f>
        <v/>
      </c>
      <c r="I37" s="71">
        <f>SUM(I34:I36)</f>
        <v/>
      </c>
      <c r="J37" s="71">
        <f>SUM(J34:J36)</f>
        <v/>
      </c>
      <c r="K37" s="71">
        <f>SUM(K34:K36)</f>
        <v/>
      </c>
      <c r="L37" s="71">
        <f>SUM(L34:L36)</f>
        <v/>
      </c>
      <c r="M37" s="71">
        <f>SUM(M34:M36)</f>
        <v/>
      </c>
      <c r="N37" s="71">
        <f>SUM(C37:M37)</f>
        <v/>
      </c>
      <c r="O37">
        <f>IF($G$21=N37,"OK","REVISAR")</f>
        <v/>
      </c>
    </row>
    <row r="39">
      <c r="B39" s="7" t="inlineStr">
        <is>
          <t>Acumulado</t>
        </is>
      </c>
      <c r="C39" s="72">
        <f>C37</f>
        <v/>
      </c>
      <c r="D39" s="72">
        <f>C39+D37</f>
        <v/>
      </c>
      <c r="E39" s="72">
        <f>D39+E37</f>
        <v/>
      </c>
      <c r="F39" s="72">
        <f>E39+F37</f>
        <v/>
      </c>
      <c r="G39" s="72">
        <f>F39+G37</f>
        <v/>
      </c>
      <c r="H39" s="72">
        <f>G39+H37</f>
        <v/>
      </c>
      <c r="I39" s="72">
        <f>H39+I37</f>
        <v/>
      </c>
      <c r="J39" s="72">
        <f>I39+J37</f>
        <v/>
      </c>
      <c r="K39" s="72">
        <f>J39+K37</f>
        <v/>
      </c>
      <c r="L39" s="72">
        <f>K39+L37</f>
        <v/>
      </c>
      <c r="M39" s="72">
        <f>L39+M37</f>
        <v/>
      </c>
      <c r="N39" s="73" t="n"/>
    </row>
    <row r="42">
      <c r="O42" s="3" t="n"/>
    </row>
    <row r="43" ht="21" customHeight="1">
      <c r="B43" s="1" t="inlineStr">
        <is>
          <t>COBRANZA PROYECTADA</t>
        </is>
      </c>
      <c r="O43" s="3" t="n"/>
    </row>
    <row r="45">
      <c r="B45" s="25" t="inlineStr">
        <is>
          <t>Tipo de Credito</t>
        </is>
      </c>
      <c r="C45" s="26" t="n">
        <v>46296</v>
      </c>
      <c r="D45" s="26" t="inlineStr">
        <is>
          <t>Total</t>
        </is>
      </c>
    </row>
    <row r="46">
      <c r="B46" s="8" t="inlineStr">
        <is>
          <t>Crédito Directo</t>
        </is>
      </c>
      <c r="C46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D46" s="70">
        <f>SUM(C46:C46)</f>
        <v/>
      </c>
    </row>
    <row r="47">
      <c r="B47" s="8" t="inlineStr">
        <is>
          <t>Crédito Hipotecario</t>
        </is>
      </c>
      <c r="C47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D47" s="70">
        <f>SUM(C47:C47)</f>
        <v/>
      </c>
    </row>
    <row r="48">
      <c r="B48" s="8" t="inlineStr">
        <is>
          <t>Ahorro</t>
        </is>
      </c>
      <c r="C48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D48" s="70">
        <f>SUM(C48:C48)</f>
        <v/>
      </c>
    </row>
    <row r="49">
      <c r="B49" s="7" t="inlineStr">
        <is>
          <t>Total</t>
        </is>
      </c>
      <c r="C49" s="71">
        <f>SUM(C46:C48)</f>
        <v/>
      </c>
      <c r="D49" s="71">
        <f>SUM(C49:C49)</f>
        <v/>
      </c>
      <c r="E49">
        <f>IF($H$21=D49,"OK","REVISAR")</f>
        <v/>
      </c>
    </row>
    <row r="51">
      <c r="B51" s="7" t="inlineStr">
        <is>
          <t>Acumulado</t>
        </is>
      </c>
      <c r="C51" s="74">
        <f>C49</f>
        <v/>
      </c>
      <c r="D51" s="73" t="n"/>
    </row>
    <row r="55" ht="21" customHeight="1">
      <c r="B55" s="1" t="inlineStr">
        <is>
          <t>COBRANZA MOROSA</t>
        </is>
      </c>
    </row>
    <row r="57">
      <c r="B57" s="25" t="inlineStr">
        <is>
          <t>Tipo de Credito</t>
        </is>
      </c>
      <c r="C57" s="26" t="n">
        <v>45901</v>
      </c>
      <c r="D57" s="26" t="n">
        <v>45931</v>
      </c>
      <c r="E57" s="26" t="n">
        <v>45962</v>
      </c>
      <c r="F57" s="26" t="n">
        <v>45992</v>
      </c>
      <c r="G57" s="26" t="n">
        <v>46023</v>
      </c>
      <c r="H57" s="26" t="n">
        <v>46054</v>
      </c>
      <c r="I57" s="26" t="n">
        <v>46082</v>
      </c>
      <c r="J57" s="26" t="n">
        <v>46113</v>
      </c>
      <c r="K57" s="26" t="n">
        <v>46143</v>
      </c>
      <c r="L57" s="26" t="n">
        <v>46174</v>
      </c>
      <c r="M57" s="26" t="n">
        <v>46204</v>
      </c>
      <c r="N57" s="26" t="n">
        <v>46235</v>
      </c>
      <c r="O57" s="26" t="n">
        <v>46266</v>
      </c>
      <c r="P57" s="26" t="inlineStr">
        <is>
          <t>Total</t>
        </is>
      </c>
    </row>
    <row r="58">
      <c r="B58" s="8" t="inlineStr">
        <is>
          <t>Crédito Directo</t>
        </is>
      </c>
      <c r="C58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D58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E58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F58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G58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H58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I58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J58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K58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L58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M58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N58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O58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P58" s="70">
        <f>SUM(C58:O58)</f>
        <v/>
      </c>
    </row>
    <row r="59">
      <c r="B59" s="8" t="inlineStr">
        <is>
          <t>Crédito Hipotecario</t>
        </is>
      </c>
      <c r="C59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D59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E59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F59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G59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H59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I59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J59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K59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L59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M59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N59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O59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P59" s="70">
        <f>SUM(C59:O59)</f>
        <v/>
      </c>
    </row>
    <row r="60">
      <c r="B60" s="8" t="inlineStr">
        <is>
          <t>Ahorro</t>
        </is>
      </c>
      <c r="C60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D60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E60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F60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G60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H60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I60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J60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K60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L60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M60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N60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O60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P60" s="70">
        <f>SUM(C60:O60)</f>
        <v/>
      </c>
    </row>
    <row r="61">
      <c r="B61" s="7" t="inlineStr">
        <is>
          <t>Total</t>
        </is>
      </c>
      <c r="C61" s="71">
        <f>SUM(C58:C60)</f>
        <v/>
      </c>
      <c r="D61" s="71">
        <f>SUM(D58:D60)</f>
        <v/>
      </c>
      <c r="E61" s="71">
        <f>SUM(E58:E60)</f>
        <v/>
      </c>
      <c r="F61" s="71">
        <f>SUM(F58:F60)</f>
        <v/>
      </c>
      <c r="G61" s="71">
        <f>SUM(G58:G60)</f>
        <v/>
      </c>
      <c r="H61" s="71">
        <f>SUM(H58:H60)</f>
        <v/>
      </c>
      <c r="I61" s="71">
        <f>SUM(I58:I60)</f>
        <v/>
      </c>
      <c r="J61" s="71">
        <f>SUM(J58:J60)</f>
        <v/>
      </c>
      <c r="K61" s="71">
        <f>SUM(K58:K60)</f>
        <v/>
      </c>
      <c r="L61" s="71">
        <f>SUM(L58:L60)</f>
        <v/>
      </c>
      <c r="M61" s="71">
        <f>SUM(M58:M60)</f>
        <v/>
      </c>
      <c r="N61" s="71">
        <f>SUM(N58:N60)</f>
        <v/>
      </c>
      <c r="O61" s="71">
        <f>SUM(O58:O60)</f>
        <v/>
      </c>
      <c r="P61" s="71">
        <f>SUM(C61:O61)</f>
        <v/>
      </c>
      <c r="Q61">
        <f>IF($I$21=P61,"OK","REVISAR")</f>
        <v/>
      </c>
    </row>
    <row r="63">
      <c r="B63" s="7" t="inlineStr">
        <is>
          <t>Acumulado</t>
        </is>
      </c>
      <c r="C63" s="74">
        <f>C61</f>
        <v/>
      </c>
      <c r="D63" s="72">
        <f>C63+D61</f>
        <v/>
      </c>
      <c r="E63" s="72">
        <f>D63+E61</f>
        <v/>
      </c>
      <c r="F63" s="72">
        <f>E63+F61</f>
        <v/>
      </c>
      <c r="G63" s="72">
        <f>F63+G61</f>
        <v/>
      </c>
      <c r="H63" s="72">
        <f>G63+H61</f>
        <v/>
      </c>
      <c r="I63" s="72">
        <f>H63+I61</f>
        <v/>
      </c>
      <c r="J63" s="72">
        <f>I63+J61</f>
        <v/>
      </c>
      <c r="K63" s="72">
        <f>J63+K61</f>
        <v/>
      </c>
      <c r="L63" s="72">
        <f>K63+L61</f>
        <v/>
      </c>
      <c r="M63" s="72">
        <f>L63+M61</f>
        <v/>
      </c>
      <c r="N63" s="72">
        <f>M63+N61</f>
        <v/>
      </c>
      <c r="O63" s="72">
        <f>N63+O61</f>
        <v/>
      </c>
      <c r="P63" s="73" t="n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10" defaultRowHeight="14.4"/>
  <cols>
    <col width="33" bestFit="1" customWidth="1" min="2" max="2"/>
    <col width="16.33203125" customWidth="1" min="3" max="3"/>
    <col width="12.77734375" customWidth="1" min="4" max="4"/>
    <col width="11.6640625" bestFit="1" customWidth="1" min="5" max="5"/>
    <col width="14.21875" customWidth="1" min="6" max="10"/>
    <col width="14.21875" customWidth="1" min="7" max="7"/>
    <col width="14.21875" customWidth="1" min="8" max="8"/>
    <col width="14.21875" customWidth="1" min="9" max="9"/>
    <col width="14.21875" customWidth="1" min="10" max="10"/>
    <col width="14.21875" customWidth="1" min="11" max="11"/>
    <col width="14.21875" customWidth="1" min="12" max="12"/>
    <col width="14.21875" bestFit="1" customWidth="1" min="13" max="13"/>
    <col width="14.21875" customWidth="1" min="14" max="14"/>
    <col width="14.21875" bestFit="1" customWidth="1" min="15" max="15"/>
    <col width="14.21875" customWidth="1" min="16" max="16"/>
    <col width="14.21875" customWidth="1" min="17" max="17"/>
    <col width="14.21875" customWidth="1" min="18" max="18"/>
    <col width="14.21875" customWidth="1" min="19" max="19"/>
    <col width="14.21875" customWidth="1" min="20" max="20"/>
    <col width="14.21875" customWidth="1" min="21" max="21"/>
    <col width="14.21875" customWidth="1" min="22" max="22"/>
  </cols>
  <sheetData>
    <row r="1">
      <c r="C1" s="42" t="n"/>
      <c r="D1" s="42" t="n"/>
      <c r="F1" s="43" t="n"/>
      <c r="G1" s="42" t="n"/>
      <c r="H1" s="42" t="n"/>
      <c r="I1" s="42" t="n"/>
      <c r="J1" s="43" t="n"/>
      <c r="K1" s="42" t="n"/>
      <c r="L1" s="42" t="n"/>
    </row>
    <row r="2">
      <c r="C2" s="42" t="n"/>
      <c r="D2" s="42" t="n"/>
      <c r="F2" s="43" t="n"/>
      <c r="G2" s="42" t="n"/>
      <c r="H2" s="42" t="n"/>
      <c r="I2" s="42" t="n"/>
      <c r="J2" s="43" t="n"/>
      <c r="K2" s="42" t="n"/>
      <c r="L2" s="42" t="n"/>
    </row>
    <row r="3">
      <c r="C3" s="42" t="n"/>
      <c r="D3" s="42" t="n"/>
      <c r="F3" s="43" t="n"/>
      <c r="G3" s="42" t="n"/>
      <c r="H3" s="42" t="n"/>
      <c r="I3" s="42" t="n"/>
      <c r="J3" s="43" t="n"/>
      <c r="K3" s="42" t="n"/>
      <c r="L3" s="42" t="n"/>
    </row>
    <row r="4" ht="13.2" customHeight="1">
      <c r="C4" s="42" t="n"/>
      <c r="D4" s="42" t="n"/>
      <c r="F4" s="43" t="n"/>
      <c r="G4" s="42" t="n"/>
      <c r="H4" s="42" t="n"/>
      <c r="I4" s="42" t="n"/>
      <c r="J4" s="43" t="n"/>
      <c r="K4" s="42" t="n"/>
      <c r="L4" s="42" t="n"/>
    </row>
    <row r="5" ht="23.4" customHeight="1">
      <c r="C5" s="44" t="inlineStr">
        <is>
          <t>REPORTE DE COBRANZAS</t>
        </is>
      </c>
      <c r="I5" s="42" t="n"/>
      <c r="J5" s="43" t="n"/>
      <c r="K5" s="42" t="n"/>
      <c r="L5" s="42" t="n"/>
    </row>
    <row r="6">
      <c r="B6" s="24" t="inlineStr">
        <is>
          <t>Beyond</t>
        </is>
      </c>
      <c r="C6" s="42" t="n"/>
      <c r="D6" s="42" t="n"/>
      <c r="F6" s="43" t="n"/>
      <c r="G6" s="42" t="n"/>
      <c r="H6" s="42" t="n"/>
      <c r="I6" s="42" t="n"/>
      <c r="J6" s="43" t="n"/>
      <c r="K6" s="42" t="n"/>
      <c r="L6" s="42" t="n"/>
    </row>
    <row r="7">
      <c r="C7" s="42" t="n"/>
      <c r="D7" s="42" t="n"/>
      <c r="F7" s="43" t="n"/>
      <c r="G7" s="42" t="n"/>
      <c r="H7" s="42" t="n"/>
      <c r="I7" s="42" t="n"/>
      <c r="J7" s="43" t="n"/>
      <c r="K7" s="42" t="n"/>
      <c r="L7" s="42" t="n"/>
    </row>
    <row r="8">
      <c r="C8" s="45" t="inlineStr">
        <is>
          <t>Vendido</t>
        </is>
      </c>
      <c r="D8" s="118" t="n"/>
      <c r="F8" s="47" t="inlineStr">
        <is>
          <t>Cobranzas</t>
        </is>
      </c>
      <c r="G8" s="119" t="n"/>
      <c r="H8" s="119" t="n"/>
      <c r="I8" s="118" t="n"/>
      <c r="J8" s="43" t="n"/>
      <c r="K8" s="42" t="n"/>
      <c r="L8" s="42" t="n"/>
    </row>
    <row r="9" ht="26.4" customHeight="1">
      <c r="C9" s="45" t="inlineStr">
        <is>
          <t>Monto</t>
        </is>
      </c>
      <c r="D9" s="45" t="inlineStr">
        <is>
          <t>Unidades</t>
        </is>
      </c>
      <c r="F9" s="49" t="inlineStr">
        <is>
          <t>Avance</t>
        </is>
      </c>
      <c r="G9" s="50" t="inlineStr">
        <is>
          <t>Cobrado</t>
        </is>
      </c>
      <c r="H9" s="50" t="inlineStr">
        <is>
          <t>Por Cobrar</t>
        </is>
      </c>
      <c r="I9" s="50" t="inlineStr">
        <is>
          <t>Vencido</t>
        </is>
      </c>
      <c r="J9" s="51" t="inlineStr">
        <is>
          <t>Tasa de Morosidad</t>
        </is>
      </c>
      <c r="K9" s="52" t="inlineStr">
        <is>
          <t>Clientes Morosos (unidades)</t>
        </is>
      </c>
      <c r="L9" s="52" t="inlineStr">
        <is>
          <t>Dias de Atraso (Promedio)</t>
        </is>
      </c>
    </row>
    <row r="10" ht="6.6" customHeight="1">
      <c r="C10" s="42" t="n"/>
      <c r="D10" s="42" t="n"/>
      <c r="F10" s="43" t="n"/>
      <c r="G10" s="42" t="n"/>
      <c r="H10" s="42" t="n"/>
      <c r="I10" s="42" t="n"/>
      <c r="J10" s="43" t="n"/>
      <c r="K10" s="42" t="n"/>
      <c r="L10" s="42" t="n"/>
    </row>
    <row r="11">
      <c r="B11" s="10" t="inlineStr">
        <is>
          <t>Departamentos</t>
        </is>
      </c>
      <c r="C11" s="53" t="n">
        <v>21112400</v>
      </c>
      <c r="D11" s="53" t="n">
        <v>65</v>
      </c>
      <c r="F11" s="54">
        <f>IF(C11=0,0,G11/C11)</f>
        <v/>
      </c>
      <c r="G11" s="55">
        <f>SUM(G12:G13)</f>
        <v/>
      </c>
      <c r="H11" s="55">
        <f>SUM(H12:H13)</f>
        <v/>
      </c>
      <c r="I11" s="55">
        <f>SUM(I12:I13)</f>
        <v/>
      </c>
      <c r="J11" s="54">
        <f>IF(C11=0,0,I11/C11)</f>
        <v/>
      </c>
      <c r="K11" s="55" t="n">
        <v>30</v>
      </c>
      <c r="L11" s="55" t="n">
        <v>142</v>
      </c>
    </row>
    <row r="12">
      <c r="B12" s="4" t="inlineStr">
        <is>
          <t>Departamento</t>
        </is>
      </c>
      <c r="C12" s="56" t="n">
        <v>12502900</v>
      </c>
      <c r="D12" s="56" t="n">
        <v>28</v>
      </c>
      <c r="F12" s="57">
        <f>IF(C12=0,0,G12/C12)</f>
        <v/>
      </c>
      <c r="G12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'Base_Cobranzas'!$AQ$2:$AQ$1005&gt;0),'Base_Cobranzas'!$AQ$2:$AQ$1005),0)</f>
        <v/>
      </c>
      <c r="H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PENDIENTE",UPPER(TRIM('Base_Cobranzas'!$BC$2:$BC$1005)))),'Base_Cobranzas'!$AR$2:$AR$1005),0)</f>
        <v/>
      </c>
      <c r="I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VENCIDO",UPPER(TRIM('Base_Cobranzas'!$BC$2:$BC$1005)))),'Base_Cobranzas'!$AR$2:$AR$1005),0)</f>
        <v/>
      </c>
      <c r="J12" s="57">
        <f>IF(C12=0,0,I12/C12)</f>
        <v/>
      </c>
      <c r="K12" s="59" t="n">
        <v>22</v>
      </c>
      <c r="L12" s="59" t="n">
        <v>75</v>
      </c>
    </row>
    <row r="13">
      <c r="B13" s="4" t="inlineStr">
        <is>
          <t>Departamento + Estacionamiento</t>
        </is>
      </c>
      <c r="C13" s="56" t="n">
        <v>8609500</v>
      </c>
      <c r="D13" s="56" t="n">
        <v>37</v>
      </c>
      <c r="F13" s="57">
        <f>IF(C13=0,0,G13/C13)</f>
        <v/>
      </c>
      <c r="G13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3" s="57">
        <f>IF(C13=0,0,I13/C13)</f>
        <v/>
      </c>
      <c r="K13" s="59" t="n">
        <v>8</v>
      </c>
      <c r="L13" s="59" t="n">
        <v>216</v>
      </c>
    </row>
    <row r="14" ht="6.6" customHeight="1">
      <c r="C14" s="42" t="n"/>
      <c r="D14" s="42" t="n"/>
      <c r="F14" s="43" t="n"/>
      <c r="G14" s="42" t="n"/>
      <c r="H14" s="42" t="n"/>
      <c r="I14" s="42" t="n"/>
      <c r="J14" s="43" t="n"/>
      <c r="K14" s="42" t="n"/>
      <c r="L14" s="42" t="n"/>
    </row>
    <row r="15">
      <c r="B15" s="10" t="inlineStr">
        <is>
          <t>Estacionamientos</t>
        </is>
      </c>
      <c r="C15" s="53" t="n">
        <v>604800</v>
      </c>
      <c r="D15" s="53" t="n">
        <v>12</v>
      </c>
      <c r="F15" s="54">
        <f>IF(C15=0,0,G15/C15)</f>
        <v/>
      </c>
      <c r="G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5" s="60">
        <f>IF(C15=0,0,I15/C15)</f>
        <v/>
      </c>
      <c r="K15" s="61" t="n">
        <v>6</v>
      </c>
      <c r="L15" s="61" t="n">
        <v>108</v>
      </c>
    </row>
    <row r="16" ht="6.6" customHeight="1">
      <c r="C16" s="42" t="n"/>
      <c r="D16" s="42" t="n"/>
      <c r="F16" s="43" t="n"/>
      <c r="G16" s="42" t="n"/>
      <c r="H16" s="42" t="n"/>
      <c r="I16" s="42" t="n"/>
      <c r="J16" s="43" t="n"/>
      <c r="K16" s="62" t="n"/>
      <c r="L16" s="62" t="n"/>
    </row>
    <row r="17">
      <c r="B17" s="10" t="inlineStr">
        <is>
          <t>Depositos</t>
        </is>
      </c>
      <c r="C17" s="53" t="n">
        <v>19100</v>
      </c>
      <c r="D17" s="53" t="n">
        <v>2</v>
      </c>
      <c r="F17" s="54">
        <f>IF(C17=0,0,G17/C17)</f>
        <v/>
      </c>
      <c r="G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('Base_Cobranzas'!$AQ$2:$AQ$1005&gt;0),'Base_Cobranzas'!$AQ$2:$AQ$1005),0)</f>
        <v/>
      </c>
      <c r="H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PENDIENTE",UPPER(TRIM('Base_Cobranzas'!$BC$2:$BC$1005)))),'Base_Cobranzas'!$AR$2:$AR$1005),0)</f>
        <v/>
      </c>
      <c r="I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VENCIDO",UPPER(TRIM('Base_Cobranzas'!$BC$2:$BC$1005)))),'Base_Cobranzas'!$AR$2:$AR$1005),0)</f>
        <v/>
      </c>
      <c r="J17" s="60">
        <f>IF(C17=0,0,I17/C17)</f>
        <v/>
      </c>
      <c r="K17" s="61" t="n">
        <v>0</v>
      </c>
      <c r="L17" s="61" t="n">
        <v>0</v>
      </c>
    </row>
    <row r="18" ht="6.6" customHeight="1">
      <c r="C18" s="42" t="n"/>
      <c r="D18" s="42" t="n"/>
      <c r="F18" s="43" t="n"/>
      <c r="G18" s="42" t="n"/>
      <c r="H18" s="42" t="n"/>
      <c r="I18" s="42" t="n"/>
      <c r="J18" s="43" t="n"/>
      <c r="K18" s="62" t="n"/>
      <c r="L18" s="62" t="n"/>
    </row>
    <row r="19">
      <c r="B19" s="10" t="inlineStr">
        <is>
          <t>Local Comercial</t>
        </is>
      </c>
      <c r="C19" s="53" t="n">
        <v>0</v>
      </c>
      <c r="D19" s="53" t="n">
        <v>0</v>
      </c>
      <c r="F19" s="54">
        <f>IF(C19=0,0,G19/C19)</f>
        <v/>
      </c>
      <c r="G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('Base_Cobranzas'!$AQ$2:$AQ$1005&gt;0),'Base_Cobranzas'!$AQ$2:$AQ$1005),0)</f>
        <v/>
      </c>
      <c r="H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PENDIENTE",UPPER(TRIM('Base_Cobranzas'!$BC$2:$BC$1005)))),'Base_Cobranzas'!$AR$2:$AR$1005),0)</f>
        <v/>
      </c>
      <c r="I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VENCIDO",UPPER(TRIM('Base_Cobranzas'!$BC$2:$BC$1005)))),'Base_Cobranzas'!$AR$2:$AR$1005),0)</f>
        <v/>
      </c>
      <c r="J19" s="60">
        <f>IF(C19=0,0,I19/C19)</f>
        <v/>
      </c>
      <c r="K19" s="61" t="n">
        <v>0</v>
      </c>
      <c r="L19" s="61" t="n">
        <v>0</v>
      </c>
    </row>
    <row r="20" ht="6.6" customHeight="1">
      <c r="C20" s="42" t="n"/>
      <c r="D20" s="42" t="n"/>
      <c r="F20" s="43" t="n"/>
      <c r="G20" s="42" t="n"/>
      <c r="H20" s="42" t="n"/>
      <c r="I20" s="42" t="n"/>
      <c r="J20" s="43" t="n"/>
      <c r="K20" s="62" t="n"/>
      <c r="L20" s="62" t="n"/>
    </row>
    <row r="21">
      <c r="A21" s="35">
        <f>+IF(ROUND(C21,0)=ROUND(G21+H21+I21,0),"OK","REVISAR")</f>
        <v/>
      </c>
      <c r="B21" s="36" t="inlineStr">
        <is>
          <t>Total</t>
        </is>
      </c>
      <c r="C21" s="63" t="n">
        <v>21736300</v>
      </c>
      <c r="D21" s="63" t="n">
        <v>79</v>
      </c>
      <c r="F21" s="64">
        <f>IF(C21=0,0,G21/C21)</f>
        <v/>
      </c>
      <c r="G21" s="65">
        <f>G11+G15+G17+G19</f>
        <v/>
      </c>
      <c r="H21" s="65">
        <f>H11+H15+H17+H19</f>
        <v/>
      </c>
      <c r="I21" s="65">
        <f>I11+I15+I17+I19</f>
        <v/>
      </c>
      <c r="J21" s="66">
        <f>IF(C21=0,0,I21/C21)</f>
        <v/>
      </c>
      <c r="K21" s="67" t="n">
        <v>31</v>
      </c>
      <c r="L21" s="67" t="n">
        <v>134</v>
      </c>
    </row>
    <row r="22">
      <c r="C22" s="42" t="n"/>
      <c r="D22" s="42" t="n"/>
      <c r="F22" s="43" t="n"/>
      <c r="G22" s="42" t="n"/>
      <c r="H22" s="42" t="n"/>
      <c r="I22" s="42" t="n"/>
      <c r="J22" s="43" t="n"/>
      <c r="K22" s="42" t="n"/>
      <c r="L22" s="42" t="n"/>
    </row>
    <row r="23">
      <c r="C23" s="42" t="n"/>
      <c r="D23" s="42" t="n"/>
      <c r="F23" s="43" t="n"/>
      <c r="G23" s="42" t="n"/>
      <c r="H23" s="42" t="n"/>
      <c r="I23" s="42" t="n"/>
      <c r="J23" s="43" t="n"/>
      <c r="K23" s="42" t="n"/>
      <c r="L23" s="42" t="n"/>
    </row>
    <row r="24">
      <c r="C24" s="42" t="n"/>
      <c r="D24" s="42" t="n"/>
      <c r="F24" s="43" t="n"/>
      <c r="G24" s="42" t="n"/>
      <c r="H24" s="42" t="n"/>
      <c r="I24" s="42" t="n"/>
      <c r="J24" s="43" t="n"/>
      <c r="K24" s="42" t="n"/>
      <c r="L24" s="42" t="n"/>
    </row>
    <row r="25">
      <c r="C25" s="42" t="n"/>
      <c r="D25" s="42" t="n"/>
      <c r="F25" s="43" t="n"/>
      <c r="G25" s="42" t="n"/>
      <c r="H25" s="42" t="n"/>
      <c r="I25" s="42" t="n"/>
      <c r="J25" s="43" t="n"/>
      <c r="K25" s="42" t="n"/>
      <c r="L25" s="42" t="n"/>
    </row>
    <row r="31" ht="21" customHeight="1">
      <c r="B31" s="1" t="inlineStr">
        <is>
          <t>COBRANZA REAL</t>
        </is>
      </c>
    </row>
    <row r="33">
      <c r="B33" s="25" t="inlineStr">
        <is>
          <t>Tipo de Credito</t>
        </is>
      </c>
      <c r="C33" s="68" t="n">
        <v>2024</v>
      </c>
      <c r="D33" s="68" t="n">
        <v>2025</v>
      </c>
      <c r="E33" s="26" t="n">
        <v>46023</v>
      </c>
      <c r="F33" s="26" t="n">
        <v>46054</v>
      </c>
      <c r="G33" s="26" t="n">
        <v>46082</v>
      </c>
      <c r="H33" s="26" t="n">
        <v>46113</v>
      </c>
      <c r="I33" s="26" t="n">
        <v>46143</v>
      </c>
      <c r="J33" s="26" t="n">
        <v>46174</v>
      </c>
      <c r="K33" s="26" t="n">
        <v>46204</v>
      </c>
      <c r="L33" s="26" t="n">
        <v>46235</v>
      </c>
      <c r="M33" s="26" t="n">
        <v>46266</v>
      </c>
      <c r="N33" s="26" t="n">
        <v>46296</v>
      </c>
      <c r="O33" s="26" t="n">
        <v>46327</v>
      </c>
      <c r="P33" s="26" t="inlineStr">
        <is>
          <t>Total</t>
        </is>
      </c>
    </row>
    <row r="34">
      <c r="B34" s="8" t="inlineStr">
        <is>
          <t>Crédito Directo</t>
        </is>
      </c>
      <c r="C34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D34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E34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F34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G34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H34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I34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J34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K34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L34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M34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N34" s="69">
        <f>IFERROR(SUMPRODUCT(--ISNUMBER(SEARCH($B$6,'Base_Cobranzas'!$A$2:$A$1005)),--('Base_Cobranzas'!$AJ$2:$AJ$1005&gt;=IF(N$33&lt;3000,DATE(N$33,1,1),N$33)),--('Base_Cobranzas'!$AJ$2:$AJ$1005&lt;IF(N$33&lt;3000,DATE(N$33+1,1,1),EDATE(N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O34" s="69">
        <f>IFERROR(SUMPRODUCT(--ISNUMBER(SEARCH($B$6,'Base_Cobranzas'!$A$2:$A$1005)),--('Base_Cobranzas'!$AJ$2:$AJ$1005&gt;=IF(O$33&lt;3000,DATE(O$33,1,1),O$33)),--('Base_Cobranzas'!$AJ$2:$AJ$1005&lt;IF(O$33&lt;3000,DATE(O$33+1,1,1),EDATE(O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P34" s="70">
        <f>SUM(C34:O34)</f>
        <v/>
      </c>
    </row>
    <row r="35">
      <c r="B35" s="8" t="inlineStr">
        <is>
          <t>Crédito Hipotecario</t>
        </is>
      </c>
      <c r="C35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D35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E35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F35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G35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H35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I35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J35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K35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L35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M35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N35" s="69">
        <f>IFERROR(SUMPRODUCT(--ISNUMBER(SEARCH($B$6,'Base_Cobranzas'!$A$2:$A$1005)),--('Base_Cobranzas'!$AJ$2:$AJ$1005&gt;=IF(N$33&lt;3000,DATE(N$33,1,1),N$33)),--('Base_Cobranzas'!$AJ$2:$AJ$1005&lt;IF(N$33&lt;3000,DATE(N$33+1,1,1),EDATE(N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O35" s="69">
        <f>IFERROR(SUMPRODUCT(--ISNUMBER(SEARCH($B$6,'Base_Cobranzas'!$A$2:$A$1005)),--('Base_Cobranzas'!$AJ$2:$AJ$1005&gt;=IF(O$33&lt;3000,DATE(O$33,1,1),O$33)),--('Base_Cobranzas'!$AJ$2:$AJ$1005&lt;IF(O$33&lt;3000,DATE(O$33+1,1,1),EDATE(O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P35" s="70">
        <f>SUM(C35:O35)</f>
        <v/>
      </c>
    </row>
    <row r="36">
      <c r="B36" s="8" t="inlineStr">
        <is>
          <t>Ahorro</t>
        </is>
      </c>
      <c r="C36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D36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E36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F36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G36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H36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I36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J36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K36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L36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M36" s="69">
        <f>IFERROR(SUMPRODUCT(--ISNUMBER(SEARCH($B$6,'Base_Cobranzas'!$A$2:$A$1005)),--('Base_Cobranzas'!$AJ$2:$AJ$1005&gt;=IF(M$33&lt;3000,DATE(M$33,1,1),M$33)),--('Base_Cobranzas'!$AJ$2:$AJ$1005&lt;IF(M$33&lt;3000,DATE(M$33+1,1,1),EDATE(M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N36" s="69">
        <f>IFERROR(SUMPRODUCT(--ISNUMBER(SEARCH($B$6,'Base_Cobranzas'!$A$2:$A$1005)),--('Base_Cobranzas'!$AJ$2:$AJ$1005&gt;=IF(N$33&lt;3000,DATE(N$33,1,1),N$33)),--('Base_Cobranzas'!$AJ$2:$AJ$1005&lt;IF(N$33&lt;3000,DATE(N$33+1,1,1),EDATE(N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O36" s="69">
        <f>IFERROR(SUMPRODUCT(--ISNUMBER(SEARCH($B$6,'Base_Cobranzas'!$A$2:$A$1005)),--('Base_Cobranzas'!$AJ$2:$AJ$1005&gt;=IF(O$33&lt;3000,DATE(O$33,1,1),O$33)),--('Base_Cobranzas'!$AJ$2:$AJ$1005&lt;IF(O$33&lt;3000,DATE(O$33+1,1,1),EDATE(O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P36" s="70">
        <f>SUM(C36:O36)</f>
        <v/>
      </c>
    </row>
    <row r="37">
      <c r="B37" s="7" t="inlineStr">
        <is>
          <t>Total</t>
        </is>
      </c>
      <c r="C37" s="71">
        <f>SUM(C34:C36)</f>
        <v/>
      </c>
      <c r="D37" s="71">
        <f>SUM(D34:D36)</f>
        <v/>
      </c>
      <c r="E37" s="71">
        <f>SUM(E34:E36)</f>
        <v/>
      </c>
      <c r="F37" s="71">
        <f>SUM(F34:F36)</f>
        <v/>
      </c>
      <c r="G37" s="71">
        <f>SUM(G34:G36)</f>
        <v/>
      </c>
      <c r="H37" s="71">
        <f>SUM(H34:H36)</f>
        <v/>
      </c>
      <c r="I37" s="71">
        <f>SUM(I34:I36)</f>
        <v/>
      </c>
      <c r="J37" s="71">
        <f>SUM(J34:J36)</f>
        <v/>
      </c>
      <c r="K37" s="71">
        <f>SUM(K34:K36)</f>
        <v/>
      </c>
      <c r="L37" s="71">
        <f>SUM(L34:L36)</f>
        <v/>
      </c>
      <c r="M37" s="71">
        <f>SUM(M34:M36)</f>
        <v/>
      </c>
      <c r="N37" s="71">
        <f>SUM(N34:N36)</f>
        <v/>
      </c>
      <c r="O37" s="71">
        <f>SUM(O34:O36)</f>
        <v/>
      </c>
      <c r="P37" s="71">
        <f>SUM(C37:O37)</f>
        <v/>
      </c>
      <c r="Q37">
        <f>IF($G$21=P37,"OK","REVISAR")</f>
        <v/>
      </c>
    </row>
    <row r="39">
      <c r="B39" s="7" t="inlineStr">
        <is>
          <t>Acumulado</t>
        </is>
      </c>
      <c r="C39" s="72">
        <f>C37</f>
        <v/>
      </c>
      <c r="D39" s="72">
        <f>C39+D37</f>
        <v/>
      </c>
      <c r="E39" s="72">
        <f>D39+E37</f>
        <v/>
      </c>
      <c r="F39" s="72">
        <f>E39+F37</f>
        <v/>
      </c>
      <c r="G39" s="72">
        <f>F39+G37</f>
        <v/>
      </c>
      <c r="H39" s="72">
        <f>G39+H37</f>
        <v/>
      </c>
      <c r="I39" s="72">
        <f>H39+I37</f>
        <v/>
      </c>
      <c r="J39" s="72">
        <f>I39+J37</f>
        <v/>
      </c>
      <c r="K39" s="72">
        <f>J39+K37</f>
        <v/>
      </c>
      <c r="L39" s="72">
        <f>K39+L37</f>
        <v/>
      </c>
      <c r="M39" s="72">
        <f>L39+M37</f>
        <v/>
      </c>
      <c r="N39" s="72">
        <f>M39+N37</f>
        <v/>
      </c>
      <c r="O39" s="72">
        <f>N39+O37</f>
        <v/>
      </c>
      <c r="P39" s="73" t="n"/>
    </row>
    <row r="42">
      <c r="O42" s="3" t="n"/>
    </row>
    <row r="43" ht="21" customHeight="1">
      <c r="B43" s="1" t="inlineStr">
        <is>
          <t>COBRANZA PROYECTADA</t>
        </is>
      </c>
      <c r="O43" s="3" t="n"/>
    </row>
    <row r="45">
      <c r="B45" s="25" t="inlineStr">
        <is>
          <t>Tipo de Credito</t>
        </is>
      </c>
      <c r="C45" s="26" t="n">
        <v>46296</v>
      </c>
      <c r="D45" s="26" t="n">
        <v>46327</v>
      </c>
      <c r="E45" s="26" t="n">
        <v>46357</v>
      </c>
      <c r="F45" s="26" t="n">
        <v>46388</v>
      </c>
      <c r="G45" s="26" t="n">
        <v>46419</v>
      </c>
      <c r="H45" s="26" t="n">
        <v>46447</v>
      </c>
      <c r="I45" s="26" t="n">
        <v>46478</v>
      </c>
      <c r="J45" s="26" t="n">
        <v>46508</v>
      </c>
      <c r="K45" s="26" t="n">
        <v>46539</v>
      </c>
      <c r="L45" s="26" t="n">
        <v>46569</v>
      </c>
      <c r="M45" s="26" t="n">
        <v>46600</v>
      </c>
      <c r="N45" s="26" t="n">
        <v>46631</v>
      </c>
      <c r="O45" s="26" t="n">
        <v>46661</v>
      </c>
      <c r="P45" s="26" t="n">
        <v>46692</v>
      </c>
      <c r="Q45" s="26" t="n">
        <v>46722</v>
      </c>
      <c r="R45" s="26" t="n">
        <v>46753</v>
      </c>
      <c r="S45" s="26" t="inlineStr">
        <is>
          <t>Total</t>
        </is>
      </c>
    </row>
    <row r="46">
      <c r="B46" s="8" t="inlineStr">
        <is>
          <t>Crédito Directo</t>
        </is>
      </c>
      <c r="C46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D46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E46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F46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G46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H46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I46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J46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K46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L46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M46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N46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O46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P46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Q46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R46" s="69">
        <f>IFERROR(SUMPRODUCT(--ISNUMBER(SEARCH($B$6,'Base_Cobranzas'!$A$2:$A$1005)),--('Base_Cobranzas'!$AI$2:$AI$1005&gt;=IF(R$45&lt;3000,DATE(R$45,1,1),R$45)),--('Base_Cobranzas'!$AI$2:$AI$1005&lt;IF(R$45&lt;3000,DATE(R$45+1,1,1),EDATE(R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S46" s="70">
        <f>SUM(C46:R46)</f>
        <v/>
      </c>
    </row>
    <row r="47">
      <c r="B47" s="8" t="inlineStr">
        <is>
          <t>Crédito Hipotecario</t>
        </is>
      </c>
      <c r="C47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D47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E47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F47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G47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H47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I47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J47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K47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L47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M47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N47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O47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P47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Q47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R47" s="69">
        <f>IFERROR(SUMPRODUCT(--ISNUMBER(SEARCH($B$6,'Base_Cobranzas'!$A$2:$A$1005)),--('Base_Cobranzas'!$AI$2:$AI$1005&gt;=IF(R$45&lt;3000,DATE(R$45,1,1),R$45)),--('Base_Cobranzas'!$AI$2:$AI$1005&lt;IF(R$45&lt;3000,DATE(R$45+1,1,1),EDATE(R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S47" s="70">
        <f>SUM(C47:R47)</f>
        <v/>
      </c>
    </row>
    <row r="48">
      <c r="B48" s="8" t="inlineStr">
        <is>
          <t>Ahorro</t>
        </is>
      </c>
      <c r="C48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D48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E48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F48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G48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H48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I48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J48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K48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L48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M48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N48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O48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P48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Q48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R48" s="69">
        <f>IFERROR(SUMPRODUCT(--ISNUMBER(SEARCH($B$6,'Base_Cobranzas'!$A$2:$A$1005)),--('Base_Cobranzas'!$AI$2:$AI$1005&gt;=IF(R$45&lt;3000,DATE(R$45,1,1),R$45)),--('Base_Cobranzas'!$AI$2:$AI$1005&lt;IF(R$45&lt;3000,DATE(R$45+1,1,1),EDATE(R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S48" s="70">
        <f>SUM(C48:R48)</f>
        <v/>
      </c>
    </row>
    <row r="49">
      <c r="B49" s="7" t="inlineStr">
        <is>
          <t>Total</t>
        </is>
      </c>
      <c r="C49" s="71">
        <f>SUM(C46:C48)</f>
        <v/>
      </c>
      <c r="D49" s="71">
        <f>SUM(D46:D48)</f>
        <v/>
      </c>
      <c r="E49" s="71">
        <f>SUM(E46:E48)</f>
        <v/>
      </c>
      <c r="F49" s="71">
        <f>SUM(F46:F48)</f>
        <v/>
      </c>
      <c r="G49" s="71">
        <f>SUM(G46:G48)</f>
        <v/>
      </c>
      <c r="H49" s="71">
        <f>SUM(H46:H48)</f>
        <v/>
      </c>
      <c r="I49" s="71">
        <f>SUM(I46:I48)</f>
        <v/>
      </c>
      <c r="J49" s="71">
        <f>SUM(J46:J48)</f>
        <v/>
      </c>
      <c r="K49" s="71">
        <f>SUM(K46:K48)</f>
        <v/>
      </c>
      <c r="L49" s="71">
        <f>SUM(L46:L48)</f>
        <v/>
      </c>
      <c r="M49" s="71">
        <f>SUM(M46:M48)</f>
        <v/>
      </c>
      <c r="N49" s="71">
        <f>SUM(N46:N48)</f>
        <v/>
      </c>
      <c r="O49" s="71">
        <f>SUM(O46:O48)</f>
        <v/>
      </c>
      <c r="P49" s="71">
        <f>SUM(P46:P48)</f>
        <v/>
      </c>
      <c r="Q49" s="71">
        <f>SUM(Q46:Q48)</f>
        <v/>
      </c>
      <c r="R49" s="71">
        <f>SUM(R46:R48)</f>
        <v/>
      </c>
      <c r="S49" s="71">
        <f>SUM(C49:R49)</f>
        <v/>
      </c>
      <c r="T49">
        <f>IF($H$21=S49,"OK","REVISAR")</f>
        <v/>
      </c>
    </row>
    <row r="51">
      <c r="B51" s="7" t="inlineStr">
        <is>
          <t>Acumulado</t>
        </is>
      </c>
      <c r="C51" s="74">
        <f>C49</f>
        <v/>
      </c>
      <c r="D51" s="72">
        <f>C51+D49</f>
        <v/>
      </c>
      <c r="E51" s="72">
        <f>D51+E49</f>
        <v/>
      </c>
      <c r="F51" s="72">
        <f>E51+F49</f>
        <v/>
      </c>
      <c r="G51" s="72">
        <f>F51+G49</f>
        <v/>
      </c>
      <c r="H51" s="72">
        <f>G51+H49</f>
        <v/>
      </c>
      <c r="I51" s="72">
        <f>H51+I49</f>
        <v/>
      </c>
      <c r="J51" s="72">
        <f>I51+J49</f>
        <v/>
      </c>
      <c r="K51" s="72">
        <f>J51+K49</f>
        <v/>
      </c>
      <c r="L51" s="72">
        <f>K51+L49</f>
        <v/>
      </c>
      <c r="M51" s="72">
        <f>L51+M49</f>
        <v/>
      </c>
      <c r="N51" s="72">
        <f>M51+N49</f>
        <v/>
      </c>
      <c r="O51" s="72">
        <f>N51+O49</f>
        <v/>
      </c>
      <c r="P51" s="72">
        <f>O51+P49</f>
        <v/>
      </c>
      <c r="Q51" s="72">
        <f>P51+Q49</f>
        <v/>
      </c>
      <c r="R51" s="72">
        <f>Q51+R49</f>
        <v/>
      </c>
      <c r="S51" s="73" t="n"/>
    </row>
    <row r="55" ht="21" customHeight="1">
      <c r="B55" s="1" t="inlineStr">
        <is>
          <t>COBRANZA MOROSA</t>
        </is>
      </c>
    </row>
    <row r="57">
      <c r="B57" s="25" t="inlineStr">
        <is>
          <t>Tipo de Credito</t>
        </is>
      </c>
      <c r="C57" s="26" t="n">
        <v>45717</v>
      </c>
      <c r="D57" s="26" t="n">
        <v>45748</v>
      </c>
      <c r="E57" s="26" t="n">
        <v>45778</v>
      </c>
      <c r="F57" s="26" t="n">
        <v>45809</v>
      </c>
      <c r="G57" s="26" t="n">
        <v>45839</v>
      </c>
      <c r="H57" s="26" t="n">
        <v>45870</v>
      </c>
      <c r="I57" s="26" t="n">
        <v>45901</v>
      </c>
      <c r="J57" s="26" t="n">
        <v>45931</v>
      </c>
      <c r="K57" s="26" t="n">
        <v>45962</v>
      </c>
      <c r="L57" s="26" t="n">
        <v>45992</v>
      </c>
      <c r="M57" s="26" t="n">
        <v>46023</v>
      </c>
      <c r="N57" s="26" t="n">
        <v>46054</v>
      </c>
      <c r="O57" s="26" t="n">
        <v>46082</v>
      </c>
      <c r="P57" s="26" t="n">
        <v>46113</v>
      </c>
      <c r="Q57" s="26" t="n">
        <v>46143</v>
      </c>
      <c r="R57" s="26" t="n">
        <v>46174</v>
      </c>
      <c r="S57" s="26" t="n">
        <v>46204</v>
      </c>
      <c r="T57" s="26" t="n">
        <v>46235</v>
      </c>
      <c r="U57" s="26" t="n">
        <v>46266</v>
      </c>
      <c r="V57" s="26" t="inlineStr">
        <is>
          <t>Total</t>
        </is>
      </c>
    </row>
    <row r="58">
      <c r="B58" s="8" t="inlineStr">
        <is>
          <t>Crédito Directo</t>
        </is>
      </c>
      <c r="C58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D58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E58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F58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G58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H58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I58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J58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K58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L58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M58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N58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O58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P58" s="69">
        <f>IFERROR(SUMPRODUCT(--ISNUMBER(SEARCH($B$6,'Base_Cobranzas'!$A$2:$A$1005)),--('Base_Cobranzas'!$AI$2:$AI$1005&gt;=IF(P$57&lt;3000,DATE(P$57,1,1),P$57)),--('Base_Cobranzas'!$AI$2:$AI$1005&lt;IF(P$57&lt;3000,DATE(P$57+1,1,1),EDATE(P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Q58" s="69">
        <f>IFERROR(SUMPRODUCT(--ISNUMBER(SEARCH($B$6,'Base_Cobranzas'!$A$2:$A$1005)),--('Base_Cobranzas'!$AI$2:$AI$1005&gt;=IF(Q$57&lt;3000,DATE(Q$57,1,1),Q$57)),--('Base_Cobranzas'!$AI$2:$AI$1005&lt;IF(Q$57&lt;3000,DATE(Q$57+1,1,1),EDATE(Q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R58" s="69">
        <f>IFERROR(SUMPRODUCT(--ISNUMBER(SEARCH($B$6,'Base_Cobranzas'!$A$2:$A$1005)),--('Base_Cobranzas'!$AI$2:$AI$1005&gt;=IF(R$57&lt;3000,DATE(R$57,1,1),R$57)),--('Base_Cobranzas'!$AI$2:$AI$1005&lt;IF(R$57&lt;3000,DATE(R$57+1,1,1),EDATE(R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S58" s="69">
        <f>IFERROR(SUMPRODUCT(--ISNUMBER(SEARCH($B$6,'Base_Cobranzas'!$A$2:$A$1005)),--('Base_Cobranzas'!$AI$2:$AI$1005&gt;=IF(S$57&lt;3000,DATE(S$57,1,1),S$57)),--('Base_Cobranzas'!$AI$2:$AI$1005&lt;IF(S$57&lt;3000,DATE(S$57+1,1,1),EDATE(S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T58" s="69">
        <f>IFERROR(SUMPRODUCT(--ISNUMBER(SEARCH($B$6,'Base_Cobranzas'!$A$2:$A$1005)),--('Base_Cobranzas'!$AI$2:$AI$1005&gt;=IF(T$57&lt;3000,DATE(T$57,1,1),T$57)),--('Base_Cobranzas'!$AI$2:$AI$1005&lt;IF(T$57&lt;3000,DATE(T$57+1,1,1),EDATE(T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U58" s="69">
        <f>IFERROR(SUMPRODUCT(--ISNUMBER(SEARCH($B$6,'Base_Cobranzas'!$A$2:$A$1005)),--('Base_Cobranzas'!$AI$2:$AI$1005&gt;=IF(U$57&lt;3000,DATE(U$57,1,1),U$57)),--('Base_Cobranzas'!$AI$2:$AI$1005&lt;IF(U$57&lt;3000,DATE(U$57+1,1,1),EDATE(U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V58" s="70">
        <f>SUM(C58:U58)</f>
        <v/>
      </c>
    </row>
    <row r="59">
      <c r="B59" s="8" t="inlineStr">
        <is>
          <t>Crédito Hipotecario</t>
        </is>
      </c>
      <c r="C59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D59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E59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F59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G59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H59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I59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J59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K59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L59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M59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N59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O59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P59" s="69">
        <f>IFERROR(SUMPRODUCT(--ISNUMBER(SEARCH($B$6,'Base_Cobranzas'!$A$2:$A$1005)),--('Base_Cobranzas'!$AI$2:$AI$1005&gt;=IF(P$57&lt;3000,DATE(P$57,1,1),P$57)),--('Base_Cobranzas'!$AI$2:$AI$1005&lt;IF(P$57&lt;3000,DATE(P$57+1,1,1),EDATE(P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Q59" s="69">
        <f>IFERROR(SUMPRODUCT(--ISNUMBER(SEARCH($B$6,'Base_Cobranzas'!$A$2:$A$1005)),--('Base_Cobranzas'!$AI$2:$AI$1005&gt;=IF(Q$57&lt;3000,DATE(Q$57,1,1),Q$57)),--('Base_Cobranzas'!$AI$2:$AI$1005&lt;IF(Q$57&lt;3000,DATE(Q$57+1,1,1),EDATE(Q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R59" s="69">
        <f>IFERROR(SUMPRODUCT(--ISNUMBER(SEARCH($B$6,'Base_Cobranzas'!$A$2:$A$1005)),--('Base_Cobranzas'!$AI$2:$AI$1005&gt;=IF(R$57&lt;3000,DATE(R$57,1,1),R$57)),--('Base_Cobranzas'!$AI$2:$AI$1005&lt;IF(R$57&lt;3000,DATE(R$57+1,1,1),EDATE(R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S59" s="69">
        <f>IFERROR(SUMPRODUCT(--ISNUMBER(SEARCH($B$6,'Base_Cobranzas'!$A$2:$A$1005)),--('Base_Cobranzas'!$AI$2:$AI$1005&gt;=IF(S$57&lt;3000,DATE(S$57,1,1),S$57)),--('Base_Cobranzas'!$AI$2:$AI$1005&lt;IF(S$57&lt;3000,DATE(S$57+1,1,1),EDATE(S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T59" s="69">
        <f>IFERROR(SUMPRODUCT(--ISNUMBER(SEARCH($B$6,'Base_Cobranzas'!$A$2:$A$1005)),--('Base_Cobranzas'!$AI$2:$AI$1005&gt;=IF(T$57&lt;3000,DATE(T$57,1,1),T$57)),--('Base_Cobranzas'!$AI$2:$AI$1005&lt;IF(T$57&lt;3000,DATE(T$57+1,1,1),EDATE(T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U59" s="69">
        <f>IFERROR(SUMPRODUCT(--ISNUMBER(SEARCH($B$6,'Base_Cobranzas'!$A$2:$A$1005)),--('Base_Cobranzas'!$AI$2:$AI$1005&gt;=IF(U$57&lt;3000,DATE(U$57,1,1),U$57)),--('Base_Cobranzas'!$AI$2:$AI$1005&lt;IF(U$57&lt;3000,DATE(U$57+1,1,1),EDATE(U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V59" s="70">
        <f>SUM(C59:U59)</f>
        <v/>
      </c>
    </row>
    <row r="60">
      <c r="B60" s="8" t="inlineStr">
        <is>
          <t>Ahorro</t>
        </is>
      </c>
      <c r="C60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D60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E60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F60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G60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H60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I60" s="69">
        <f>IFERROR(SUMPRODUCT(--ISNUMBER(SEARCH($B$6,'Base_Cobranzas'!$A$2:$A$1005)),--('Base_Cobranzas'!$AI$2:$AI$1005&gt;=IF(I$57&lt;3000,DATE(I$57,1,1),I$57)),--('Base_Cobranzas'!$AI$2:$AI$1005&lt;IF(I$57&lt;3000,DATE(I$57+1,1,1),EDATE(I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J60" s="69">
        <f>IFERROR(SUMPRODUCT(--ISNUMBER(SEARCH($B$6,'Base_Cobranzas'!$A$2:$A$1005)),--('Base_Cobranzas'!$AI$2:$AI$1005&gt;=IF(J$57&lt;3000,DATE(J$57,1,1),J$57)),--('Base_Cobranzas'!$AI$2:$AI$1005&lt;IF(J$57&lt;3000,DATE(J$57+1,1,1),EDATE(J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K60" s="69">
        <f>IFERROR(SUMPRODUCT(--ISNUMBER(SEARCH($B$6,'Base_Cobranzas'!$A$2:$A$1005)),--('Base_Cobranzas'!$AI$2:$AI$1005&gt;=IF(K$57&lt;3000,DATE(K$57,1,1),K$57)),--('Base_Cobranzas'!$AI$2:$AI$1005&lt;IF(K$57&lt;3000,DATE(K$57+1,1,1),EDATE(K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L60" s="69">
        <f>IFERROR(SUMPRODUCT(--ISNUMBER(SEARCH($B$6,'Base_Cobranzas'!$A$2:$A$1005)),--('Base_Cobranzas'!$AI$2:$AI$1005&gt;=IF(L$57&lt;3000,DATE(L$57,1,1),L$57)),--('Base_Cobranzas'!$AI$2:$AI$1005&lt;IF(L$57&lt;3000,DATE(L$57+1,1,1),EDATE(L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M60" s="69">
        <f>IFERROR(SUMPRODUCT(--ISNUMBER(SEARCH($B$6,'Base_Cobranzas'!$A$2:$A$1005)),--('Base_Cobranzas'!$AI$2:$AI$1005&gt;=IF(M$57&lt;3000,DATE(M$57,1,1),M$57)),--('Base_Cobranzas'!$AI$2:$AI$1005&lt;IF(M$57&lt;3000,DATE(M$57+1,1,1),EDATE(M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N60" s="69">
        <f>IFERROR(SUMPRODUCT(--ISNUMBER(SEARCH($B$6,'Base_Cobranzas'!$A$2:$A$1005)),--('Base_Cobranzas'!$AI$2:$AI$1005&gt;=IF(N$57&lt;3000,DATE(N$57,1,1),N$57)),--('Base_Cobranzas'!$AI$2:$AI$1005&lt;IF(N$57&lt;3000,DATE(N$57+1,1,1),EDATE(N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O60" s="69">
        <f>IFERROR(SUMPRODUCT(--ISNUMBER(SEARCH($B$6,'Base_Cobranzas'!$A$2:$A$1005)),--('Base_Cobranzas'!$AI$2:$AI$1005&gt;=IF(O$57&lt;3000,DATE(O$57,1,1),O$57)),--('Base_Cobranzas'!$AI$2:$AI$1005&lt;IF(O$57&lt;3000,DATE(O$57+1,1,1),EDATE(O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P60" s="69">
        <f>IFERROR(SUMPRODUCT(--ISNUMBER(SEARCH($B$6,'Base_Cobranzas'!$A$2:$A$1005)),--('Base_Cobranzas'!$AI$2:$AI$1005&gt;=IF(P$57&lt;3000,DATE(P$57,1,1),P$57)),--('Base_Cobranzas'!$AI$2:$AI$1005&lt;IF(P$57&lt;3000,DATE(P$57+1,1,1),EDATE(P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Q60" s="69">
        <f>IFERROR(SUMPRODUCT(--ISNUMBER(SEARCH($B$6,'Base_Cobranzas'!$A$2:$A$1005)),--('Base_Cobranzas'!$AI$2:$AI$1005&gt;=IF(Q$57&lt;3000,DATE(Q$57,1,1),Q$57)),--('Base_Cobranzas'!$AI$2:$AI$1005&lt;IF(Q$57&lt;3000,DATE(Q$57+1,1,1),EDATE(Q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R60" s="69">
        <f>IFERROR(SUMPRODUCT(--ISNUMBER(SEARCH($B$6,'Base_Cobranzas'!$A$2:$A$1005)),--('Base_Cobranzas'!$AI$2:$AI$1005&gt;=IF(R$57&lt;3000,DATE(R$57,1,1),R$57)),--('Base_Cobranzas'!$AI$2:$AI$1005&lt;IF(R$57&lt;3000,DATE(R$57+1,1,1),EDATE(R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S60" s="69">
        <f>IFERROR(SUMPRODUCT(--ISNUMBER(SEARCH($B$6,'Base_Cobranzas'!$A$2:$A$1005)),--('Base_Cobranzas'!$AI$2:$AI$1005&gt;=IF(S$57&lt;3000,DATE(S$57,1,1),S$57)),--('Base_Cobranzas'!$AI$2:$AI$1005&lt;IF(S$57&lt;3000,DATE(S$57+1,1,1),EDATE(S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T60" s="69">
        <f>IFERROR(SUMPRODUCT(--ISNUMBER(SEARCH($B$6,'Base_Cobranzas'!$A$2:$A$1005)),--('Base_Cobranzas'!$AI$2:$AI$1005&gt;=IF(T$57&lt;3000,DATE(T$57,1,1),T$57)),--('Base_Cobranzas'!$AI$2:$AI$1005&lt;IF(T$57&lt;3000,DATE(T$57+1,1,1),EDATE(T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U60" s="69">
        <f>IFERROR(SUMPRODUCT(--ISNUMBER(SEARCH($B$6,'Base_Cobranzas'!$A$2:$A$1005)),--('Base_Cobranzas'!$AI$2:$AI$1005&gt;=IF(U$57&lt;3000,DATE(U$57,1,1),U$57)),--('Base_Cobranzas'!$AI$2:$AI$1005&lt;IF(U$57&lt;3000,DATE(U$57+1,1,1),EDATE(U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V60" s="70">
        <f>SUM(C60:U60)</f>
        <v/>
      </c>
    </row>
    <row r="61">
      <c r="B61" s="7" t="inlineStr">
        <is>
          <t>Total</t>
        </is>
      </c>
      <c r="C61" s="71">
        <f>SUM(C58:C60)</f>
        <v/>
      </c>
      <c r="D61" s="71">
        <f>SUM(D58:D60)</f>
        <v/>
      </c>
      <c r="E61" s="71">
        <f>SUM(E58:E60)</f>
        <v/>
      </c>
      <c r="F61" s="71">
        <f>SUM(F58:F60)</f>
        <v/>
      </c>
      <c r="G61" s="71">
        <f>SUM(G58:G60)</f>
        <v/>
      </c>
      <c r="H61" s="71">
        <f>SUM(H58:H60)</f>
        <v/>
      </c>
      <c r="I61" s="71">
        <f>SUM(I58:I60)</f>
        <v/>
      </c>
      <c r="J61" s="71">
        <f>SUM(J58:J60)</f>
        <v/>
      </c>
      <c r="K61" s="71">
        <f>SUM(K58:K60)</f>
        <v/>
      </c>
      <c r="L61" s="71">
        <f>SUM(L58:L60)</f>
        <v/>
      </c>
      <c r="M61" s="71">
        <f>SUM(M58:M60)</f>
        <v/>
      </c>
      <c r="N61" s="71">
        <f>SUM(N58:N60)</f>
        <v/>
      </c>
      <c r="O61" s="71">
        <f>SUM(O58:O60)</f>
        <v/>
      </c>
      <c r="P61" s="71">
        <f>SUM(P58:P60)</f>
        <v/>
      </c>
      <c r="Q61" s="71">
        <f>SUM(Q58:Q60)</f>
        <v/>
      </c>
      <c r="R61" s="71">
        <f>SUM(R58:R60)</f>
        <v/>
      </c>
      <c r="S61" s="71">
        <f>SUM(S58:S60)</f>
        <v/>
      </c>
      <c r="T61" s="71">
        <f>SUM(T58:T60)</f>
        <v/>
      </c>
      <c r="U61" s="71">
        <f>SUM(U58:U60)</f>
        <v/>
      </c>
      <c r="V61" s="71">
        <f>SUM(C61:U61)</f>
        <v/>
      </c>
      <c r="W61">
        <f>IF($I$21=V61,"OK","REVISAR")</f>
        <v/>
      </c>
    </row>
    <row r="63">
      <c r="B63" s="7" t="inlineStr">
        <is>
          <t>Acumulado</t>
        </is>
      </c>
      <c r="C63" s="74">
        <f>C61</f>
        <v/>
      </c>
      <c r="D63" s="72">
        <f>C63+D61</f>
        <v/>
      </c>
      <c r="E63" s="72">
        <f>D63+E61</f>
        <v/>
      </c>
      <c r="F63" s="72">
        <f>E63+F61</f>
        <v/>
      </c>
      <c r="G63" s="72">
        <f>F63+G61</f>
        <v/>
      </c>
      <c r="H63" s="72">
        <f>G63+H61</f>
        <v/>
      </c>
      <c r="I63" s="72">
        <f>H63+I61</f>
        <v/>
      </c>
      <c r="J63" s="72">
        <f>I63+J61</f>
        <v/>
      </c>
      <c r="K63" s="72">
        <f>J63+K61</f>
        <v/>
      </c>
      <c r="L63" s="72">
        <f>K63+L61</f>
        <v/>
      </c>
      <c r="M63" s="72">
        <f>L63+M61</f>
        <v/>
      </c>
      <c r="N63" s="72">
        <f>M63+N61</f>
        <v/>
      </c>
      <c r="O63" s="72">
        <f>N63+O61</f>
        <v/>
      </c>
      <c r="P63" s="72">
        <f>O63+P61</f>
        <v/>
      </c>
      <c r="Q63" s="72">
        <f>P63+Q61</f>
        <v/>
      </c>
      <c r="R63" s="72">
        <f>Q63+R61</f>
        <v/>
      </c>
      <c r="S63" s="72">
        <f>R63+S61</f>
        <v/>
      </c>
      <c r="T63" s="72">
        <f>S63+T61</f>
        <v/>
      </c>
      <c r="U63" s="72">
        <f>T63+U61</f>
        <v/>
      </c>
      <c r="V63" s="73" t="n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10" defaultRowHeight="14.4"/>
  <cols>
    <col width="33" bestFit="1" customWidth="1" min="2" max="2"/>
    <col width="16.33203125" customWidth="1" min="3" max="3"/>
    <col width="12.77734375" customWidth="1" min="4" max="4"/>
    <col width="11.6640625" bestFit="1" customWidth="1" min="5" max="5"/>
    <col width="14.21875" customWidth="1" min="6" max="10"/>
    <col width="14.21875" customWidth="1" min="7" max="7"/>
    <col width="14.21875" customWidth="1" min="8" max="8"/>
    <col width="14.21875" customWidth="1" min="9" max="9"/>
    <col width="13" customWidth="1" min="10" max="10"/>
    <col width="17.5546875" customWidth="1" min="11" max="11"/>
    <col width="14.109375" customWidth="1" min="12" max="12"/>
    <col width="14.109375" bestFit="1" customWidth="1" min="13" max="13"/>
    <col width="14.109375" customWidth="1" min="14" max="14"/>
    <col width="14.109375" bestFit="1" customWidth="1" min="15" max="15"/>
    <col width="14.109375" customWidth="1" min="16" max="16"/>
    <col width="14.109375" customWidth="1" min="17" max="17"/>
    <col width="14.109375" customWidth="1" min="18" max="18"/>
  </cols>
  <sheetData>
    <row r="1">
      <c r="C1" s="42" t="n"/>
      <c r="D1" s="42" t="n"/>
      <c r="F1" s="43" t="n"/>
      <c r="G1" s="42" t="n"/>
      <c r="H1" s="42" t="n"/>
      <c r="I1" s="42" t="n"/>
      <c r="J1" s="43" t="n"/>
      <c r="K1" s="42" t="n"/>
      <c r="L1" s="42" t="n"/>
    </row>
    <row r="2">
      <c r="C2" s="42" t="n"/>
      <c r="D2" s="42" t="n"/>
      <c r="F2" s="43" t="n"/>
      <c r="G2" s="42" t="n"/>
      <c r="H2" s="42" t="n"/>
      <c r="I2" s="42" t="n"/>
      <c r="J2" s="43" t="n"/>
      <c r="K2" s="42" t="n"/>
      <c r="L2" s="42" t="n"/>
    </row>
    <row r="3">
      <c r="C3" s="42" t="n"/>
      <c r="D3" s="42" t="n"/>
      <c r="F3" s="43" t="n"/>
      <c r="G3" s="42" t="n"/>
      <c r="H3" s="42" t="n"/>
      <c r="I3" s="42" t="n"/>
      <c r="J3" s="43" t="n"/>
      <c r="K3" s="42" t="n"/>
      <c r="L3" s="42" t="n"/>
    </row>
    <row r="4" ht="13.2" customHeight="1">
      <c r="C4" s="42" t="n"/>
      <c r="D4" s="42" t="n"/>
      <c r="F4" s="43" t="n"/>
      <c r="G4" s="42" t="n"/>
      <c r="H4" s="42" t="n"/>
      <c r="I4" s="42" t="n"/>
      <c r="J4" s="43" t="n"/>
      <c r="K4" s="42" t="n"/>
      <c r="L4" s="42" t="n"/>
    </row>
    <row r="5" ht="23.4" customHeight="1">
      <c r="C5" s="44" t="inlineStr">
        <is>
          <t>REPORTE DE COBRANZAS</t>
        </is>
      </c>
      <c r="I5" s="42" t="n"/>
      <c r="J5" s="43" t="n"/>
      <c r="K5" s="42" t="n"/>
      <c r="L5" s="42" t="n"/>
    </row>
    <row r="6">
      <c r="B6" s="24" t="inlineStr">
        <is>
          <t>Venecia</t>
        </is>
      </c>
      <c r="C6" s="42" t="n"/>
      <c r="D6" s="42" t="n"/>
      <c r="F6" s="43" t="n"/>
      <c r="G6" s="42" t="n"/>
      <c r="H6" s="42" t="n"/>
      <c r="I6" s="42" t="n"/>
      <c r="J6" s="43" t="n"/>
      <c r="K6" s="42" t="n"/>
      <c r="L6" s="42" t="n"/>
    </row>
    <row r="7">
      <c r="C7" s="42" t="n"/>
      <c r="D7" s="42" t="n"/>
      <c r="F7" s="43" t="n"/>
      <c r="G7" s="42" t="n"/>
      <c r="H7" s="42" t="n"/>
      <c r="I7" s="42" t="n"/>
      <c r="J7" s="43" t="n"/>
      <c r="K7" s="42" t="n"/>
      <c r="L7" s="42" t="n"/>
    </row>
    <row r="8">
      <c r="C8" s="45" t="inlineStr">
        <is>
          <t>Vendido</t>
        </is>
      </c>
      <c r="D8" s="118" t="n"/>
      <c r="F8" s="47" t="inlineStr">
        <is>
          <t>Cobranzas</t>
        </is>
      </c>
      <c r="G8" s="119" t="n"/>
      <c r="H8" s="119" t="n"/>
      <c r="I8" s="118" t="n"/>
      <c r="J8" s="43" t="n"/>
      <c r="K8" s="42" t="n"/>
      <c r="L8" s="42" t="n"/>
    </row>
    <row r="9" ht="26.4" customHeight="1">
      <c r="C9" s="45" t="inlineStr">
        <is>
          <t>Monto</t>
        </is>
      </c>
      <c r="D9" s="45" t="inlineStr">
        <is>
          <t>Unidades</t>
        </is>
      </c>
      <c r="F9" s="49" t="inlineStr">
        <is>
          <t>Avance</t>
        </is>
      </c>
      <c r="G9" s="50" t="inlineStr">
        <is>
          <t>Cobrado</t>
        </is>
      </c>
      <c r="H9" s="50" t="inlineStr">
        <is>
          <t>Por Cobrar</t>
        </is>
      </c>
      <c r="I9" s="50" t="inlineStr">
        <is>
          <t>Vencido</t>
        </is>
      </c>
      <c r="J9" s="51" t="inlineStr">
        <is>
          <t>Tasa de Morosidad</t>
        </is>
      </c>
      <c r="K9" s="52" t="inlineStr">
        <is>
          <t>Clientes Morosos (unidades)</t>
        </is>
      </c>
      <c r="L9" s="52" t="inlineStr">
        <is>
          <t>Dias de Atraso (Promedio)</t>
        </is>
      </c>
    </row>
    <row r="10" ht="6.6" customHeight="1">
      <c r="C10" s="42" t="n"/>
      <c r="D10" s="42" t="n"/>
      <c r="F10" s="43" t="n"/>
      <c r="G10" s="42" t="n"/>
      <c r="H10" s="42" t="n"/>
      <c r="I10" s="42" t="n"/>
      <c r="J10" s="43" t="n"/>
      <c r="K10" s="42" t="n"/>
      <c r="L10" s="42" t="n"/>
    </row>
    <row r="11">
      <c r="B11" s="10" t="inlineStr">
        <is>
          <t>Departamentos</t>
        </is>
      </c>
      <c r="C11" s="53" t="n">
        <v>8831400</v>
      </c>
      <c r="D11" s="53" t="n">
        <v>25</v>
      </c>
      <c r="F11" s="54">
        <f>IF(C11=0,0,G11/C11)</f>
        <v/>
      </c>
      <c r="G11" s="55">
        <f>SUM(G12:G13)</f>
        <v/>
      </c>
      <c r="H11" s="55">
        <f>SUM(H12:H13)</f>
        <v/>
      </c>
      <c r="I11" s="55">
        <f>SUM(I12:I13)</f>
        <v/>
      </c>
      <c r="J11" s="54">
        <f>IF(C11=0,0,I11/C11)</f>
        <v/>
      </c>
      <c r="K11" s="55" t="n">
        <v>9</v>
      </c>
      <c r="L11" s="55" t="n">
        <v>46</v>
      </c>
    </row>
    <row r="12">
      <c r="B12" s="4" t="inlineStr">
        <is>
          <t>Departamento</t>
        </is>
      </c>
      <c r="C12" s="56" t="n">
        <v>5200000</v>
      </c>
      <c r="D12" s="56" t="n">
        <v>11</v>
      </c>
      <c r="F12" s="57">
        <f>IF(C12=0,0,G12/C12)</f>
        <v/>
      </c>
      <c r="G12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'Base_Cobranzas'!$AQ$2:$AQ$1005&gt;0),'Base_Cobranzas'!$AQ$2:$AQ$1005),0)</f>
        <v/>
      </c>
      <c r="H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PENDIENTE",UPPER(TRIM('Base_Cobranzas'!$BC$2:$BC$1005)))),'Base_Cobranzas'!$AR$2:$AR$1005),0)</f>
        <v/>
      </c>
      <c r="I12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ISNUMBER(SEARCH("VENCIDO",UPPER(TRIM('Base_Cobranzas'!$BC$2:$BC$1005)))),'Base_Cobranzas'!$AR$2:$AR$1005),0)</f>
        <v/>
      </c>
      <c r="J12" s="57">
        <f>IF(C12=0,0,I12/C12)</f>
        <v/>
      </c>
      <c r="K12" s="59" t="n">
        <v>4</v>
      </c>
      <c r="L12" s="59" t="n">
        <v>36</v>
      </c>
    </row>
    <row r="13">
      <c r="B13" s="4" t="inlineStr">
        <is>
          <t>Departamento + Estacionamiento</t>
        </is>
      </c>
      <c r="C13" s="56" t="n">
        <v>3631400</v>
      </c>
      <c r="D13" s="56" t="n">
        <v>14</v>
      </c>
      <c r="F13" s="57">
        <f>IF(C13=0,0,G13/C13)</f>
        <v/>
      </c>
      <c r="G13" s="58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3" s="59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&gt;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3" s="57">
        <f>IF(C13=0,0,I13/C13)</f>
        <v/>
      </c>
      <c r="K13" s="59" t="n">
        <v>5</v>
      </c>
      <c r="L13" s="59" t="n">
        <v>52</v>
      </c>
    </row>
    <row r="14" ht="6.6" customHeight="1">
      <c r="C14" s="42" t="n"/>
      <c r="D14" s="42" t="n"/>
      <c r="F14" s="43" t="n"/>
      <c r="G14" s="42" t="n"/>
      <c r="H14" s="42" t="n"/>
      <c r="I14" s="42" t="n"/>
      <c r="J14" s="43" t="n"/>
      <c r="K14" s="42" t="n"/>
      <c r="L14" s="42" t="n"/>
    </row>
    <row r="15">
      <c r="B15" s="10" t="inlineStr">
        <is>
          <t>Estacionamientos</t>
        </is>
      </c>
      <c r="C15" s="53" t="n">
        <v>153300</v>
      </c>
      <c r="D15" s="53" t="n">
        <v>3</v>
      </c>
      <c r="F15" s="54">
        <f>IF(C15=0,0,G15/C15)</f>
        <v/>
      </c>
      <c r="G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('Base_Cobranzas'!$AQ$2:$AQ$1005&gt;0),'Base_Cobranzas'!$AQ$2:$AQ$1005),0)</f>
        <v/>
      </c>
      <c r="H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PENDIENTE",UPPER(TRIM('Base_Cobranzas'!$BC$2:$BC$1005)))),'Base_Cobranzas'!$AR$2:$AR$1005),0)</f>
        <v/>
      </c>
      <c r="I15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&gt;0),--ISNUMBER(SEARCH("VENCIDO",UPPER(TRIM('Base_Cobranzas'!$BC$2:$BC$1005)))),'Base_Cobranzas'!$AR$2:$AR$1005),0)</f>
        <v/>
      </c>
      <c r="J15" s="60">
        <f>IF(C15=0,0,I15/C15)</f>
        <v/>
      </c>
      <c r="K15" s="61" t="n">
        <v>2</v>
      </c>
      <c r="L15" s="61" t="n">
        <v>27</v>
      </c>
    </row>
    <row r="16" ht="6.6" customHeight="1">
      <c r="C16" s="42" t="n"/>
      <c r="D16" s="42" t="n"/>
      <c r="F16" s="43" t="n"/>
      <c r="G16" s="42" t="n"/>
      <c r="H16" s="42" t="n"/>
      <c r="I16" s="42" t="n"/>
      <c r="J16" s="43" t="n"/>
      <c r="K16" s="62" t="n"/>
      <c r="L16" s="62" t="n"/>
    </row>
    <row r="17">
      <c r="B17" s="10" t="inlineStr">
        <is>
          <t>Depositos</t>
        </is>
      </c>
      <c r="C17" s="53" t="n">
        <v>0</v>
      </c>
      <c r="D17" s="53" t="n">
        <v>0</v>
      </c>
      <c r="F17" s="54">
        <f>IF(C17=0,0,G17/C17)</f>
        <v/>
      </c>
      <c r="G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('Base_Cobranzas'!$AQ$2:$AQ$1005&gt;0),'Base_Cobranzas'!$AQ$2:$AQ$1005),0)</f>
        <v/>
      </c>
      <c r="H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PENDIENTE",UPPER(TRIM('Base_Cobranzas'!$BC$2:$BC$1005)))),'Base_Cobranzas'!$AR$2:$AR$1005),0)</f>
        <v/>
      </c>
      <c r="I17" s="55">
        <f>IFERROR(SUMPRODUCT(--ISNUMBER(SEARCH($B$6,'Base_Cobranzas'!$A$2:$A$1005)),--((--ISNUMBER(SEARCH("DEPART",UPPER('Base_Cobranzas'!$E$2:$E$1005)))+--ISNUMBER(SEARCH("DEPART",UPPER('Base_Cobranzas'!$K$2:$K$1005)))+--ISNUMBER(SEARCH("DEPART",UPPER('Base_Cobranzas'!$Q$2:$Q$1005)))+--ISNUMBER(SEARCH("DEPART",UPPER('Base_Cobranzas'!$W$2:$W$1005))))=0),--((--ISNUMBER(SEARCH("ESTACION",UPPER('Base_Cobranzas'!$E$2:$E$1005)))+--ISNUMBER(SEARCH("ESTACION",UPPER('Base_Cobranzas'!$K$2:$K$1005)))+--ISNUMBER(SEARCH("ESTACION",UPPER('Base_Cobranzas'!$Q$2:$Q$1005)))+--ISNUMBER(SEARCH("ESTACION",UPPER('Base_Cobranzas'!$W$2:$W$1005))))=0),--((--ISNUMBER(SEARCH("DEPOS",UPPER('Base_Cobranzas'!$E$2:$E$1005)))+--ISNUMBER(SEARCH("DEPOS",UPPER('Base_Cobranzas'!$K$2:$K$1005)))+--ISNUMBER(SEARCH("DEPOS",UPPER('Base_Cobranzas'!$Q$2:$Q$1005)))+--ISNUMBER(SEARCH("DEPOS",UPPER('Base_Cobranzas'!$W$2:$W$1005))))&gt;0),--ISNUMBER(SEARCH("VENCIDO",UPPER(TRIM('Base_Cobranzas'!$BC$2:$BC$1005)))),'Base_Cobranzas'!$AR$2:$AR$1005),0)</f>
        <v/>
      </c>
      <c r="J17" s="60">
        <f>IF(C17=0,0,I17/C17)</f>
        <v/>
      </c>
      <c r="K17" s="61" t="n">
        <v>0</v>
      </c>
      <c r="L17" s="61" t="n">
        <v>0</v>
      </c>
    </row>
    <row r="18" ht="6.6" customHeight="1">
      <c r="C18" s="42" t="n"/>
      <c r="D18" s="42" t="n"/>
      <c r="F18" s="43" t="n"/>
      <c r="G18" s="42" t="n"/>
      <c r="H18" s="42" t="n"/>
      <c r="I18" s="42" t="n"/>
      <c r="J18" s="43" t="n"/>
      <c r="K18" s="62" t="n"/>
      <c r="L18" s="62" t="n"/>
    </row>
    <row r="19">
      <c r="B19" s="10" t="inlineStr">
        <is>
          <t>Local Comercial</t>
        </is>
      </c>
      <c r="C19" s="53" t="n">
        <v>0</v>
      </c>
      <c r="D19" s="53" t="n">
        <v>0</v>
      </c>
      <c r="F19" s="54">
        <f>IF(C19=0,0,G19/C19)</f>
        <v/>
      </c>
      <c r="G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('Base_Cobranzas'!$AQ$2:$AQ$1005&gt;0),'Base_Cobranzas'!$AQ$2:$AQ$1005),0)</f>
        <v/>
      </c>
      <c r="H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PENDIENTE",UPPER(TRIM('Base_Cobranzas'!$BC$2:$BC$1005)))),'Base_Cobranzas'!$AR$2:$AR$1005),0)</f>
        <v/>
      </c>
      <c r="I19" s="55">
        <f>IFERROR(SUMPRODUCT(--ISNUMBER(SEARCH($B$6,'Base_Cobranzas'!$A$2:$A$1005)),--(((--ISNUMBER(SEARCH("LOCAL",UPPER('Base_Cobranzas'!$E$2:$E$1005)))+--ISNUMBER(SEARCH("LOCAL",UPPER('Base_Cobranzas'!$K$2:$K$1005)))+--ISNUMBER(SEARCH("LOCAL",UPPER('Base_Cobranzas'!$Q$2:$Q$1005)))+--ISNUMBER(SEARCH("LOCAL",UPPER('Base_Cobranzas'!$W$2:$W$1005))))+(--ISNUMBER(SEARCH("COMERCIAL",UPPER('Base_Cobranzas'!$E$2:$E$1005)))+--ISNUMBER(SEARCH("COMERCIAL",UPPER('Base_Cobranzas'!$K$2:$K$1005)))+--ISNUMBER(SEARCH("COMERCIAL",UPPER('Base_Cobranzas'!$Q$2:$Q$1005)))+--ISNUMBER(SEARCH("COMERCIAL",UPPER('Base_Cobranzas'!$W$2:$W$1005)))))&gt;0),--ISNUMBER(SEARCH("VENCIDO",UPPER(TRIM('Base_Cobranzas'!$BC$2:$BC$1005)))),'Base_Cobranzas'!$AR$2:$AR$1005),0)</f>
        <v/>
      </c>
      <c r="J19" s="60">
        <f>IF(C19=0,0,I19/C19)</f>
        <v/>
      </c>
      <c r="K19" s="61" t="n">
        <v>0</v>
      </c>
      <c r="L19" s="61" t="n">
        <v>0</v>
      </c>
    </row>
    <row r="20" ht="6.6" customHeight="1">
      <c r="C20" s="42" t="n"/>
      <c r="D20" s="42" t="n"/>
      <c r="F20" s="43" t="n"/>
      <c r="G20" s="42" t="n"/>
      <c r="H20" s="42" t="n"/>
      <c r="I20" s="42" t="n"/>
      <c r="J20" s="43" t="n"/>
      <c r="K20" s="62" t="n"/>
      <c r="L20" s="62" t="n"/>
    </row>
    <row r="21">
      <c r="A21" s="35">
        <f>+IF(ROUND(C21,0)=ROUND(G21+H21+I21,0),"OK","REVISAR")</f>
        <v/>
      </c>
      <c r="B21" s="36" t="inlineStr">
        <is>
          <t>Total</t>
        </is>
      </c>
      <c r="C21" s="63" t="n">
        <v>8984700</v>
      </c>
      <c r="D21" s="63" t="n">
        <v>28</v>
      </c>
      <c r="F21" s="64">
        <f>IF(C21=0,0,G21/C21)</f>
        <v/>
      </c>
      <c r="G21" s="65">
        <f>G11+G15+G17+G19</f>
        <v/>
      </c>
      <c r="H21" s="65">
        <f>H11+H15+H17+H19</f>
        <v/>
      </c>
      <c r="I21" s="65">
        <f>I11+I15+I17+I19</f>
        <v/>
      </c>
      <c r="J21" s="66">
        <f>IF(C21=0,0,I21/C21)</f>
        <v/>
      </c>
      <c r="K21" s="67" t="n">
        <v>10</v>
      </c>
      <c r="L21" s="67" t="n">
        <v>43</v>
      </c>
    </row>
    <row r="22">
      <c r="C22" s="42" t="n"/>
      <c r="D22" s="42" t="n"/>
      <c r="F22" s="43" t="n"/>
      <c r="G22" s="42" t="n"/>
      <c r="H22" s="42" t="n"/>
      <c r="I22" s="42" t="n"/>
      <c r="J22" s="43" t="n"/>
      <c r="K22" s="42" t="n"/>
      <c r="L22" s="42" t="n"/>
    </row>
    <row r="23">
      <c r="C23" s="42" t="n"/>
      <c r="D23" s="42" t="n"/>
      <c r="F23" s="43" t="n"/>
      <c r="G23" s="42" t="n"/>
      <c r="H23" s="42" t="n"/>
      <c r="I23" s="42" t="n"/>
      <c r="J23" s="43" t="n"/>
      <c r="K23" s="42" t="n"/>
      <c r="L23" s="42" t="n"/>
    </row>
    <row r="24">
      <c r="C24" s="42" t="n"/>
      <c r="D24" s="42" t="n"/>
      <c r="F24" s="43" t="n"/>
      <c r="G24" s="42" t="n"/>
      <c r="H24" s="42" t="n"/>
      <c r="I24" s="42" t="n"/>
      <c r="J24" s="43" t="n"/>
      <c r="K24" s="42" t="n"/>
      <c r="L24" s="42" t="n"/>
    </row>
    <row r="25">
      <c r="C25" s="42" t="n"/>
      <c r="D25" s="42" t="n"/>
      <c r="F25" s="43" t="n"/>
      <c r="G25" s="42" t="n"/>
      <c r="H25" s="42" t="n"/>
      <c r="I25" s="42" t="n"/>
      <c r="J25" s="43" t="n"/>
      <c r="K25" s="42" t="n"/>
      <c r="L25" s="42" t="n"/>
    </row>
    <row r="31" ht="21" customHeight="1">
      <c r="B31" s="1" t="inlineStr">
        <is>
          <t>COBRANZA REAL</t>
        </is>
      </c>
    </row>
    <row r="33">
      <c r="B33" s="25" t="inlineStr">
        <is>
          <t>Tipo de Credito</t>
        </is>
      </c>
      <c r="C33" s="68" t="n">
        <v>2025</v>
      </c>
      <c r="D33" s="26" t="n">
        <v>46023</v>
      </c>
      <c r="E33" s="26" t="n">
        <v>46054</v>
      </c>
      <c r="F33" s="26" t="n">
        <v>46082</v>
      </c>
      <c r="G33" s="26" t="n">
        <v>46113</v>
      </c>
      <c r="H33" s="26" t="n">
        <v>46143</v>
      </c>
      <c r="I33" s="26" t="n">
        <v>46174</v>
      </c>
      <c r="J33" s="26" t="n">
        <v>46204</v>
      </c>
      <c r="K33" s="26" t="n">
        <v>46235</v>
      </c>
      <c r="L33" s="26" t="n">
        <v>46266</v>
      </c>
      <c r="M33" s="26" t="inlineStr">
        <is>
          <t>Total</t>
        </is>
      </c>
    </row>
    <row r="34">
      <c r="B34" s="8" t="inlineStr">
        <is>
          <t>Crédito Directo</t>
        </is>
      </c>
      <c r="C34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D34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E34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F34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G34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H34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I34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J34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K34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L34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34))),"DIRECTO",IF(ISNUMBER(SEARCH("HIPOT",UPPER($B34))),"HIPOT",IF(ISNUMBER(SEARCH("AHORRO",UPPER($B34))),"AHORRO",UPPER($B34)))),UPPER('Base_Cobranzas'!$AT$2:$AT$1005))),--('Base_Cobranzas'!$AQ$2:$AQ$1005&gt;0),'Base_Cobranzas'!$AQ$2:$AQ$1005),0)</f>
        <v/>
      </c>
      <c r="M34" s="70">
        <f>SUM(C34:L34)</f>
        <v/>
      </c>
    </row>
    <row r="35">
      <c r="B35" s="8" t="inlineStr">
        <is>
          <t>Crédito Hipotecario</t>
        </is>
      </c>
      <c r="C35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D35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E35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F35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G35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H35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I35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J35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K35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L35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35))),"DIRECTO",IF(ISNUMBER(SEARCH("HIPOT",UPPER($B35))),"HIPOT",IF(ISNUMBER(SEARCH("AHORRO",UPPER($B35))),"AHORRO",UPPER($B35)))),UPPER('Base_Cobranzas'!$AT$2:$AT$1005))),--('Base_Cobranzas'!$AQ$2:$AQ$1005&gt;0),'Base_Cobranzas'!$AQ$2:$AQ$1005),0)</f>
        <v/>
      </c>
      <c r="M35" s="70">
        <f>SUM(C35:L35)</f>
        <v/>
      </c>
    </row>
    <row r="36">
      <c r="B36" s="8" t="inlineStr">
        <is>
          <t>Ahorro</t>
        </is>
      </c>
      <c r="C36" s="69">
        <f>IFERROR(SUMPRODUCT(--ISNUMBER(SEARCH($B$6,'Base_Cobranzas'!$A$2:$A$1005)),--('Base_Cobranzas'!$AJ$2:$AJ$1005&gt;=IF(C$33&lt;3000,DATE(C$33,1,1),C$33)),--('Base_Cobranzas'!$AJ$2:$AJ$1005&lt;IF(C$33&lt;3000,DATE(C$33+1,1,1),EDATE(C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D36" s="69">
        <f>IFERROR(SUMPRODUCT(--ISNUMBER(SEARCH($B$6,'Base_Cobranzas'!$A$2:$A$1005)),--('Base_Cobranzas'!$AJ$2:$AJ$1005&gt;=IF(D$33&lt;3000,DATE(D$33,1,1),D$33)),--('Base_Cobranzas'!$AJ$2:$AJ$1005&lt;IF(D$33&lt;3000,DATE(D$33+1,1,1),EDATE(D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E36" s="69">
        <f>IFERROR(SUMPRODUCT(--ISNUMBER(SEARCH($B$6,'Base_Cobranzas'!$A$2:$A$1005)),--('Base_Cobranzas'!$AJ$2:$AJ$1005&gt;=IF(E$33&lt;3000,DATE(E$33,1,1),E$33)),--('Base_Cobranzas'!$AJ$2:$AJ$1005&lt;IF(E$33&lt;3000,DATE(E$33+1,1,1),EDATE(E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F36" s="69">
        <f>IFERROR(SUMPRODUCT(--ISNUMBER(SEARCH($B$6,'Base_Cobranzas'!$A$2:$A$1005)),--('Base_Cobranzas'!$AJ$2:$AJ$1005&gt;=IF(F$33&lt;3000,DATE(F$33,1,1),F$33)),--('Base_Cobranzas'!$AJ$2:$AJ$1005&lt;IF(F$33&lt;3000,DATE(F$33+1,1,1),EDATE(F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G36" s="69">
        <f>IFERROR(SUMPRODUCT(--ISNUMBER(SEARCH($B$6,'Base_Cobranzas'!$A$2:$A$1005)),--('Base_Cobranzas'!$AJ$2:$AJ$1005&gt;=IF(G$33&lt;3000,DATE(G$33,1,1),G$33)),--('Base_Cobranzas'!$AJ$2:$AJ$1005&lt;IF(G$33&lt;3000,DATE(G$33+1,1,1),EDATE(G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H36" s="69">
        <f>IFERROR(SUMPRODUCT(--ISNUMBER(SEARCH($B$6,'Base_Cobranzas'!$A$2:$A$1005)),--('Base_Cobranzas'!$AJ$2:$AJ$1005&gt;=IF(H$33&lt;3000,DATE(H$33,1,1),H$33)),--('Base_Cobranzas'!$AJ$2:$AJ$1005&lt;IF(H$33&lt;3000,DATE(H$33+1,1,1),EDATE(H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I36" s="69">
        <f>IFERROR(SUMPRODUCT(--ISNUMBER(SEARCH($B$6,'Base_Cobranzas'!$A$2:$A$1005)),--('Base_Cobranzas'!$AJ$2:$AJ$1005&gt;=IF(I$33&lt;3000,DATE(I$33,1,1),I$33)),--('Base_Cobranzas'!$AJ$2:$AJ$1005&lt;IF(I$33&lt;3000,DATE(I$33+1,1,1),EDATE(I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J36" s="69">
        <f>IFERROR(SUMPRODUCT(--ISNUMBER(SEARCH($B$6,'Base_Cobranzas'!$A$2:$A$1005)),--('Base_Cobranzas'!$AJ$2:$AJ$1005&gt;=IF(J$33&lt;3000,DATE(J$33,1,1),J$33)),--('Base_Cobranzas'!$AJ$2:$AJ$1005&lt;IF(J$33&lt;3000,DATE(J$33+1,1,1),EDATE(J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K36" s="69">
        <f>IFERROR(SUMPRODUCT(--ISNUMBER(SEARCH($B$6,'Base_Cobranzas'!$A$2:$A$1005)),--('Base_Cobranzas'!$AJ$2:$AJ$1005&gt;=IF(K$33&lt;3000,DATE(K$33,1,1),K$33)),--('Base_Cobranzas'!$AJ$2:$AJ$1005&lt;IF(K$33&lt;3000,DATE(K$33+1,1,1),EDATE(K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L36" s="69">
        <f>IFERROR(SUMPRODUCT(--ISNUMBER(SEARCH($B$6,'Base_Cobranzas'!$A$2:$A$1005)),--('Base_Cobranzas'!$AJ$2:$AJ$1005&gt;=IF(L$33&lt;3000,DATE(L$33,1,1),L$33)),--('Base_Cobranzas'!$AJ$2:$AJ$1005&lt;IF(L$33&lt;3000,DATE(L$33+1,1,1),EDATE(L$33,1))),--ISNUMBER(SEARCH(IF(ISNUMBER(SEARCH("DIRECTO",UPPER($B36))),"DIRECTO",IF(ISNUMBER(SEARCH("HIPOT",UPPER($B36))),"HIPOT",IF(ISNUMBER(SEARCH("AHORRO",UPPER($B36))),"AHORRO",UPPER($B36)))),UPPER('Base_Cobranzas'!$AT$2:$AT$1005))),--('Base_Cobranzas'!$AQ$2:$AQ$1005&gt;0),'Base_Cobranzas'!$AQ$2:$AQ$1005),0)</f>
        <v/>
      </c>
      <c r="M36" s="70">
        <f>SUM(C36:L36)</f>
        <v/>
      </c>
    </row>
    <row r="37">
      <c r="B37" s="7" t="inlineStr">
        <is>
          <t>Total</t>
        </is>
      </c>
      <c r="C37" s="71">
        <f>SUM(C34:C36)</f>
        <v/>
      </c>
      <c r="D37" s="71">
        <f>SUM(D34:D36)</f>
        <v/>
      </c>
      <c r="E37" s="71">
        <f>SUM(E34:E36)</f>
        <v/>
      </c>
      <c r="F37" s="71">
        <f>SUM(F34:F36)</f>
        <v/>
      </c>
      <c r="G37" s="71">
        <f>SUM(G34:G36)</f>
        <v/>
      </c>
      <c r="H37" s="71">
        <f>SUM(H34:H36)</f>
        <v/>
      </c>
      <c r="I37" s="71">
        <f>SUM(I34:I36)</f>
        <v/>
      </c>
      <c r="J37" s="71">
        <f>SUM(J34:J36)</f>
        <v/>
      </c>
      <c r="K37" s="71">
        <f>SUM(K34:K36)</f>
        <v/>
      </c>
      <c r="L37" s="71">
        <f>SUM(L34:L36)</f>
        <v/>
      </c>
      <c r="M37" s="71">
        <f>SUM(C37:L37)</f>
        <v/>
      </c>
      <c r="N37">
        <f>IF($G$21=M37,"OK","REVISAR")</f>
        <v/>
      </c>
    </row>
    <row r="39">
      <c r="B39" s="7" t="inlineStr">
        <is>
          <t>Acumulado</t>
        </is>
      </c>
      <c r="C39" s="72">
        <f>C37</f>
        <v/>
      </c>
      <c r="D39" s="72">
        <f>C39+D37</f>
        <v/>
      </c>
      <c r="E39" s="72">
        <f>D39+E37</f>
        <v/>
      </c>
      <c r="F39" s="72">
        <f>E39+F37</f>
        <v/>
      </c>
      <c r="G39" s="72">
        <f>F39+G37</f>
        <v/>
      </c>
      <c r="H39" s="72">
        <f>G39+H37</f>
        <v/>
      </c>
      <c r="I39" s="72">
        <f>H39+I37</f>
        <v/>
      </c>
      <c r="J39" s="72">
        <f>I39+J37</f>
        <v/>
      </c>
      <c r="K39" s="72">
        <f>J39+K37</f>
        <v/>
      </c>
      <c r="L39" s="72">
        <f>K39+L37</f>
        <v/>
      </c>
      <c r="M39" s="73" t="n"/>
    </row>
    <row r="42">
      <c r="O42" s="3" t="n"/>
    </row>
    <row r="43" ht="21" customHeight="1">
      <c r="B43" s="1" t="inlineStr">
        <is>
          <t>COBRANZA PROYECTADA</t>
        </is>
      </c>
      <c r="O43" s="3" t="n"/>
    </row>
    <row r="45">
      <c r="B45" s="25" t="inlineStr">
        <is>
          <t>Tipo de Credito</t>
        </is>
      </c>
      <c r="C45" s="26" t="n">
        <v>46296</v>
      </c>
      <c r="D45" s="26" t="n">
        <v>46327</v>
      </c>
      <c r="E45" s="26" t="n">
        <v>46357</v>
      </c>
      <c r="F45" s="26" t="n">
        <v>46388</v>
      </c>
      <c r="G45" s="26" t="n">
        <v>46419</v>
      </c>
      <c r="H45" s="26" t="n">
        <v>46447</v>
      </c>
      <c r="I45" s="26" t="n">
        <v>46478</v>
      </c>
      <c r="J45" s="26" t="n">
        <v>46508</v>
      </c>
      <c r="K45" s="26" t="n">
        <v>46539</v>
      </c>
      <c r="L45" s="26" t="n">
        <v>46569</v>
      </c>
      <c r="M45" s="26" t="n">
        <v>46600</v>
      </c>
      <c r="N45" s="26" t="n">
        <v>46631</v>
      </c>
      <c r="O45" s="26" t="n">
        <v>46661</v>
      </c>
      <c r="P45" s="26" t="n">
        <v>46692</v>
      </c>
      <c r="Q45" s="26" t="n">
        <v>46722</v>
      </c>
      <c r="R45" s="26" t="inlineStr">
        <is>
          <t>Total</t>
        </is>
      </c>
    </row>
    <row r="46">
      <c r="B46" s="8" t="inlineStr">
        <is>
          <t>Crédito Directo</t>
        </is>
      </c>
      <c r="C46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D46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E46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F46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G46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H46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I46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J46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K46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L46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M46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N46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O46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P46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Q46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46))),"DIRECTO",IF(ISNUMBER(SEARCH("HIPOT",UPPER($B46))),"HIPOT",IF(ISNUMBER(SEARCH("AHORRO",UPPER($B46))),"AHORRO",UPPER($B46)))),UPPER('Base_Cobranzas'!$AT$2:$AT$1005))),--ISNUMBER(SEARCH("PENDIENTE",UPPER(TRIM('Base_Cobranzas'!$BC$2:$BC$1005)))),'Base_Cobranzas'!$AR$2:$AR$1005),0)</f>
        <v/>
      </c>
      <c r="R46" s="70">
        <f>SUM(C46:Q46)</f>
        <v/>
      </c>
    </row>
    <row r="47">
      <c r="B47" s="8" t="inlineStr">
        <is>
          <t>Crédito Hipotecario</t>
        </is>
      </c>
      <c r="C47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D47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E47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F47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G47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H47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I47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J47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K47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L47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M47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N47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O47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P47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Q47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47))),"DIRECTO",IF(ISNUMBER(SEARCH("HIPOT",UPPER($B47))),"HIPOT",IF(ISNUMBER(SEARCH("AHORRO",UPPER($B47))),"AHORRO",UPPER($B47)))),UPPER('Base_Cobranzas'!$AT$2:$AT$1005))),--ISNUMBER(SEARCH("PENDIENTE",UPPER(TRIM('Base_Cobranzas'!$BC$2:$BC$1005)))),'Base_Cobranzas'!$AR$2:$AR$1005),0)</f>
        <v/>
      </c>
      <c r="R47" s="70">
        <f>SUM(C47:Q47)</f>
        <v/>
      </c>
    </row>
    <row r="48">
      <c r="B48" s="8" t="inlineStr">
        <is>
          <t>Ahorro</t>
        </is>
      </c>
      <c r="C48" s="69">
        <f>IFERROR(SUMPRODUCT(--ISNUMBER(SEARCH($B$6,'Base_Cobranzas'!$A$2:$A$1005)),--('Base_Cobranzas'!$AI$2:$AI$1005&gt;=IF(C$45&lt;3000,DATE(C$45,1,1),C$45)),--('Base_Cobranzas'!$AI$2:$AI$1005&lt;IF(C$45&lt;3000,DATE(C$45+1,1,1),EDATE(C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D48" s="69">
        <f>IFERROR(SUMPRODUCT(--ISNUMBER(SEARCH($B$6,'Base_Cobranzas'!$A$2:$A$1005)),--('Base_Cobranzas'!$AI$2:$AI$1005&gt;=IF(D$45&lt;3000,DATE(D$45,1,1),D$45)),--('Base_Cobranzas'!$AI$2:$AI$1005&lt;IF(D$45&lt;3000,DATE(D$45+1,1,1),EDATE(D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E48" s="69">
        <f>IFERROR(SUMPRODUCT(--ISNUMBER(SEARCH($B$6,'Base_Cobranzas'!$A$2:$A$1005)),--('Base_Cobranzas'!$AI$2:$AI$1005&gt;=IF(E$45&lt;3000,DATE(E$45,1,1),E$45)),--('Base_Cobranzas'!$AI$2:$AI$1005&lt;IF(E$45&lt;3000,DATE(E$45+1,1,1),EDATE(E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F48" s="69">
        <f>IFERROR(SUMPRODUCT(--ISNUMBER(SEARCH($B$6,'Base_Cobranzas'!$A$2:$A$1005)),--('Base_Cobranzas'!$AI$2:$AI$1005&gt;=IF(F$45&lt;3000,DATE(F$45,1,1),F$45)),--('Base_Cobranzas'!$AI$2:$AI$1005&lt;IF(F$45&lt;3000,DATE(F$45+1,1,1),EDATE(F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G48" s="69">
        <f>IFERROR(SUMPRODUCT(--ISNUMBER(SEARCH($B$6,'Base_Cobranzas'!$A$2:$A$1005)),--('Base_Cobranzas'!$AI$2:$AI$1005&gt;=IF(G$45&lt;3000,DATE(G$45,1,1),G$45)),--('Base_Cobranzas'!$AI$2:$AI$1005&lt;IF(G$45&lt;3000,DATE(G$45+1,1,1),EDATE(G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H48" s="69">
        <f>IFERROR(SUMPRODUCT(--ISNUMBER(SEARCH($B$6,'Base_Cobranzas'!$A$2:$A$1005)),--('Base_Cobranzas'!$AI$2:$AI$1005&gt;=IF(H$45&lt;3000,DATE(H$45,1,1),H$45)),--('Base_Cobranzas'!$AI$2:$AI$1005&lt;IF(H$45&lt;3000,DATE(H$45+1,1,1),EDATE(H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I48" s="69">
        <f>IFERROR(SUMPRODUCT(--ISNUMBER(SEARCH($B$6,'Base_Cobranzas'!$A$2:$A$1005)),--('Base_Cobranzas'!$AI$2:$AI$1005&gt;=IF(I$45&lt;3000,DATE(I$45,1,1),I$45)),--('Base_Cobranzas'!$AI$2:$AI$1005&lt;IF(I$45&lt;3000,DATE(I$45+1,1,1),EDATE(I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J48" s="69">
        <f>IFERROR(SUMPRODUCT(--ISNUMBER(SEARCH($B$6,'Base_Cobranzas'!$A$2:$A$1005)),--('Base_Cobranzas'!$AI$2:$AI$1005&gt;=IF(J$45&lt;3000,DATE(J$45,1,1),J$45)),--('Base_Cobranzas'!$AI$2:$AI$1005&lt;IF(J$45&lt;3000,DATE(J$45+1,1,1),EDATE(J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K48" s="69">
        <f>IFERROR(SUMPRODUCT(--ISNUMBER(SEARCH($B$6,'Base_Cobranzas'!$A$2:$A$1005)),--('Base_Cobranzas'!$AI$2:$AI$1005&gt;=IF(K$45&lt;3000,DATE(K$45,1,1),K$45)),--('Base_Cobranzas'!$AI$2:$AI$1005&lt;IF(K$45&lt;3000,DATE(K$45+1,1,1),EDATE(K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L48" s="69">
        <f>IFERROR(SUMPRODUCT(--ISNUMBER(SEARCH($B$6,'Base_Cobranzas'!$A$2:$A$1005)),--('Base_Cobranzas'!$AI$2:$AI$1005&gt;=IF(L$45&lt;3000,DATE(L$45,1,1),L$45)),--('Base_Cobranzas'!$AI$2:$AI$1005&lt;IF(L$45&lt;3000,DATE(L$45+1,1,1),EDATE(L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M48" s="69">
        <f>IFERROR(SUMPRODUCT(--ISNUMBER(SEARCH($B$6,'Base_Cobranzas'!$A$2:$A$1005)),--('Base_Cobranzas'!$AI$2:$AI$1005&gt;=IF(M$45&lt;3000,DATE(M$45,1,1),M$45)),--('Base_Cobranzas'!$AI$2:$AI$1005&lt;IF(M$45&lt;3000,DATE(M$45+1,1,1),EDATE(M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N48" s="69">
        <f>IFERROR(SUMPRODUCT(--ISNUMBER(SEARCH($B$6,'Base_Cobranzas'!$A$2:$A$1005)),--('Base_Cobranzas'!$AI$2:$AI$1005&gt;=IF(N$45&lt;3000,DATE(N$45,1,1),N$45)),--('Base_Cobranzas'!$AI$2:$AI$1005&lt;IF(N$45&lt;3000,DATE(N$45+1,1,1),EDATE(N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O48" s="69">
        <f>IFERROR(SUMPRODUCT(--ISNUMBER(SEARCH($B$6,'Base_Cobranzas'!$A$2:$A$1005)),--('Base_Cobranzas'!$AI$2:$AI$1005&gt;=IF(O$45&lt;3000,DATE(O$45,1,1),O$45)),--('Base_Cobranzas'!$AI$2:$AI$1005&lt;IF(O$45&lt;3000,DATE(O$45+1,1,1),EDATE(O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P48" s="69">
        <f>IFERROR(SUMPRODUCT(--ISNUMBER(SEARCH($B$6,'Base_Cobranzas'!$A$2:$A$1005)),--('Base_Cobranzas'!$AI$2:$AI$1005&gt;=IF(P$45&lt;3000,DATE(P$45,1,1),P$45)),--('Base_Cobranzas'!$AI$2:$AI$1005&lt;IF(P$45&lt;3000,DATE(P$45+1,1,1),EDATE(P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Q48" s="69">
        <f>IFERROR(SUMPRODUCT(--ISNUMBER(SEARCH($B$6,'Base_Cobranzas'!$A$2:$A$1005)),--('Base_Cobranzas'!$AI$2:$AI$1005&gt;=IF(Q$45&lt;3000,DATE(Q$45,1,1),Q$45)),--('Base_Cobranzas'!$AI$2:$AI$1005&lt;IF(Q$45&lt;3000,DATE(Q$45+1,1,1),EDATE(Q$45,1))),--ISNUMBER(SEARCH(IF(ISNUMBER(SEARCH("DIRECTO",UPPER($B48))),"DIRECTO",IF(ISNUMBER(SEARCH("HIPOT",UPPER($B48))),"HIPOT",IF(ISNUMBER(SEARCH("AHORRO",UPPER($B48))),"AHORRO",UPPER($B48)))),UPPER('Base_Cobranzas'!$AT$2:$AT$1005))),--ISNUMBER(SEARCH("PENDIENTE",UPPER(TRIM('Base_Cobranzas'!$BC$2:$BC$1005)))),'Base_Cobranzas'!$AR$2:$AR$1005),0)</f>
        <v/>
      </c>
      <c r="R48" s="70">
        <f>SUM(C48:Q48)</f>
        <v/>
      </c>
    </row>
    <row r="49">
      <c r="B49" s="7" t="inlineStr">
        <is>
          <t>Total</t>
        </is>
      </c>
      <c r="C49" s="71">
        <f>SUM(C46:C48)</f>
        <v/>
      </c>
      <c r="D49" s="71">
        <f>SUM(D46:D48)</f>
        <v/>
      </c>
      <c r="E49" s="71">
        <f>SUM(E46:E48)</f>
        <v/>
      </c>
      <c r="F49" s="71">
        <f>SUM(F46:F48)</f>
        <v/>
      </c>
      <c r="G49" s="71">
        <f>SUM(G46:G48)</f>
        <v/>
      </c>
      <c r="H49" s="71">
        <f>SUM(H46:H48)</f>
        <v/>
      </c>
      <c r="I49" s="71">
        <f>SUM(I46:I48)</f>
        <v/>
      </c>
      <c r="J49" s="71">
        <f>SUM(J46:J48)</f>
        <v/>
      </c>
      <c r="K49" s="71">
        <f>SUM(K46:K48)</f>
        <v/>
      </c>
      <c r="L49" s="71">
        <f>SUM(L46:L48)</f>
        <v/>
      </c>
      <c r="M49" s="71">
        <f>SUM(M46:M48)</f>
        <v/>
      </c>
      <c r="N49" s="71">
        <f>SUM(N46:N48)</f>
        <v/>
      </c>
      <c r="O49" s="71">
        <f>SUM(O46:O48)</f>
        <v/>
      </c>
      <c r="P49" s="71">
        <f>SUM(P46:P48)</f>
        <v/>
      </c>
      <c r="Q49" s="71">
        <f>SUM(Q46:Q48)</f>
        <v/>
      </c>
      <c r="R49" s="71">
        <f>SUM(C49:Q49)</f>
        <v/>
      </c>
      <c r="S49">
        <f>IF($H$21=R49,"OK","REVISAR")</f>
        <v/>
      </c>
    </row>
    <row r="51">
      <c r="B51" s="7" t="inlineStr">
        <is>
          <t>Acumulado</t>
        </is>
      </c>
      <c r="C51" s="74">
        <f>C49</f>
        <v/>
      </c>
      <c r="D51" s="72">
        <f>C51+D49</f>
        <v/>
      </c>
      <c r="E51" s="72">
        <f>D51+E49</f>
        <v/>
      </c>
      <c r="F51" s="72">
        <f>E51+F49</f>
        <v/>
      </c>
      <c r="G51" s="72">
        <f>F51+G49</f>
        <v/>
      </c>
      <c r="H51" s="72">
        <f>G51+H49</f>
        <v/>
      </c>
      <c r="I51" s="72">
        <f>H51+I49</f>
        <v/>
      </c>
      <c r="J51" s="72">
        <f>I51+J49</f>
        <v/>
      </c>
      <c r="K51" s="72">
        <f>J51+K49</f>
        <v/>
      </c>
      <c r="L51" s="72">
        <f>K51+L49</f>
        <v/>
      </c>
      <c r="M51" s="72">
        <f>L51+M49</f>
        <v/>
      </c>
      <c r="N51" s="72">
        <f>M51+N49</f>
        <v/>
      </c>
      <c r="O51" s="72">
        <f>N51+O49</f>
        <v/>
      </c>
      <c r="P51" s="72">
        <f>O51+P49</f>
        <v/>
      </c>
      <c r="Q51" s="72">
        <f>P51+Q49</f>
        <v/>
      </c>
      <c r="R51" s="73" t="n"/>
    </row>
    <row r="55" ht="21" customHeight="1">
      <c r="B55" s="1" t="inlineStr">
        <is>
          <t>COBRANZA MOROSA</t>
        </is>
      </c>
    </row>
    <row r="57">
      <c r="B57" s="25" t="inlineStr">
        <is>
          <t>Tipo de Credito</t>
        </is>
      </c>
      <c r="C57" s="26" t="n">
        <v>46113</v>
      </c>
      <c r="D57" s="26" t="n">
        <v>46143</v>
      </c>
      <c r="E57" s="26" t="n">
        <v>46174</v>
      </c>
      <c r="F57" s="26" t="n">
        <v>46204</v>
      </c>
      <c r="G57" s="26" t="n">
        <v>46235</v>
      </c>
      <c r="H57" s="26" t="n">
        <v>46266</v>
      </c>
      <c r="I57" s="26" t="inlineStr">
        <is>
          <t>Total</t>
        </is>
      </c>
    </row>
    <row r="58">
      <c r="B58" s="8" t="inlineStr">
        <is>
          <t>Crédito Directo</t>
        </is>
      </c>
      <c r="C58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D58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E58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F58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G58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H58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58))),"DIRECTO",IF(ISNUMBER(SEARCH("HIPOT",UPPER($B58))),"HIPOT",IF(ISNUMBER(SEARCH("AHORRO",UPPER($B58))),"AHORRO",UPPER($B58)))),UPPER('Base_Cobranzas'!$AT$2:$AT$1005))),--ISNUMBER(SEARCH("VENCIDO",UPPER(TRIM('Base_Cobranzas'!$BC$2:$BC$1005)))),'Base_Cobranzas'!$AR$2:$AR$1005),0)</f>
        <v/>
      </c>
      <c r="I58" s="70">
        <f>SUM(C58:H58)</f>
        <v/>
      </c>
    </row>
    <row r="59">
      <c r="B59" s="8" t="inlineStr">
        <is>
          <t>Crédito Hipotecario</t>
        </is>
      </c>
      <c r="C59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D59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E59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F59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G59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H59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59))),"DIRECTO",IF(ISNUMBER(SEARCH("HIPOT",UPPER($B59))),"HIPOT",IF(ISNUMBER(SEARCH("AHORRO",UPPER($B59))),"AHORRO",UPPER($B59)))),UPPER('Base_Cobranzas'!$AT$2:$AT$1005))),--ISNUMBER(SEARCH("VENCIDO",UPPER(TRIM('Base_Cobranzas'!$BC$2:$BC$1005)))),'Base_Cobranzas'!$AR$2:$AR$1005),0)</f>
        <v/>
      </c>
      <c r="I59" s="70">
        <f>SUM(C59:H59)</f>
        <v/>
      </c>
    </row>
    <row r="60">
      <c r="B60" s="8" t="inlineStr">
        <is>
          <t>Ahorro</t>
        </is>
      </c>
      <c r="C60" s="69">
        <f>IFERROR(SUMPRODUCT(--ISNUMBER(SEARCH($B$6,'Base_Cobranzas'!$A$2:$A$1005)),--('Base_Cobranzas'!$AI$2:$AI$1005&gt;=IF(C$57&lt;3000,DATE(C$57,1,1),C$57)),--('Base_Cobranzas'!$AI$2:$AI$1005&lt;IF(C$57&lt;3000,DATE(C$57+1,1,1),EDATE(C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D60" s="69">
        <f>IFERROR(SUMPRODUCT(--ISNUMBER(SEARCH($B$6,'Base_Cobranzas'!$A$2:$A$1005)),--('Base_Cobranzas'!$AI$2:$AI$1005&gt;=IF(D$57&lt;3000,DATE(D$57,1,1),D$57)),--('Base_Cobranzas'!$AI$2:$AI$1005&lt;IF(D$57&lt;3000,DATE(D$57+1,1,1),EDATE(D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E60" s="69">
        <f>IFERROR(SUMPRODUCT(--ISNUMBER(SEARCH($B$6,'Base_Cobranzas'!$A$2:$A$1005)),--('Base_Cobranzas'!$AI$2:$AI$1005&gt;=IF(E$57&lt;3000,DATE(E$57,1,1),E$57)),--('Base_Cobranzas'!$AI$2:$AI$1005&lt;IF(E$57&lt;3000,DATE(E$57+1,1,1),EDATE(E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F60" s="69">
        <f>IFERROR(SUMPRODUCT(--ISNUMBER(SEARCH($B$6,'Base_Cobranzas'!$A$2:$A$1005)),--('Base_Cobranzas'!$AI$2:$AI$1005&gt;=IF(F$57&lt;3000,DATE(F$57,1,1),F$57)),--('Base_Cobranzas'!$AI$2:$AI$1005&lt;IF(F$57&lt;3000,DATE(F$57+1,1,1),EDATE(F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G60" s="69">
        <f>IFERROR(SUMPRODUCT(--ISNUMBER(SEARCH($B$6,'Base_Cobranzas'!$A$2:$A$1005)),--('Base_Cobranzas'!$AI$2:$AI$1005&gt;=IF(G$57&lt;3000,DATE(G$57,1,1),G$57)),--('Base_Cobranzas'!$AI$2:$AI$1005&lt;IF(G$57&lt;3000,DATE(G$57+1,1,1),EDATE(G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H60" s="69">
        <f>IFERROR(SUMPRODUCT(--ISNUMBER(SEARCH($B$6,'Base_Cobranzas'!$A$2:$A$1005)),--('Base_Cobranzas'!$AI$2:$AI$1005&gt;=IF(H$57&lt;3000,DATE(H$57,1,1),H$57)),--('Base_Cobranzas'!$AI$2:$AI$1005&lt;IF(H$57&lt;3000,DATE(H$57+1,1,1),EDATE(H$57,1))),--ISNUMBER(SEARCH(IF(ISNUMBER(SEARCH("DIRECTO",UPPER($B60))),"DIRECTO",IF(ISNUMBER(SEARCH("HIPOT",UPPER($B60))),"HIPOT",IF(ISNUMBER(SEARCH("AHORRO",UPPER($B60))),"AHORRO",UPPER($B60)))),UPPER('Base_Cobranzas'!$AT$2:$AT$1005))),--ISNUMBER(SEARCH("VENCIDO",UPPER(TRIM('Base_Cobranzas'!$BC$2:$BC$1005)))),'Base_Cobranzas'!$AR$2:$AR$1005),0)</f>
        <v/>
      </c>
      <c r="I60" s="70">
        <f>SUM(C60:H60)</f>
        <v/>
      </c>
    </row>
    <row r="61">
      <c r="B61" s="7" t="inlineStr">
        <is>
          <t>Total</t>
        </is>
      </c>
      <c r="C61" s="71">
        <f>SUM(C58:C60)</f>
        <v/>
      </c>
      <c r="D61" s="71">
        <f>SUM(D58:D60)</f>
        <v/>
      </c>
      <c r="E61" s="71">
        <f>SUM(E58:E60)</f>
        <v/>
      </c>
      <c r="F61" s="71">
        <f>SUM(F58:F60)</f>
        <v/>
      </c>
      <c r="G61" s="71">
        <f>SUM(G58:G60)</f>
        <v/>
      </c>
      <c r="H61" s="71">
        <f>SUM(H58:H60)</f>
        <v/>
      </c>
      <c r="I61" s="71">
        <f>SUM(C61:H61)</f>
        <v/>
      </c>
      <c r="J61">
        <f>IF($I$21=I61,"OK","REVISAR")</f>
        <v/>
      </c>
    </row>
    <row r="63">
      <c r="B63" s="7" t="inlineStr">
        <is>
          <t>Acumulado</t>
        </is>
      </c>
      <c r="C63" s="74">
        <f>C61</f>
        <v/>
      </c>
      <c r="D63" s="72">
        <f>C63+D61</f>
        <v/>
      </c>
      <c r="E63" s="72">
        <f>D63+E61</f>
        <v/>
      </c>
      <c r="F63" s="72">
        <f>E63+F61</f>
        <v/>
      </c>
      <c r="G63" s="72">
        <f>F63+G61</f>
        <v/>
      </c>
      <c r="H63" s="72">
        <f>G63+H61</f>
        <v/>
      </c>
      <c r="I63" s="73" t="n"/>
    </row>
  </sheetData>
  <mergeCells count="3">
    <mergeCell ref="F8:I8"/>
    <mergeCell ref="C5:H5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Huamani</dc:creator>
  <dcterms:created xsi:type="dcterms:W3CDTF">2026-07-10T15:59:11Z</dcterms:created>
  <dcterms:modified xsi:type="dcterms:W3CDTF">2026-09-30T00:10:50Z</dcterms:modified>
  <cp:lastModifiedBy>Eduardo Huamani</cp:lastModifiedBy>
</cp:coreProperties>
</file>